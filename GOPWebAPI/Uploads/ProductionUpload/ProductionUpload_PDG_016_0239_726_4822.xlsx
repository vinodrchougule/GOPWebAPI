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Sheet1!$A$1:$DG$151</definedName>
  </definedNames>
  <calcPr calcId="145621"/>
  <webPublishing codePage="0"/>
</workbook>
</file>

<file path=xl/calcChain.xml><?xml version="1.0" encoding="utf-8"?>
<calcChain xmlns="http://schemas.openxmlformats.org/spreadsheetml/2006/main">
  <c r="AW151" i="1" l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</calcChain>
</file>

<file path=xl/sharedStrings.xml><?xml version="1.0" encoding="utf-8"?>
<sst xmlns="http://schemas.openxmlformats.org/spreadsheetml/2006/main" count="6078" uniqueCount="1634">
  <si>
    <t>Reverse Baseplate Locking Screw4.5mm x 35mm</t>
  </si>
  <si>
    <t>PRODIGO1053539</t>
  </si>
  <si>
    <t>PRODIGO1053498</t>
  </si>
  <si>
    <t>2N2AI24005</t>
  </si>
  <si>
    <t>0S0CI27006</t>
  </si>
  <si>
    <t>PRODIGO1053503</t>
  </si>
  <si>
    <t>PRODIGO1053513</t>
  </si>
  <si>
    <t>ASIS Item Description (Long Description 4000)</t>
  </si>
  <si>
    <t>PRODIGO1053533</t>
  </si>
  <si>
    <t>PRODIGO1053543</t>
  </si>
  <si>
    <t>PRODIGO1053553</t>
  </si>
  <si>
    <t>PRODIGO1053563</t>
  </si>
  <si>
    <t>PRODIGO1053573</t>
  </si>
  <si>
    <t>2R1PC60015</t>
  </si>
  <si>
    <t>PRODIGO1053620</t>
  </si>
  <si>
    <t>Reverse Poly Bearing 42mm - 10 degree</t>
  </si>
  <si>
    <t>2N2AI24010</t>
  </si>
  <si>
    <t>InSet Plus Glenoid 22MM X 10°</t>
  </si>
  <si>
    <t>Reverse Poly Bearing 42mm std</t>
  </si>
  <si>
    <t>PRODIGO1053548</t>
  </si>
  <si>
    <t>PRODIGO1053504</t>
  </si>
  <si>
    <t>PRODIGO1053514</t>
  </si>
  <si>
    <t>PRODIGO1053524</t>
  </si>
  <si>
    <t>2R1P100036</t>
  </si>
  <si>
    <t>PRODIGO1053544</t>
  </si>
  <si>
    <t>CUSHIONS VALVELESS BUBBLE CUSHION 18X18IN</t>
  </si>
  <si>
    <t>PRODIGO1053564</t>
  </si>
  <si>
    <t>PRODIGO1053574</t>
  </si>
  <si>
    <t>Ref#</t>
  </si>
  <si>
    <t>2R1PN45045</t>
  </si>
  <si>
    <t>InSet Plus Glenoid 20MM X 5°</t>
  </si>
  <si>
    <t>HCPCS description</t>
  </si>
  <si>
    <t>Item Description (Long Description)</t>
  </si>
  <si>
    <t>0S0CI24006</t>
  </si>
  <si>
    <t>URL</t>
  </si>
  <si>
    <t>Reverse Baseplate Compression Screw4.5mm x 35mm</t>
  </si>
  <si>
    <t>PRODIGO1053439</t>
  </si>
  <si>
    <t>PRODIGO1053449</t>
  </si>
  <si>
    <t>PRODIGO1053459</t>
  </si>
  <si>
    <t>PRODIGO1053469</t>
  </si>
  <si>
    <t>016-239-2</t>
  </si>
  <si>
    <t>PRODIGO1053489</t>
  </si>
  <si>
    <t>PRODIGO1053499</t>
  </si>
  <si>
    <t>Reverse Baseplate Compression Screw4.5mm x 25mm</t>
  </si>
  <si>
    <t>Mfg Ref ID</t>
  </si>
  <si>
    <t>To Process</t>
  </si>
  <si>
    <t>0S1GK00002</t>
  </si>
  <si>
    <t>Classification Remarks1</t>
  </si>
  <si>
    <t>MSCBUB1818VL</t>
  </si>
  <si>
    <t>Project2</t>
  </si>
  <si>
    <t>Source1</t>
  </si>
  <si>
    <t>2N2HE21056</t>
  </si>
  <si>
    <t>2R1P120636</t>
  </si>
  <si>
    <t>InSet  Glenoid 24mm x 6mm</t>
  </si>
  <si>
    <t>HCPCS Desc1</t>
  </si>
  <si>
    <t>PRODIGO1053570</t>
  </si>
  <si>
    <t>Reverse Poly Bearing 42mm +6mm</t>
  </si>
  <si>
    <t>MEDLINE</t>
  </si>
  <si>
    <t>0S0CI30008</t>
  </si>
  <si>
    <t>2R1R240025</t>
  </si>
  <si>
    <t>Reverse Baseplate Locking Screw4.5mm x 15mm</t>
  </si>
  <si>
    <t>2R1P120333</t>
  </si>
  <si>
    <t>Validated MFR Num</t>
  </si>
  <si>
    <t>Offset Glenosphere - Cobalt Chrome 36mm x 0mm x +3mm</t>
  </si>
  <si>
    <t>2R1PT45015</t>
  </si>
  <si>
    <t>2R1PT45025</t>
  </si>
  <si>
    <t>2R1PT45035</t>
  </si>
  <si>
    <t>SHOULDER INNOVATIONS</t>
  </si>
  <si>
    <t>PRODIGO1053511</t>
  </si>
  <si>
    <t>Offset Humeral Head 46x18mm Sterile</t>
  </si>
  <si>
    <t>Location</t>
  </si>
  <si>
    <t>Offset Humeral Head 44x17mm Sterile</t>
  </si>
  <si>
    <t>Property</t>
  </si>
  <si>
    <t>2R1GEC2036</t>
  </si>
  <si>
    <t>InSet  Glenoid 20mm x 8mm</t>
  </si>
  <si>
    <t>Porous Titanium Humeral Stem 44mm Size 3</t>
  </si>
  <si>
    <t>MDT823331W</t>
  </si>
  <si>
    <t>Standardized UNSPSC1</t>
  </si>
  <si>
    <t>Reverse Baseplate Compression Screw4.5mm x 20mm</t>
  </si>
  <si>
    <t>Offset Glenosphere - Cobalt Chrome 33mm x 0mm x +3mm</t>
  </si>
  <si>
    <t>Standard Glenosphere - Cobalt Chrome 39mm x 0mm x 0mm</t>
  </si>
  <si>
    <t>Standardized UNSPSC</t>
  </si>
  <si>
    <t>PATIENT SUPPORTS HEELMEDIX ADVANCED STABLIZING WEDGE EACH</t>
  </si>
  <si>
    <t>Small Baseplate (24mm)  15mm Post  15 deg</t>
  </si>
  <si>
    <t>Data Enrichment | UNSPSC Classification</t>
  </si>
  <si>
    <t>2R1GEC3039</t>
  </si>
  <si>
    <t>2R1R270015</t>
  </si>
  <si>
    <t>Baseplate Set Screw Locking Nut (STD Long)5/16-18 x M4 x 10mm</t>
  </si>
  <si>
    <t>Reverse Poly Bearing 33mm +3mm</t>
  </si>
  <si>
    <t>2G2SC21320</t>
  </si>
  <si>
    <t>2G2SC21340</t>
  </si>
  <si>
    <t>Accepted Date</t>
  </si>
  <si>
    <t>PRODIGO1053520</t>
  </si>
  <si>
    <t>PRODIGO1053530</t>
  </si>
  <si>
    <t>PRODIGO1053540</t>
  </si>
  <si>
    <t>PRODIGO1053550</t>
  </si>
  <si>
    <t>PRODIGO1053555</t>
  </si>
  <si>
    <t>Offset Humeral Head 40x15mm Sterile</t>
  </si>
  <si>
    <t>Delivered</t>
  </si>
  <si>
    <t>2R1GSC0042</t>
  </si>
  <si>
    <t>Small Baseplate Long Post (24mm)  25mm Post  0 deg</t>
  </si>
  <si>
    <t>Gender</t>
  </si>
  <si>
    <t>PRODIGO1053505</t>
  </si>
  <si>
    <t>PRODIGO1053515</t>
  </si>
  <si>
    <t>Potential Duplicates</t>
  </si>
  <si>
    <t>Reverse Poly Bearing 36mm - 5 degree</t>
  </si>
  <si>
    <t>Description Duplicate</t>
  </si>
  <si>
    <t>S0CI27008</t>
  </si>
  <si>
    <t>PRODIGO1053565</t>
  </si>
  <si>
    <t>QE Code</t>
  </si>
  <si>
    <t>2R1PT45040</t>
  </si>
  <si>
    <t>Long Description</t>
  </si>
  <si>
    <t>Small Baseplate (24mm)  15mm Post  5 deg</t>
  </si>
  <si>
    <t>Glenosphere Locking Bolt_Short/Medium M4 x 0.7 x 20mm</t>
  </si>
  <si>
    <t>Reverse Baseplate Locking Screw4.5mm x 45mm</t>
  </si>
  <si>
    <t>Baseplate Set Screw Locking Nut (Medium)5/16-18 x M4 x 9mm</t>
  </si>
  <si>
    <t>S0CI27006</t>
  </si>
  <si>
    <t>PRODIGO1053557</t>
  </si>
  <si>
    <t>Sterile</t>
  </si>
  <si>
    <t>2R1P100039</t>
  </si>
  <si>
    <t>PRODIGO1053492</t>
  </si>
  <si>
    <t>InSet  Glenoid 22mm x 6mm</t>
  </si>
  <si>
    <t>PRODIGO1053448</t>
  </si>
  <si>
    <t>PRODIGO1053458</t>
  </si>
  <si>
    <t>PRODIGO1053468</t>
  </si>
  <si>
    <t>PRODIGO1053478</t>
  </si>
  <si>
    <t>PRODIGO1053488</t>
  </si>
  <si>
    <t>InSet  Glenoid 30mm x 8mm</t>
  </si>
  <si>
    <t>PRODIGO1053619</t>
  </si>
  <si>
    <t>2R1PC60025</t>
  </si>
  <si>
    <t>2R1PC60035</t>
  </si>
  <si>
    <t>2R1P151039</t>
  </si>
  <si>
    <t>Reverse Poly Bearing 33mm std</t>
  </si>
  <si>
    <t>PRODIGO1053433</t>
  </si>
  <si>
    <t>PRODIGO1053443</t>
  </si>
  <si>
    <t>PRODIGO1053453</t>
  </si>
  <si>
    <t>PRODIGO1053463</t>
  </si>
  <si>
    <t>PRODIGO1053473</t>
  </si>
  <si>
    <t>InSet Plus Glenoid 30MM X 10°</t>
  </si>
  <si>
    <t>CUSHIONS VALVELESS BUBBLE CUSHION 28X22IN</t>
  </si>
  <si>
    <t>QA Comments</t>
  </si>
  <si>
    <t>Ref</t>
  </si>
  <si>
    <t>2R1P100033</t>
  </si>
  <si>
    <t>InSet Plus Glenoid 22MM X 5°</t>
  </si>
  <si>
    <t>2R1T240015</t>
  </si>
  <si>
    <t>2R1P100042</t>
  </si>
  <si>
    <t>Offset Humeral Head 38x14mm Sterile</t>
  </si>
  <si>
    <t>RefName</t>
  </si>
  <si>
    <t>PRODIGO1053477</t>
  </si>
  <si>
    <t>STD Small Baseplate (24mm)  15mm Post  15 deg</t>
  </si>
  <si>
    <t>2N2HE21050</t>
  </si>
  <si>
    <t>2R1GSC0033</t>
  </si>
  <si>
    <t>SlNo</t>
  </si>
  <si>
    <t>MDT824440XL</t>
  </si>
  <si>
    <t>PRODIGO1053558</t>
  </si>
  <si>
    <t>Reverse Baseplate Central Post Screw6.0mm x 15mm</t>
  </si>
  <si>
    <t>SE Code</t>
  </si>
  <si>
    <t>PRODIGO1053523</t>
  </si>
  <si>
    <t>PRODIGO1053561</t>
  </si>
  <si>
    <t>2R1GLC0333</t>
  </si>
  <si>
    <t>2N2HE18040</t>
  </si>
  <si>
    <t>2R1PT45045</t>
  </si>
  <si>
    <t>STD Small Baseplate (24mm)  10mm Post  15 deg</t>
  </si>
  <si>
    <t>Item Description (Long Description 4000)1</t>
  </si>
  <si>
    <t>S1GK00002</t>
  </si>
  <si>
    <t>PRODIGO1053618</t>
  </si>
  <si>
    <t>PRODIGO1053508</t>
  </si>
  <si>
    <t>S0CI30008</t>
  </si>
  <si>
    <t>Potential Duplicates1</t>
  </si>
  <si>
    <t>Offset Humeral Head 40x18mm Sterile</t>
  </si>
  <si>
    <t>Standard Glenosphere - Cobalt Chrome 36mm x 0mm x 0mm</t>
  </si>
  <si>
    <t>PrimaryDimension(IDXODXLXWXHXDXTHK)</t>
  </si>
  <si>
    <t>Production User</t>
  </si>
  <si>
    <t>Standard Glenosphere - Cobalt Chrome 42mm x 0mm x 0mm</t>
  </si>
  <si>
    <t>2R1R270025</t>
  </si>
  <si>
    <t>2R1GSC0039</t>
  </si>
  <si>
    <t>2R1P120336</t>
  </si>
  <si>
    <t>Long Description 254 Enriched</t>
  </si>
  <si>
    <t>Sort Code</t>
  </si>
  <si>
    <t>PRODIGO1053483</t>
  </si>
  <si>
    <t>2N2HE19050</t>
  </si>
  <si>
    <t>PRODIGO1053531</t>
  </si>
  <si>
    <t>PRODIGO1053541</t>
  </si>
  <si>
    <t>PRODIGO1053551</t>
  </si>
  <si>
    <t>Short Description 60 Enriched</t>
  </si>
  <si>
    <t>PRODIGO1053571</t>
  </si>
  <si>
    <t>Glenosphere Locking Bolt_Medium/Long M4 x 0.7 x 26mm</t>
  </si>
  <si>
    <t>2R1T240515</t>
  </si>
  <si>
    <t>PRODIGO1053500</t>
  </si>
  <si>
    <t>InSet  Glenoid 20mm x 6mm</t>
  </si>
  <si>
    <t>Status</t>
  </si>
  <si>
    <t>DE Code</t>
  </si>
  <si>
    <t>6 mm 38 mm (DIA)</t>
  </si>
  <si>
    <t>2R1T240510</t>
  </si>
  <si>
    <t>PRODIGO1053567</t>
  </si>
  <si>
    <t>PRODIGO1053521</t>
  </si>
  <si>
    <t>Standard Glenosphere - Cobalt Chrome 33mm x 0mm x 0mm</t>
  </si>
  <si>
    <t>Eccentric Glenosphere - Cobalt Chrome 39mm x 3mm x 0mm</t>
  </si>
  <si>
    <t>CND</t>
  </si>
  <si>
    <t>Project1</t>
  </si>
  <si>
    <t>2G2SC21280</t>
  </si>
  <si>
    <t>2R2GB20030</t>
  </si>
  <si>
    <t>Screwdriver T20</t>
  </si>
  <si>
    <t>PRODIGO1053617</t>
  </si>
  <si>
    <t>Descr Status</t>
  </si>
  <si>
    <t>PRODIGO1053534</t>
  </si>
  <si>
    <t>2R1PC60045</t>
  </si>
  <si>
    <t>STD Small Baseplate (24mm)  15mm Post  10 deg</t>
  </si>
  <si>
    <t>2R1R241025</t>
  </si>
  <si>
    <t>2R1T241510</t>
  </si>
  <si>
    <t>2N2HE21044</t>
  </si>
  <si>
    <t>2R1P150539</t>
  </si>
  <si>
    <t>2R2GT40020</t>
  </si>
  <si>
    <t>Offset Glenosphere - Cobalt Chrome 33mm x 0mm x +6mm</t>
  </si>
  <si>
    <t>Reverse Poly Bearing 33mm - 5 degree</t>
  </si>
  <si>
    <t>Offset Humeral Head 50x21mm Sterile</t>
  </si>
  <si>
    <t>Reverse Poly Bearing 39mm +6mm</t>
  </si>
  <si>
    <t>2R1R241015</t>
  </si>
  <si>
    <t>PRODIGO1053506</t>
  </si>
  <si>
    <t>S0CI20008</t>
  </si>
  <si>
    <t>2N2HE18044</t>
  </si>
  <si>
    <t>Porous Titanium Humeral Stem 38mm Size 2</t>
  </si>
  <si>
    <t>0 mm (STD) 38 mm (DIA)</t>
  </si>
  <si>
    <t>Medium Baseplate Long Post (27mm)  25mm Post  10 deg</t>
  </si>
  <si>
    <t>Eccentric Glenosphere - Cobalt Chrome 42mm x 4mm x 0mm</t>
  </si>
  <si>
    <t>Offset Glenosphere - Cobalt Chrome 39mm x 0mm x +6mm</t>
  </si>
  <si>
    <t>S0CI20006</t>
  </si>
  <si>
    <t>2R1R240015</t>
  </si>
  <si>
    <t>Mfg Item Number</t>
  </si>
  <si>
    <t>PRODIGO1053518</t>
  </si>
  <si>
    <t>Miscellaneous</t>
  </si>
  <si>
    <t>PRODIGO1053447</t>
  </si>
  <si>
    <t>PRODIGO1053457</t>
  </si>
  <si>
    <t>PRODIGO1053467</t>
  </si>
  <si>
    <t>PRODIGO1053568</t>
  </si>
  <si>
    <t>Mfg Name</t>
  </si>
  <si>
    <t>Prodigo Standard Short Description - 254</t>
  </si>
  <si>
    <t>Reverse Baseplate Central Post Screw6.0mm x 30mm</t>
  </si>
  <si>
    <t>Offset Humeral Head 56x21mm Sterile</t>
  </si>
  <si>
    <t>Tab</t>
  </si>
  <si>
    <t>2R1GLC0633</t>
  </si>
  <si>
    <t>Batch</t>
  </si>
  <si>
    <t>PRODIGO1053510</t>
  </si>
  <si>
    <t>Offset Glenosphere - Cobalt Chrome 42mm x 0mm x +6mm</t>
  </si>
  <si>
    <t>Reverse Baseplate Central Post Screw6.0mm x 25mm</t>
  </si>
  <si>
    <t>37800</t>
  </si>
  <si>
    <t>BrandName</t>
  </si>
  <si>
    <t>2R1GLC0342</t>
  </si>
  <si>
    <t>Reverse Baseplate Locking Screw4.5mm x 30mm</t>
  </si>
  <si>
    <t>PRODIGO1053487</t>
  </si>
  <si>
    <t>Offset Humeral Head 44x15mm Sterile</t>
  </si>
  <si>
    <t>Offset Humeral Head 48x21mm Sterile</t>
  </si>
  <si>
    <t>PRODIGO1053438</t>
  </si>
  <si>
    <t>Reverse Baseplate Locking Screw4.5mm x 20mm</t>
  </si>
  <si>
    <t>PRODIGO1053464</t>
  </si>
  <si>
    <t>MDT824440P</t>
  </si>
  <si>
    <t>2N2HE15040</t>
  </si>
  <si>
    <t>Baseplate Set Screw Locking Nut (STD Short) 5/16-18 x M4 x 7.5mm</t>
  </si>
  <si>
    <t>Item Name (Short Description)</t>
  </si>
  <si>
    <t>Reverse Poly Bearing 39mm std</t>
  </si>
  <si>
    <t>Offset Humeral Head 52x21mm Sterile</t>
  </si>
  <si>
    <t>2R1GB40726</t>
  </si>
  <si>
    <t>Customer Code</t>
  </si>
  <si>
    <t>File Name</t>
  </si>
  <si>
    <t>S0CI22008</t>
  </si>
  <si>
    <t>Quality A/R</t>
  </si>
  <si>
    <t>Reverse Baseplate Central Post Screw6.0mm x 35mm</t>
  </si>
  <si>
    <t>2R1GN51640</t>
  </si>
  <si>
    <t>Reverse Baseplate Compression Screw4.5mm x 15mm</t>
  </si>
  <si>
    <t>Production Comments</t>
  </si>
  <si>
    <t>K-wire 2.4mm</t>
  </si>
  <si>
    <t>Peripheral Drill Bit3.0mm</t>
  </si>
  <si>
    <t>S0CI22006</t>
  </si>
  <si>
    <t>K-wire 1.6mm</t>
  </si>
  <si>
    <t>Short Description</t>
  </si>
  <si>
    <t>2R1T241515</t>
  </si>
  <si>
    <t>2R1PN45035</t>
  </si>
  <si>
    <t>InSet  Glenoid 27mm x 8mm</t>
  </si>
  <si>
    <t>2R1GLC0636</t>
  </si>
  <si>
    <t>2N2HE21048</t>
  </si>
  <si>
    <t>2N2AI30005</t>
  </si>
  <si>
    <t>PRODIGO1053535</t>
  </si>
  <si>
    <t>Volume/Weight</t>
  </si>
  <si>
    <t>PRODIGO1053616</t>
  </si>
  <si>
    <t>PRODIGO1053528</t>
  </si>
  <si>
    <t>PRODIGO1053559</t>
  </si>
  <si>
    <t>Reverse Baseplate Compression Screw4.5mm x 45mm</t>
  </si>
  <si>
    <t>2N2HE17044</t>
  </si>
  <si>
    <t>2R1GN51641</t>
  </si>
  <si>
    <t>URL1</t>
  </si>
  <si>
    <t>Reverse Baseplate Central Post Screw6.0mm x 45mm</t>
  </si>
  <si>
    <t>2N2HE18048</t>
  </si>
  <si>
    <t>Porous Titanium Humeral Stem 28mm Size 0</t>
  </si>
  <si>
    <t>2R1P120639</t>
  </si>
  <si>
    <t>MEDLINE INDUSTRIES INC</t>
  </si>
  <si>
    <t>UNSPC V24</t>
  </si>
  <si>
    <t>2R1P120342</t>
  </si>
  <si>
    <t>SLNo_Prod</t>
  </si>
  <si>
    <t>PRODIGO1053432</t>
  </si>
  <si>
    <t>Medium Baseplate Long Post (27mm)  25mm Post  0 deg</t>
  </si>
  <si>
    <t>Reverse Poly Bearing 33mm - 10 degree</t>
  </si>
  <si>
    <t>Small Baseplate (24mm)  15mm Post  0 deg</t>
  </si>
  <si>
    <t>2R1R270515</t>
  </si>
  <si>
    <t>Reverse Baseplate Locking Screw4.5mm x 25mm</t>
  </si>
  <si>
    <t>Remarks1</t>
  </si>
  <si>
    <t>PRODIGO1053509</t>
  </si>
  <si>
    <t>PRODIGO1053519</t>
  </si>
  <si>
    <t>PRODIGO1053436</t>
  </si>
  <si>
    <t>PRODIGO1053446</t>
  </si>
  <si>
    <t>PRODIGO1053456</t>
  </si>
  <si>
    <t>PRODIGO1053466</t>
  </si>
  <si>
    <t>PRODIGO1053569</t>
  </si>
  <si>
    <t>PRODIGO1053486</t>
  </si>
  <si>
    <t>PRODIGO1053496</t>
  </si>
  <si>
    <t>Offset Humeral Head 44x18mm Sterile</t>
  </si>
  <si>
    <t>Age</t>
  </si>
  <si>
    <t>Reverse Poly Bearing 42mm - 5 degree</t>
  </si>
  <si>
    <t>2R1P151033</t>
  </si>
  <si>
    <t>PRODIGO1053502</t>
  </si>
  <si>
    <t>PRODIGO1053512</t>
  </si>
  <si>
    <t>PRODIGO1053522</t>
  </si>
  <si>
    <t>QE Comments</t>
  </si>
  <si>
    <t>0S0CI30006</t>
  </si>
  <si>
    <t>2R1M380001</t>
  </si>
  <si>
    <t>RefCat</t>
  </si>
  <si>
    <t>PRODIGO1053572</t>
  </si>
  <si>
    <t>UNSPSC</t>
  </si>
  <si>
    <t>2R1R271525</t>
  </si>
  <si>
    <t>2N2HE15044</t>
  </si>
  <si>
    <t>Classification Remarks</t>
  </si>
  <si>
    <t>2R1R271515</t>
  </si>
  <si>
    <t>Size</t>
  </si>
  <si>
    <t>2R1PN45020</t>
  </si>
  <si>
    <t>2R1PN45030</t>
  </si>
  <si>
    <t>Porous Titanium Humeral Stemless 28mm Size0</t>
  </si>
  <si>
    <t>PRODIGO1053549</t>
  </si>
  <si>
    <t>UNSPSC Description</t>
  </si>
  <si>
    <t>2R1PN45040</t>
  </si>
  <si>
    <t>Len</t>
  </si>
  <si>
    <t>Enterra II Neurostimulator</t>
  </si>
  <si>
    <t>PRODIGO1053532</t>
  </si>
  <si>
    <t>PRODIGO1053493</t>
  </si>
  <si>
    <t>PRODIGO1053501</t>
  </si>
  <si>
    <t>2R1GLC0639</t>
  </si>
  <si>
    <t>Modifier</t>
  </si>
  <si>
    <t>Delivered Date</t>
  </si>
  <si>
    <t>Small Baseplate (24mm)  15mm Post  10 deg</t>
  </si>
  <si>
    <t>PRODIGO1053479</t>
  </si>
  <si>
    <t>Potential / Desc Duplicate across Consolidated</t>
  </si>
  <si>
    <t>Baseplate Set Screw for no central Screw (Long)5/16-18 x M4 x 12mm</t>
  </si>
  <si>
    <t>2R1GLC0642</t>
  </si>
  <si>
    <t>PRODIGO1053538</t>
  </si>
  <si>
    <t>0S0CI22008</t>
  </si>
  <si>
    <t>Offset Humeral Head 56x18mm Sterile</t>
  </si>
  <si>
    <t>Reverse Baseplate Compression Screw4.5mm x 40mm</t>
  </si>
  <si>
    <t>Offset Humeral Head 50x19mm Sterile</t>
  </si>
  <si>
    <t>2R1GN51643</t>
  </si>
  <si>
    <t>Standardized Manufacturer Item Number</t>
  </si>
  <si>
    <t>Packaging for drugs and solutions</t>
  </si>
  <si>
    <t>Screwdriver T15</t>
  </si>
  <si>
    <t>2N2HE16042</t>
  </si>
  <si>
    <t>2N2HE20052</t>
  </si>
  <si>
    <t>2N1IA00001</t>
  </si>
  <si>
    <t>2R1PC60020</t>
  </si>
  <si>
    <t>2R1PC60030</t>
  </si>
  <si>
    <t>Reverse Poly Bearing 36mm std</t>
  </si>
  <si>
    <t>Reverse Poly Bearing 33mm +6mm</t>
  </si>
  <si>
    <t>2N2SN06320</t>
  </si>
  <si>
    <t>2R1PC60040</t>
  </si>
  <si>
    <t>2R1P151042</t>
  </si>
  <si>
    <t>InSet  Glenoid 24mm x 8mm</t>
  </si>
  <si>
    <t>Previous CE Code</t>
  </si>
  <si>
    <t>2R1M380601</t>
  </si>
  <si>
    <t>Miscellaneous1</t>
  </si>
  <si>
    <t>Offset Glenosphere - Cobalt Chrome 39mm x 0mm x +3mm</t>
  </si>
  <si>
    <t>2N2SN06380</t>
  </si>
  <si>
    <t>Material</t>
  </si>
  <si>
    <t>ProdigoItemKey1</t>
  </si>
  <si>
    <t>Activities</t>
  </si>
  <si>
    <t>Offset Humeral Head 52x18mm Sterile</t>
  </si>
  <si>
    <t>2N2HE14038</t>
  </si>
  <si>
    <t>2R1T240010</t>
  </si>
  <si>
    <t>STD Small Baseplate (24mm)  15mm Post  0 deg</t>
  </si>
  <si>
    <t>STD Small Baseplate (24mm)  15mm Post  5 deg</t>
  </si>
  <si>
    <t>Medium Baseplate (27mm)  15mm Post  15 deg</t>
  </si>
  <si>
    <t>2N2HE18056</t>
  </si>
  <si>
    <t>2N2HE18046</t>
  </si>
  <si>
    <t>InSet Plus Glenoid 30MM X 5°</t>
  </si>
  <si>
    <t>InSet Plus Glenoid 27MM X 5°</t>
  </si>
  <si>
    <t>PRODIGO1053442</t>
  </si>
  <si>
    <t>PRODIGO1053452</t>
  </si>
  <si>
    <t>PRODIGO1053462</t>
  </si>
  <si>
    <t>PRODIGO1053472</t>
  </si>
  <si>
    <t>PRODIGO1053482</t>
  </si>
  <si>
    <t>Latex</t>
  </si>
  <si>
    <t>2R2GB90000</t>
  </si>
  <si>
    <t>435135</t>
  </si>
  <si>
    <t>STD Small Baseplate (24mm)  10mm Post  0 deg</t>
  </si>
  <si>
    <t>0S0CI20008</t>
  </si>
  <si>
    <t>PRODIGO1053435</t>
  </si>
  <si>
    <t>PRODIGO1053445</t>
  </si>
  <si>
    <t>PRODIGO1053455</t>
  </si>
  <si>
    <t>PRODIGO1053465</t>
  </si>
  <si>
    <t>PRODIGO1053475</t>
  </si>
  <si>
    <t>PRODIGO1053485</t>
  </si>
  <si>
    <t>PRODIGO1053495</t>
  </si>
  <si>
    <t>Small Baseplate Long Post (24mm)  25mm Post  5 deg</t>
  </si>
  <si>
    <t>Noun</t>
  </si>
  <si>
    <t>2N2HE15048</t>
  </si>
  <si>
    <t>2R1P120633</t>
  </si>
  <si>
    <t>Mapped with 066</t>
  </si>
  <si>
    <t>HEEL PROTECTORS HEELMEDIX FOOTCHECK HEEL PROTECTOR XL</t>
  </si>
  <si>
    <t>Medium Baseplate (27mm)  15mm Post  5 deg</t>
  </si>
  <si>
    <t>Medium Baseplate (27mm)  15mm Post  10 deg</t>
  </si>
  <si>
    <t>2R1T241015</t>
  </si>
  <si>
    <t>2R1R271015</t>
  </si>
  <si>
    <t>Start Date</t>
  </si>
  <si>
    <t>2R1GLC0336</t>
  </si>
  <si>
    <t>Adjective</t>
  </si>
  <si>
    <t>S0CI30006</t>
  </si>
  <si>
    <t>PRODIGO1053516</t>
  </si>
  <si>
    <t>PDF</t>
  </si>
  <si>
    <t>PDG</t>
  </si>
  <si>
    <t>2N2HE15052</t>
  </si>
  <si>
    <t>Reverse Poly Bearing 36mm - 10 degree</t>
  </si>
  <si>
    <t>2R1R271025</t>
  </si>
  <si>
    <t>2R1GB40720</t>
  </si>
  <si>
    <t>PRODIGO1053554</t>
  </si>
  <si>
    <t>2R2GT10000</t>
  </si>
  <si>
    <t>Short Description 60 Enriched1</t>
  </si>
  <si>
    <t>Porous Titanium Humeral Stem 32mm Size 1</t>
  </si>
  <si>
    <t>Reverse Baseplate Central Post Screw6.0mm x 20mm</t>
  </si>
  <si>
    <t>STD Small Baseplate (24mm)  10mm Post  10 deg</t>
  </si>
  <si>
    <t>Sort Comment</t>
  </si>
  <si>
    <t>2R1GN51642</t>
  </si>
  <si>
    <t>PRODIGO1053526</t>
  </si>
  <si>
    <t>PRODIGO1053536</t>
  </si>
  <si>
    <t>PRODIGO1053546</t>
  </si>
  <si>
    <t>Small Baseplate Long Post (24mm)  25mm Post  15 deg</t>
  </si>
  <si>
    <t>PRODIGO1053566</t>
  </si>
  <si>
    <t>2R1P120339</t>
  </si>
  <si>
    <t>Reverse Baseplate Locking Screw4.5mm x 40mm</t>
  </si>
  <si>
    <t>Porous Titanium Humeral Stemless 32mm Size1</t>
  </si>
  <si>
    <t>QA Code</t>
  </si>
  <si>
    <t>Offset Glenosphere - Cobalt Chrome 42mm x 0mm x +3mm</t>
  </si>
  <si>
    <t>Reverse Baseplate Central Post Screw6.0mm x 50mm</t>
  </si>
  <si>
    <t>PRODIGO1053517</t>
  </si>
  <si>
    <t>Offset Humeral Head 48x15mm Sterile</t>
  </si>
  <si>
    <t>2N2SN06280</t>
  </si>
  <si>
    <t>InSet Plus Glenoid 24MM X 10°</t>
  </si>
  <si>
    <t>PRODIGO1053529</t>
  </si>
  <si>
    <t>Offset Humeral Head 44x21mm Sterile</t>
  </si>
  <si>
    <t>Validated MFR Name</t>
  </si>
  <si>
    <t>0S0CI27008</t>
  </si>
  <si>
    <t>Small Baseplate Long Post (24mm)  25mm Post  10 deg</t>
  </si>
  <si>
    <t>Reverse Baseplate Compression Screw4.5mm x 30mm</t>
  </si>
  <si>
    <t>2N2HE18052</t>
  </si>
  <si>
    <t>2N2AI22005</t>
  </si>
  <si>
    <t>Screwdriver Set Screwdriver</t>
  </si>
  <si>
    <t>PRODIGO1053552</t>
  </si>
  <si>
    <t>Brandname1</t>
  </si>
  <si>
    <t>HEEL PROTECTORS HEELMEDIX FOOTCHECK HEEL PROTECTOR</t>
  </si>
  <si>
    <t>Conc</t>
  </si>
  <si>
    <t>Reverse Baseplate Central Post Screw6.0mm x 40mm</t>
  </si>
  <si>
    <t>PRODIGO1053431</t>
  </si>
  <si>
    <t>2N2AI22010</t>
  </si>
  <si>
    <t>PRODIGO1053451</t>
  </si>
  <si>
    <t>PRODIGO1053461</t>
  </si>
  <si>
    <t>PRODIGO1053471</t>
  </si>
  <si>
    <t>PRODIGO1053481</t>
  </si>
  <si>
    <t>PRODIGO1053491</t>
  </si>
  <si>
    <t>PRODIGO1053497</t>
  </si>
  <si>
    <t>2R1P151036</t>
  </si>
  <si>
    <t>2R1PC60050</t>
  </si>
  <si>
    <t>Count</t>
  </si>
  <si>
    <t>PRODIGO1053434</t>
  </si>
  <si>
    <t>PRODIGO1053444</t>
  </si>
  <si>
    <t>PRODIGO1053454</t>
  </si>
  <si>
    <t>InSet Plus Glenoid 20MM X 10°</t>
  </si>
  <si>
    <t>PRODIGO1053474</t>
  </si>
  <si>
    <t>PRODIGO1053484</t>
  </si>
  <si>
    <t>PRODIGO1053494</t>
  </si>
  <si>
    <t>Medium Baseplate Long Post (27mm)  25mm Post  5 deg</t>
  </si>
  <si>
    <t>0S0CI22006</t>
  </si>
  <si>
    <t>PRODIGO1053525</t>
  </si>
  <si>
    <t>2R1R240525</t>
  </si>
  <si>
    <t>2R1R240515</t>
  </si>
  <si>
    <t>2R1PN45025</t>
  </si>
  <si>
    <t>Job No</t>
  </si>
  <si>
    <t>2R1PN45015</t>
  </si>
  <si>
    <t>2R1PT45020</t>
  </si>
  <si>
    <t>2R1PT45030</t>
  </si>
  <si>
    <t>2N2SN06440</t>
  </si>
  <si>
    <t>Offset Glenosphere - Cobalt Chrome 36mm x 0mm x +6mm</t>
  </si>
  <si>
    <t>ForGhria_Output_2023-07-21</t>
  </si>
  <si>
    <t>Standardized Manufacturer Name</t>
  </si>
  <si>
    <t>ENTERRA MEDICAL</t>
  </si>
  <si>
    <t>2R1P150533</t>
  </si>
  <si>
    <t>Project</t>
  </si>
  <si>
    <t>InSet  Glenoid 22mm x 8mm</t>
  </si>
  <si>
    <t>Offset Humeral Head 42x16mm Sterile</t>
  </si>
  <si>
    <t>SE Comments</t>
  </si>
  <si>
    <t>2R1GEC4042</t>
  </si>
  <si>
    <t>2N2AI20005</t>
  </si>
  <si>
    <t>Secondary Dimension(IDXODXLXWXHXDXTHK)</t>
  </si>
  <si>
    <t>ProdigoItemKey</t>
  </si>
  <si>
    <t>2R1R241525</t>
  </si>
  <si>
    <t>2R1R241515</t>
  </si>
  <si>
    <t>UNSPSC Description1</t>
  </si>
  <si>
    <t>PRODIGO1053437</t>
  </si>
  <si>
    <t>Medium Baseplate (27mm)  15mm Post  0 deg</t>
  </si>
  <si>
    <t>2N2AI20010</t>
  </si>
  <si>
    <t>PRODIGO1053621</t>
  </si>
  <si>
    <t>Porous Titanium Humeral Stemless 34mm Size 1.5</t>
  </si>
  <si>
    <t>Project_Code</t>
  </si>
  <si>
    <t>Remarks</t>
  </si>
  <si>
    <t>PRODIGO1053507</t>
  </si>
  <si>
    <t>Offset Humeral Head 48x18mm Sterile</t>
  </si>
  <si>
    <t>PRODIGO1053527</t>
  </si>
  <si>
    <t>PRODIGO1053537</t>
  </si>
  <si>
    <t>PRODIGO1053547</t>
  </si>
  <si>
    <t>MSCBUB2822VL</t>
  </si>
  <si>
    <t>Lead Kit</t>
  </si>
  <si>
    <t>Source</t>
  </si>
  <si>
    <t>To_Process</t>
  </si>
  <si>
    <t>Medium Baseplate Long Post (27mm)  25mm Post  15 deg</t>
  </si>
  <si>
    <t>Corrected By</t>
  </si>
  <si>
    <t>0S0CI20006</t>
  </si>
  <si>
    <t>Color</t>
  </si>
  <si>
    <t>PRODIGO1053562</t>
  </si>
  <si>
    <t>2N2AI30010</t>
  </si>
  <si>
    <t>2R1GSC0036</t>
  </si>
  <si>
    <t>Eccentric Glenosphere - Cobalt Chrome 36mm x 2mm x 0mm</t>
  </si>
  <si>
    <t>Reverse Poly Bearing 39mm - 10 degree</t>
  </si>
  <si>
    <t>Reverse Poly Bearing 39mm +3mm</t>
  </si>
  <si>
    <t>UNSPSC1</t>
  </si>
  <si>
    <t>S0CI24008</t>
  </si>
  <si>
    <t>2R2GT40015</t>
  </si>
  <si>
    <t>PRODIGO1053441</t>
  </si>
  <si>
    <t>Central Drill Bit4.0mm</t>
  </si>
  <si>
    <t>HCPCS code</t>
  </si>
  <si>
    <t>Offset Humeral Head 52x20mm Sterile</t>
  </si>
  <si>
    <t>ENTERPRISE MEDICAL</t>
  </si>
  <si>
    <t>2R1P150536</t>
  </si>
  <si>
    <t>InSet  Glenoid 27mm x 6mm</t>
  </si>
  <si>
    <t>2R1T241010</t>
  </si>
  <si>
    <t>HCPCS1</t>
  </si>
  <si>
    <t>S0CI24006</t>
  </si>
  <si>
    <t>PRODIGO1053542</t>
  </si>
  <si>
    <t>11kProdigoItemKey</t>
  </si>
  <si>
    <t>PRODIGO1053556</t>
  </si>
  <si>
    <t>PRODIGO1053545</t>
  </si>
  <si>
    <t>Long Description 254 Enriched1</t>
  </si>
  <si>
    <t>2R1P120642</t>
  </si>
  <si>
    <t>64kProdigoItemKey</t>
  </si>
  <si>
    <t>Disposable</t>
  </si>
  <si>
    <t>2R1P150542</t>
  </si>
  <si>
    <t>PRODIGO1053440</t>
  </si>
  <si>
    <t>PRODIGO1053450</t>
  </si>
  <si>
    <t>PRODIGO1053460</t>
  </si>
  <si>
    <t>PRODIGO1053470</t>
  </si>
  <si>
    <t>PRODIGO1053480</t>
  </si>
  <si>
    <t>PRODIGO1053490</t>
  </si>
  <si>
    <t>2N2HE21052</t>
  </si>
  <si>
    <t>CE Comments</t>
  </si>
  <si>
    <t>Offset Humeral Head 52x15mm Sterile</t>
  </si>
  <si>
    <t>Reverse Poly Bearing 36mm +3mm</t>
  </si>
  <si>
    <t>2N2AI27005</t>
  </si>
  <si>
    <t>Reverse Poly Bearing 42mm +3mm</t>
  </si>
  <si>
    <t>Reverse Poly Bearing 39mm - 5 degree</t>
  </si>
  <si>
    <t>PRODIGO1053560</t>
  </si>
  <si>
    <t>0S0CI24008</t>
  </si>
  <si>
    <t>Reverse Poly Bearing 36mm +6mm</t>
  </si>
  <si>
    <t>2R1GLC0339</t>
  </si>
  <si>
    <t>2R1R270525</t>
  </si>
  <si>
    <t>InSet Plus Glenoid 24MM X 5°</t>
  </si>
  <si>
    <t>InSet  Glenoid 30mm x 6mm</t>
  </si>
  <si>
    <t>2N2AI27010</t>
  </si>
  <si>
    <t>InSet Plus Glenoid 27MM X 10°</t>
  </si>
  <si>
    <t>PRODIGO1053476</t>
  </si>
  <si>
    <t>Job No1</t>
  </si>
  <si>
    <t>STD Small Baseplate (24mm)  10mm Post  5 deg</t>
  </si>
  <si>
    <t>SOURCED</t>
  </si>
  <si>
    <t>THIRD PARTY</t>
  </si>
  <si>
    <t>UNSOURCED</t>
  </si>
  <si>
    <t>OK</t>
  </si>
  <si>
    <t>MEDTRONIC INC</t>
  </si>
  <si>
    <t>MEDTRONIC</t>
  </si>
  <si>
    <t>MEDTRONIC_37800</t>
  </si>
  <si>
    <t>MEDTRONIC_435135</t>
  </si>
  <si>
    <t>MEDLINE_MDT823331W</t>
  </si>
  <si>
    <t>MEDLINE_MDT824440P</t>
  </si>
  <si>
    <t>MEDLINE_MDT824440XL</t>
  </si>
  <si>
    <t>MEDLINE_MSCBUB1818VL</t>
  </si>
  <si>
    <t>MEDLINE_MSCBUB2822VL</t>
  </si>
  <si>
    <t>SHOULDER INNOVATIONS_0S0CI20006</t>
  </si>
  <si>
    <t>SHOULDER INNOVATIONS_0S0CI20008</t>
  </si>
  <si>
    <t>SHOULDER INNOVATIONS_0S0CI22006</t>
  </si>
  <si>
    <t>SHOULDER INNOVATIONS_0S0CI22008</t>
  </si>
  <si>
    <t>SHOULDER INNOVATIONS_0S0CI24006</t>
  </si>
  <si>
    <t>SHOULDER INNOVATIONS_0S0CI24008</t>
  </si>
  <si>
    <t>SHOULDER INNOVATIONS_0S0CI27006</t>
  </si>
  <si>
    <t>SHOULDER INNOVATIONS_0S0CI27008</t>
  </si>
  <si>
    <t>SHOULDER INNOVATIONS_0S0CI30006</t>
  </si>
  <si>
    <t>SHOULDER INNOVATIONS_0S0CI30008</t>
  </si>
  <si>
    <t>SHOULDER INNOVATIONS_0S1GK00002</t>
  </si>
  <si>
    <t>SHOULDER INNOVATIONS_2G2SC21280</t>
  </si>
  <si>
    <t>SHOULDER INNOVATIONS_2G2SC21320</t>
  </si>
  <si>
    <t>SHOULDER INNOVATIONS_2G2SC21340</t>
  </si>
  <si>
    <t>SHOULDER INNOVATIONS_2N1IA00001</t>
  </si>
  <si>
    <t>SHOULDER INNOVATIONS_2N2AI20005</t>
  </si>
  <si>
    <t>SHOULDER INNOVATIONS_2N2AI20010</t>
  </si>
  <si>
    <t>SHOULDER INNOVATIONS_2N2AI22005</t>
  </si>
  <si>
    <t>SHOULDER INNOVATIONS_2N2AI22010</t>
  </si>
  <si>
    <t>SHOULDER INNOVATIONS_2N2AI24005</t>
  </si>
  <si>
    <t>SHOULDER INNOVATIONS_2N2AI24010</t>
  </si>
  <si>
    <t>SHOULDER INNOVATIONS_2N2AI27005</t>
  </si>
  <si>
    <t>SHOULDER INNOVATIONS_2N2AI27010</t>
  </si>
  <si>
    <t>SHOULDER INNOVATIONS_2N2AI30005</t>
  </si>
  <si>
    <t>SHOULDER INNOVATIONS_2N2AI30010</t>
  </si>
  <si>
    <t>SHOULDER INNOVATIONS_2N2HE14038</t>
  </si>
  <si>
    <t>SHOULDER INNOVATIONS_2N2HE15040</t>
  </si>
  <si>
    <t>SHOULDER INNOVATIONS_2N2HE15044</t>
  </si>
  <si>
    <t>SHOULDER INNOVATIONS_2N2HE15048</t>
  </si>
  <si>
    <t>SHOULDER INNOVATIONS_2N2HE15052</t>
  </si>
  <si>
    <t>SHOULDER INNOVATIONS_2N2HE16042</t>
  </si>
  <si>
    <t>SHOULDER INNOVATIONS_2N2HE17044</t>
  </si>
  <si>
    <t>SHOULDER INNOVATIONS_2N2HE18040</t>
  </si>
  <si>
    <t>SHOULDER INNOVATIONS_2N2HE18044</t>
  </si>
  <si>
    <t>SHOULDER INNOVATIONS_2N2HE18046</t>
  </si>
  <si>
    <t>SHOULDER INNOVATIONS_2N2HE18048</t>
  </si>
  <si>
    <t>SHOULDER INNOVATIONS_2N2HE18052</t>
  </si>
  <si>
    <t>SHOULDER INNOVATIONS_2N2HE18056</t>
  </si>
  <si>
    <t>SHOULDER INNOVATIONS_2N2HE19050</t>
  </si>
  <si>
    <t>SHOULDER INNOVATIONS_2N2HE20052</t>
  </si>
  <si>
    <t>SHOULDER INNOVATIONS_2N2HE21044</t>
  </si>
  <si>
    <t>SHOULDER INNOVATIONS_2N2HE21048</t>
  </si>
  <si>
    <t>SHOULDER INNOVATIONS_2N2HE21050</t>
  </si>
  <si>
    <t>SHOULDER INNOVATIONS_2N2HE21052</t>
  </si>
  <si>
    <t>SHOULDER INNOVATIONS_2N2HE21056</t>
  </si>
  <si>
    <t>SHOULDER INNOVATIONS_2N2SN06280</t>
  </si>
  <si>
    <t>SHOULDER INNOVATIONS_2N2SN06320</t>
  </si>
  <si>
    <t>SHOULDER INNOVATIONS_2N2SN06380</t>
  </si>
  <si>
    <t>SHOULDER INNOVATIONS_2N2SN06440</t>
  </si>
  <si>
    <t>SHOULDER INNOVATIONS_2R1GB40720</t>
  </si>
  <si>
    <t>SHOULDER INNOVATIONS_2R1GB40726</t>
  </si>
  <si>
    <t>SHOULDER INNOVATIONS_2R1GEC2036</t>
  </si>
  <si>
    <t>SHOULDER INNOVATIONS_2R1GEC3039</t>
  </si>
  <si>
    <t>SHOULDER INNOVATIONS_2R1GEC4042</t>
  </si>
  <si>
    <t>SHOULDER INNOVATIONS_2R1GLC0333</t>
  </si>
  <si>
    <t>SHOULDER INNOVATIONS_2R1GLC0336</t>
  </si>
  <si>
    <t>SHOULDER INNOVATIONS_2R1GLC0339</t>
  </si>
  <si>
    <t>SHOULDER INNOVATIONS_2R1GLC0342</t>
  </si>
  <si>
    <t>SHOULDER INNOVATIONS_2R1GLC0633</t>
  </si>
  <si>
    <t>SHOULDER INNOVATIONS_2R1GLC0636</t>
  </si>
  <si>
    <t>SHOULDER INNOVATIONS_2R1GLC0639</t>
  </si>
  <si>
    <t>SHOULDER INNOVATIONS_2R1GLC0642</t>
  </si>
  <si>
    <t>SHOULDER INNOVATIONS_2R1GN51640</t>
  </si>
  <si>
    <t>SHOULDER INNOVATIONS_2R1GN51641</t>
  </si>
  <si>
    <t>SHOULDER INNOVATIONS_2R1GN51642</t>
  </si>
  <si>
    <t>SHOULDER INNOVATIONS_2R1GN51643</t>
  </si>
  <si>
    <t>SHOULDER INNOVATIONS_2R1GSC0033</t>
  </si>
  <si>
    <t>SHOULDER INNOVATIONS_2R1GSC0036</t>
  </si>
  <si>
    <t>SHOULDER INNOVATIONS_2R1GSC0039</t>
  </si>
  <si>
    <t>SHOULDER INNOVATIONS_2R1GSC0042</t>
  </si>
  <si>
    <t>SHOULDER INNOVATIONS_2R1M380001</t>
  </si>
  <si>
    <t>SHOULDER INNOVATIONS_2R1M380601</t>
  </si>
  <si>
    <t>SHOULDER INNOVATIONS_2R1P100033</t>
  </si>
  <si>
    <t>SHOULDER INNOVATIONS_2R1P100036</t>
  </si>
  <si>
    <t>SHOULDER INNOVATIONS_2R1P100039</t>
  </si>
  <si>
    <t>SHOULDER INNOVATIONS_2R1P100042</t>
  </si>
  <si>
    <t>SHOULDER INNOVATIONS_2R1P120333</t>
  </si>
  <si>
    <t>SHOULDER INNOVATIONS_2R1P120336</t>
  </si>
  <si>
    <t>SHOULDER INNOVATIONS_2R1P120339</t>
  </si>
  <si>
    <t>SHOULDER INNOVATIONS_2R1P120342</t>
  </si>
  <si>
    <t>SHOULDER INNOVATIONS_2R1P120633</t>
  </si>
  <si>
    <t>SHOULDER INNOVATIONS_2R1P120636</t>
  </si>
  <si>
    <t>SHOULDER INNOVATIONS_2R1P120639</t>
  </si>
  <si>
    <t>SHOULDER INNOVATIONS_2R1P120642</t>
  </si>
  <si>
    <t>SHOULDER INNOVATIONS_2R1P150533</t>
  </si>
  <si>
    <t>SHOULDER INNOVATIONS_2R1P150536</t>
  </si>
  <si>
    <t>SHOULDER INNOVATIONS_2R1P150539</t>
  </si>
  <si>
    <t>SHOULDER INNOVATIONS_2R1P150542</t>
  </si>
  <si>
    <t>SHOULDER INNOVATIONS_2R1P151033</t>
  </si>
  <si>
    <t>SHOULDER INNOVATIONS_2R1P151036</t>
  </si>
  <si>
    <t>SHOULDER INNOVATIONS_2R1P151039</t>
  </si>
  <si>
    <t>SHOULDER INNOVATIONS_2R1P151042</t>
  </si>
  <si>
    <t>SHOULDER INNOVATIONS_2R1PC60015</t>
  </si>
  <si>
    <t>SHOULDER INNOVATIONS_2R1PC60020</t>
  </si>
  <si>
    <t>SHOULDER INNOVATIONS_2R1PC60025</t>
  </si>
  <si>
    <t>SHOULDER INNOVATIONS_2R1PC60030</t>
  </si>
  <si>
    <t>SHOULDER INNOVATIONS_2R1PC60035</t>
  </si>
  <si>
    <t>SHOULDER INNOVATIONS_2R1PC60040</t>
  </si>
  <si>
    <t>SHOULDER INNOVATIONS_2R1PC60045</t>
  </si>
  <si>
    <t>SHOULDER INNOVATIONS_2R1PC60050</t>
  </si>
  <si>
    <t>SHOULDER INNOVATIONS_2R1PN45015</t>
  </si>
  <si>
    <t>SHOULDER INNOVATIONS_2R1PN45020</t>
  </si>
  <si>
    <t>SHOULDER INNOVATIONS_2R1PN45025</t>
  </si>
  <si>
    <t>SHOULDER INNOVATIONS_2R1PN45030</t>
  </si>
  <si>
    <t>SHOULDER INNOVATIONS_2R1PN45035</t>
  </si>
  <si>
    <t>SHOULDER INNOVATIONS_2R1PN45040</t>
  </si>
  <si>
    <t>SHOULDER INNOVATIONS_2R1PN45045</t>
  </si>
  <si>
    <t>SHOULDER INNOVATIONS_2R1PT45015</t>
  </si>
  <si>
    <t>SHOULDER INNOVATIONS_2R1PT45020</t>
  </si>
  <si>
    <t>SHOULDER INNOVATIONS_2R1PT45025</t>
  </si>
  <si>
    <t>SHOULDER INNOVATIONS_2R1PT45030</t>
  </si>
  <si>
    <t>SHOULDER INNOVATIONS_2R1PT45035</t>
  </si>
  <si>
    <t>SHOULDER INNOVATIONS_2R1PT45040</t>
  </si>
  <si>
    <t>SHOULDER INNOVATIONS_2R1PT45045</t>
  </si>
  <si>
    <t>SHOULDER INNOVATIONS_2R1R240015</t>
  </si>
  <si>
    <t>SHOULDER INNOVATIONS_2R1R240025</t>
  </si>
  <si>
    <t>SHOULDER INNOVATIONS_2R1R240515</t>
  </si>
  <si>
    <t>SHOULDER INNOVATIONS_2R1R240525</t>
  </si>
  <si>
    <t>SHOULDER INNOVATIONS_2R1R241015</t>
  </si>
  <si>
    <t>SHOULDER INNOVATIONS_2R1R241025</t>
  </si>
  <si>
    <t>SHOULDER INNOVATIONS_2R1R241515</t>
  </si>
  <si>
    <t>SHOULDER INNOVATIONS_2R1R241525</t>
  </si>
  <si>
    <t>SHOULDER INNOVATIONS_2R1R270015</t>
  </si>
  <si>
    <t>SHOULDER INNOVATIONS_2R1R270025</t>
  </si>
  <si>
    <t>SHOULDER INNOVATIONS_2R1R270515</t>
  </si>
  <si>
    <t>SHOULDER INNOVATIONS_2R1R270525</t>
  </si>
  <si>
    <t>SHOULDER INNOVATIONS_2R1R271015</t>
  </si>
  <si>
    <t>SHOULDER INNOVATIONS_2R1R271025</t>
  </si>
  <si>
    <t>SHOULDER INNOVATIONS_2R1R271515</t>
  </si>
  <si>
    <t>SHOULDER INNOVATIONS_2R1R271525</t>
  </si>
  <si>
    <t>SHOULDER INNOVATIONS_2R1T240010</t>
  </si>
  <si>
    <t>SHOULDER INNOVATIONS_2R1T240015</t>
  </si>
  <si>
    <t>SHOULDER INNOVATIONS_2R1T240510</t>
  </si>
  <si>
    <t>SHOULDER INNOVATIONS_2R1T240515</t>
  </si>
  <si>
    <t>SHOULDER INNOVATIONS_2R1T241010</t>
  </si>
  <si>
    <t>SHOULDER INNOVATIONS_2R1T241015</t>
  </si>
  <si>
    <t>SHOULDER INNOVATIONS_2R1T241510</t>
  </si>
  <si>
    <t>SHOULDER INNOVATIONS_2R1T241515</t>
  </si>
  <si>
    <t>SHOULDER INNOVATIONS_2R2GB20030</t>
  </si>
  <si>
    <t>SHOULDER INNOVATIONS_2R2GB90000</t>
  </si>
  <si>
    <t>SHOULDER INNOVATIONS_2R2GT10000</t>
  </si>
  <si>
    <t>SHOULDER INNOVATIONS_2R2GT40015</t>
  </si>
  <si>
    <t>SHOULDER INNOVATIONS_2R2GT40020</t>
  </si>
  <si>
    <t>42295419  Surgical nerve stimulators</t>
  </si>
  <si>
    <t>C1787</t>
  </si>
  <si>
    <t>PATIENT PROGRAMMER, NEUROSTIMULATOR</t>
  </si>
  <si>
    <t>Enterra™ II Neurostimulator</t>
  </si>
  <si>
    <t>STIMULATOR, NERVE, QUADRIPOLAR, 60X55X11.4 MM, 28 CC, 45 GM, PROGRAMMABLE, STERILE, ENTERRA II, LATEX</t>
  </si>
  <si>
    <t>STIMULATOR, NERVE, QPLR, 60X55X11.4 MM, 28 CC, 45 GM, PROGRAMMABLE, STRL, ENTERRA II, LTX</t>
  </si>
  <si>
    <t>STIMULATOR, NERVE, QPLR, 60X55X11.4 MM, 28 CC, 45 GM, ENTERRA II</t>
  </si>
  <si>
    <t>STIMULATOR</t>
  </si>
  <si>
    <t>NERVE</t>
  </si>
  <si>
    <t>QUADRIPOLAR</t>
  </si>
  <si>
    <t>60X55X11.4 MM</t>
  </si>
  <si>
    <t>28 CC, 45 GM</t>
  </si>
  <si>
    <t>PROGRAMMABLE</t>
  </si>
  <si>
    <t>STERILE</t>
  </si>
  <si>
    <t>ENTERRA II</t>
  </si>
  <si>
    <t>LATEX</t>
  </si>
  <si>
    <t>https://www.enterramedical.com/wp-content/uploads/M943021A_a_019_view.pdf, https://accessgudid.nlm.nih.gov/devices/00643169360686</t>
  </si>
  <si>
    <t>42295477  Surgical nerve stimulator accessories</t>
  </si>
  <si>
    <t>C1778</t>
  </si>
  <si>
    <t>LEAD, NEUROSTIMULATOR (IMPLANTABLE)</t>
  </si>
  <si>
    <t>Enterra® Leads</t>
  </si>
  <si>
    <t>LEAD, NERVE STIMULATOR, KIT, STERILE, ENTERRA, LATEX</t>
  </si>
  <si>
    <t>LEAD, NERVE STIM, KT, STRL, ENTERRA, LTX</t>
  </si>
  <si>
    <t>LEAD</t>
  </si>
  <si>
    <t>NERVE STIMULATOR</t>
  </si>
  <si>
    <t>KIT</t>
  </si>
  <si>
    <t>ENTERRA</t>
  </si>
  <si>
    <t>http://www.figeducation.com/nlcp/resources/section-6/Spinal%20Cord%20Stimulator%20Codes%202.pdf, https://accessgudid.nlm.nih.gov/devices/00643169936577</t>
  </si>
  <si>
    <t>42211503  Positioning devices</t>
  </si>
  <si>
    <t>E0190</t>
  </si>
  <si>
    <t>POSITIONING CUSHION/PILLOW/WEDGE, ANY SHAPE OR SIZE, INCLUDES ALL COMPONENTS AND ACCESSORIES</t>
  </si>
  <si>
    <t>HEELMEDIX Advanced Heel Protectors</t>
  </si>
  <si>
    <t>PROTECTOR, HEEL, STABILIZING WEDGE, OPEN END, STRAP, PATIENT SUPPORT, BLACK, HEELMEDIX ADVANCED, LATEX-FREE, REUSABLE</t>
  </si>
  <si>
    <t>PROTECTOR, HEEL, STABILIZING WDG, OPN END, STRP, PT SUPP, BLK, HEELMEDIX ADV, LF, REUSE</t>
  </si>
  <si>
    <t>PROTECTOR, HEEL, STABILIZING WDG, OPN END, BLK, HEELMEDIX ADV, LF</t>
  </si>
  <si>
    <t>PROTECTOR</t>
  </si>
  <si>
    <t>HEEL</t>
  </si>
  <si>
    <t>STABILIZING WEDGE</t>
  </si>
  <si>
    <t>OPEN END, STRAP, PATIENT SUPPORT</t>
  </si>
  <si>
    <t>BLACK</t>
  </si>
  <si>
    <t>HEELMEDIX ADVANCED</t>
  </si>
  <si>
    <t>LATEX-FREE</t>
  </si>
  <si>
    <t>REUSABLE</t>
  </si>
  <si>
    <t>EA</t>
  </si>
  <si>
    <t>https://punchout.medline.com/sku/item/MDPMDT823331W</t>
  </si>
  <si>
    <t>HeelMedix FootCheck Heel Protector, Petite</t>
  </si>
  <si>
    <t>PROTECTOR, HEEL, PETITE, 5-11 IN, FOOTCHECK PANEL, FIBER FILLED, HEELMEDIX, LATEX-FREE, DISPOSABLE</t>
  </si>
  <si>
    <t>PROTECTOR, HEEL, PET, 5-11 IN, FOOTCHECK PANEL, FIBER FILLED, HEELMEDIX, LF, DISP</t>
  </si>
  <si>
    <t>PROTECTOR, HEEL, PET, 5-11 IN, FOOTCHECK PANEL, FIBER, HEELMEDIX</t>
  </si>
  <si>
    <t>PETITE</t>
  </si>
  <si>
    <t>5-11 IN</t>
  </si>
  <si>
    <t>FOOTCHECK PANEL</t>
  </si>
  <si>
    <t>FIBER FILLED</t>
  </si>
  <si>
    <t>HEELMEDIX</t>
  </si>
  <si>
    <t>DISPOSABLE</t>
  </si>
  <si>
    <t>https://punchout.medline.com/sku/item/MDPMDT824440P;ecomsessionid=H8n0E6TeSZuJyY0B-IBBHKAiI_rvXO8cy3dS9oDt.OCC01-b2b?skuIndex=S3&amp;question=&amp;flowType=&amp;indexCount=</t>
  </si>
  <si>
    <t>HeelMedix FootCheck Heel Protector, XL</t>
  </si>
  <si>
    <t>PROTECTOR, HEEL, XLARGE, 19-25 IN, FOOTCHECK PANEL, FIBER FILLED, BLACK, GRAY, HEELMEDIX, LATEX-FREE, DISPOSABLE</t>
  </si>
  <si>
    <t>PROTECTOR, HEEL, XL, 19-25 IN, FOOTCHECK PANEL, FIBER FILLED, BLK, GRY, HEELMEDIX, LF, DISP</t>
  </si>
  <si>
    <t>PROTECTOR, HEEL, XL, 19-25 IN, FOOTCHECK PANEL, FIBER, HEELMEDIX</t>
  </si>
  <si>
    <t>XLARGE</t>
  </si>
  <si>
    <t>19-25 IN</t>
  </si>
  <si>
    <t>BLACK, GRAY</t>
  </si>
  <si>
    <t>https://punchout.medline.com/sku/item/MDPMDT824440XL</t>
  </si>
  <si>
    <t>42141705  Patient positioning cushion or pad or pillow</t>
  </si>
  <si>
    <t>Valveless Bubble Cushion, 18" x 18"</t>
  </si>
  <si>
    <t>CUSHION, POSITIONING, VALVELESS BUBBLE, 18X18 IN, 325 LB, PRESSURE RELIEF, PRE-INFLATED, FOR WHEELCHAIR, PVC, GRAY, LATEX-FREE</t>
  </si>
  <si>
    <t>CUSHION, POS, VALVELESS BUB, 18X18 IN, 325 LB, PRESSURE REL, PRE-INFLATED, FOR WHEELCHAIR, PVC, GRY, LF</t>
  </si>
  <si>
    <t>CUSHION, POS, VALVELESS BUB, 18X18 IN, 325 LB, WHEELCHAIR, PVC, GRY</t>
  </si>
  <si>
    <t>CUSHION</t>
  </si>
  <si>
    <t>POSITIONING</t>
  </si>
  <si>
    <t>VALVELESS BUBBLE</t>
  </si>
  <si>
    <t>18X18 IN</t>
  </si>
  <si>
    <t>325 LB</t>
  </si>
  <si>
    <t>PRESSURE RELIEF, PRE-INFLATED, FOR WHEELCHAIR</t>
  </si>
  <si>
    <t>PVC</t>
  </si>
  <si>
    <t>GRAY</t>
  </si>
  <si>
    <t>https://punchout.medline.com/sku/item/MDPMSCBUB1818VL</t>
  </si>
  <si>
    <t>Valveless Bubble Cushion, Bariatric, 28" x 22"</t>
  </si>
  <si>
    <t>CUSHION, POSITIONING, VALVELESS BUBBLE, BARIATRIC, 28X22 IN, 725 LB, PRESSURE RELIEF, PRE-INFLATED, FOR WHEELCHAIR, PVC, GRAY, LATEX-FREE</t>
  </si>
  <si>
    <t>CUSHION, POS, VALVELESS BUB, BRTRC, 28X22 IN, 725 LB, PRESSURE REL, PRE-INFLATED, FOR WHEELCHAIR, PVC, GRY, LF</t>
  </si>
  <si>
    <t>CUSHION, POS, VALVELESS BUB, BRTRC, 28X22 IN, 725 LB, WHEELCHAIR</t>
  </si>
  <si>
    <t>BARIATRIC</t>
  </si>
  <si>
    <t>28X22 IN</t>
  </si>
  <si>
    <t>725 LB</t>
  </si>
  <si>
    <t>https://punchout.medline.com/sku/item/MDPMSCBUB2822VL</t>
  </si>
  <si>
    <t>42321906  Glenoid fixation components</t>
  </si>
  <si>
    <t>C1776</t>
  </si>
  <si>
    <t>JOINT DEVICE (IMPLANTABLE)</t>
  </si>
  <si>
    <t>Circular Glenoid w/ In-Line Peripheral Pegs 20 mm x 6 mm</t>
  </si>
  <si>
    <t>COMPONENT, GLENOID, CIRCULAR, 20X6 MM, SHOULDER, WITH IN-LINE PERIPHERAL PEG, UHMWPE, STERILE, INSET, LATEX</t>
  </si>
  <si>
    <t>COMPONENT, GLEN, CIR, 20X6 MM, SHLDR, W/ IN-LINE PERIPH PEG, UHMWPE, STRL, INSET, LTX</t>
  </si>
  <si>
    <t>COMPONENT, GLEN, CIR, 20X6 MM, SHLDR, W/ IN-LINE PERIPH PEG, INSET</t>
  </si>
  <si>
    <t>COMPONENT</t>
  </si>
  <si>
    <t>GLENOID</t>
  </si>
  <si>
    <t>CIRCULAR</t>
  </si>
  <si>
    <t>20X6 MM</t>
  </si>
  <si>
    <t>SHOULDER</t>
  </si>
  <si>
    <t>WITH IN-LINE PERIPHERAL PEG</t>
  </si>
  <si>
    <t>UHMWPE</t>
  </si>
  <si>
    <t>INSET</t>
  </si>
  <si>
    <t>https://accessgudid.nlm.nih.gov/devices/B1130S0CI200060</t>
  </si>
  <si>
    <t>Circular Glenoid w/ In-Line Peripheral Pegs 20 mm x 8 mm</t>
  </si>
  <si>
    <t>COMPONENT, GLENOID, CIRCULAR, 20X8 MM, SHOULDER, WITH IN-LINE PERIPHERAL PEG, UHMWPE, STERILE, INSET, LATEX</t>
  </si>
  <si>
    <t>COMPONENT, GLEN, CIR, 20X8 MM, SHLDR, W/ IN-LINE PERIPH PEG, UHMWPE, STRL, INSET, LTX</t>
  </si>
  <si>
    <t>COMPONENT, GLEN, CIR, 20X8 MM, SHLDR, W/ IN-LINE PERIPH PEG, INSET</t>
  </si>
  <si>
    <t>20X8 MM</t>
  </si>
  <si>
    <t>https://accessgudid.nlm.nih.gov/devices/B1130S0CI200080</t>
  </si>
  <si>
    <t>Circular Glenoid w/ In-Line Peripheral Pegs 22 mm x 6 mm</t>
  </si>
  <si>
    <t>COMPONENT, GLENOID, CIRCULAR, 22X6 MM, SHOULDER, WITH IN-LINE PERIPHERAL PEG, UHMWPE, STERILE, INSET, LATEX</t>
  </si>
  <si>
    <t>COMPONENT, GLEN, CIR, 22X6 MM, SHLDR, W/ IN-LINE PERIPH PEG, UHMWPE, STRL, INSET, LTX</t>
  </si>
  <si>
    <t>COMPONENT, GLEN, CIR, 22X6 MM, SHLDR, W/ IN-LINE PERIPH PEG, INSET</t>
  </si>
  <si>
    <t>22X6 MM</t>
  </si>
  <si>
    <t>https://shoulderinnovations.com/wp-content/uploads/2018/05/Shoulder-Innovations-Surgical-Technique.pdf</t>
  </si>
  <si>
    <t>Circular Glenoid w/ In-Line Peripheral Pegs 22 mm x 8 mm</t>
  </si>
  <si>
    <t>COMPONENT, GLENOID, CIRCULAR, 22X8 MM, SHOULDER, WITH IN-LINE PERIPHERAL PEG, UHMWPE, STERILE, INSET, LATEX</t>
  </si>
  <si>
    <t>COMPONENT, GLEN, CIR, 22X8 MM, SHLDR, W/ IN-LINE PERIPH PEG, UHMWPE, STRL, INSET, LTX</t>
  </si>
  <si>
    <t>COMPONENT, GLEN, CIR, 22X8 MM, SHLDR, W/ IN-LINE PERIPH PEG, INSET</t>
  </si>
  <si>
    <t>22X8 MM</t>
  </si>
  <si>
    <t>Circular Glenoid w/ In-Line Peripheral Pegs 24 mm x 6 mm</t>
  </si>
  <si>
    <t>COMPONENT, GLENOID, CIRCULAR, 24X6 MM, SHOULDER, WITH IN-LINE PERIPHERAL PEG, UHMWPE, STERILE, INSET, LATEX</t>
  </si>
  <si>
    <t>COMPONENT, GLEN, CIR, 24X6 MM, SHLDR, W/ IN-LINE PERIPH PEG, UHMWPE, STRL, INSET, LTX</t>
  </si>
  <si>
    <t>COMPONENT, GLEN, CIR, 24X6 MM, SHLDR, W/ IN-LINE PERIPH PEG, INSET</t>
  </si>
  <si>
    <t>24X6 MM</t>
  </si>
  <si>
    <t>Circular Glenoid w/ In-Line Peripheral Pegs 24 mm x 8 mm</t>
  </si>
  <si>
    <t>COMPONENT, GLENOID, CIRCULAR, 24X8 MM, SHOULDER, WITH IN-LINE PERIPHERAL PEG, UHMWPE, STERILE, INSET, LATEX</t>
  </si>
  <si>
    <t>COMPONENT, GLEN, CIR, 24X8 MM, SHLDR, W/ IN-LINE PERIPH PEG, UHMWPE, STRL, INSET, LTX</t>
  </si>
  <si>
    <t>COMPONENT, GLEN, CIR, 24X8 MM, SHLDR, W/ IN-LINE PERIPH PEG, INSET</t>
  </si>
  <si>
    <t>24X8 MM</t>
  </si>
  <si>
    <t>Circular Glenoid w/ In-Line Peripheral Pegs 27 mm x 6 mm</t>
  </si>
  <si>
    <t>COMPONENT, GLENOID, CIRCULAR, 27X6 MM, SHOULDER, WITH IN-LINE PERIPHERAL PEG, UHMWPE, STERILE, INSET, LATEX</t>
  </si>
  <si>
    <t>COMPONENT, GLEN, CIR, 27X6 MM, SHLDR, W/ IN-LINE PERIPH PEG, UHMWPE, STRL, INSET, LTX</t>
  </si>
  <si>
    <t>COMPONENT, GLEN, CIR, 27X6 MM, SHLDR, W/ IN-LINE PERIPH PEG, INSET</t>
  </si>
  <si>
    <t>27X6 MM</t>
  </si>
  <si>
    <t>Circular Glenoid w/ In-Line Peripheral Pegs 27 mm x 8 mm</t>
  </si>
  <si>
    <t>COMPONENT, GLENOID, CIRCULAR, 27X8 MM, SHOULDER, WITH IN-LINE PERIPHERAL PEG, UHMWPE, STERILE, INSET, LATEX</t>
  </si>
  <si>
    <t>COMPONENT, GLEN, CIR, 27X8 MM, SHLDR, W/ IN-LINE PERIPH PEG, UHMWPE, STRL, INSET, LTX</t>
  </si>
  <si>
    <t>COMPONENT, GLEN, CIR, 27X8 MM, SHLDR, W/ IN-LINE PERIPH PEG, INSET</t>
  </si>
  <si>
    <t>27X8 MM</t>
  </si>
  <si>
    <t>Circular Glenoid w/ In-Line Peripheral Pegs 30 mm x 6 mm</t>
  </si>
  <si>
    <t>COMPONENT, GLENOID, CIRCULAR, 30X6 MM, SHOULDER, WITH IN-LINE PERIPHERAL PEG, UHMWPE, STERILE, INSET, LATEX</t>
  </si>
  <si>
    <t>COMPONENT, GLEN, CIR, 30X6 MM, SHLDR, W/ IN-LINE PERIPH PEG, UHMWPE, STRL, INSET, LTX</t>
  </si>
  <si>
    <t>COMPONENT, GLEN, CIR, 30X6 MM, SHLDR, W/ IN-LINE PERIPH PEG, INSET</t>
  </si>
  <si>
    <t>30X6 MM</t>
  </si>
  <si>
    <t>Circular Glenoid w/ In-Line Peripheral Pegs 30 mm x 8 mm</t>
  </si>
  <si>
    <t>COMPONENT, GLENOID, CIRCULAR, 30X8 MM, SHOULDER, WITH IN-LINE PERIPHERAL PEG, UHMWPE, STERILE, INSET, LATEX</t>
  </si>
  <si>
    <t>COMPONENT, GLEN, CIR, 30X8 MM, SHLDR, W/ IN-LINE PERIPH PEG, UHMWPE, STRL, INSET, LTX</t>
  </si>
  <si>
    <t>COMPONENT, GLEN, CIR, 30X8 MM, SHLDR, W/ IN-LINE PERIPH PEG, INSET</t>
  </si>
  <si>
    <t>30X8 MM</t>
  </si>
  <si>
    <t>42321501  Surgical wires</t>
  </si>
  <si>
    <t>C1713</t>
  </si>
  <si>
    <t>ANCHOR/SCREW FOR OPPOSING BONE-TO-BONE OR SOFT TISSUE-TO-BONE (IMPLANTABLE)</t>
  </si>
  <si>
    <t>K Wire 9 in x 2.4 mm</t>
  </si>
  <si>
    <t>WIRE, FIXATION, 2.4 MM, SHOULDER, KIRSCHNER</t>
  </si>
  <si>
    <t>WIRE, FIX, 2.4 MM, SHLDR, KIRSCHNER</t>
  </si>
  <si>
    <t>WIRE</t>
  </si>
  <si>
    <t>FIXATION</t>
  </si>
  <si>
    <t>2.4 MM</t>
  </si>
  <si>
    <t>KIRSCHNER</t>
  </si>
  <si>
    <t>42321904  Resurfacing humeral components</t>
  </si>
  <si>
    <t>InSet Humeral Stemless, 28mm   Size 0</t>
  </si>
  <si>
    <t>COMPONENT, HUMERAL, STEMLESS, 0, 28 MM, SHOULDER, POROUS, TITANIUM, STERILE, INSET, LATEX</t>
  </si>
  <si>
    <t>COMPONENT, HUM, STEMLESS, 0, 28 MM, SHLDR, POROUS, TI, STRL, INSET, LTX</t>
  </si>
  <si>
    <t>COMPONENT, HUM, STEMLESS, 0, 28 MM, SHLDR, POROUS, TI, STRL, INSET</t>
  </si>
  <si>
    <t>HUMERAL</t>
  </si>
  <si>
    <t>STEMLESS</t>
  </si>
  <si>
    <t>28 MM</t>
  </si>
  <si>
    <t>POROUS, TITANIUM</t>
  </si>
  <si>
    <t>https://accessgudid.nlm.nih.gov/devices/B1132G2SC212800</t>
  </si>
  <si>
    <t>InSet Humeral Stemless, 32mm   Size 1</t>
  </si>
  <si>
    <t>COMPONENT, HUMERAL, STEMLESS, 1, 32 MM, SHOULDER, POROUS, TITANIUM, STERILE, INSET, LATEX</t>
  </si>
  <si>
    <t>COMPONENT, HUM, STEMLESS, 1, 32 MM, SHLDR, POROUS, TI, STRL, INSET, LTX</t>
  </si>
  <si>
    <t>COMPONENT, HUM, STEMLESS, 1, 32 MM, SHLDR, POROUS, TI, STRL, INSET</t>
  </si>
  <si>
    <t>32 MM</t>
  </si>
  <si>
    <t>https://accessgudid.nlm.nih.gov/devices/B1132G2SC213200</t>
  </si>
  <si>
    <t>InSet Humeral Stemless, 34mm   Size 1.5</t>
  </si>
  <si>
    <t>COMPONENT, HUMERAL, STEMLESS, 1.5, 34 MM, SHOULDER, POROUS, TITANIUM, STERILE, INSET, LATEX</t>
  </si>
  <si>
    <t>COMPONENT, HUM, STEMLESS, 1.5, 34 MM, SHLDR, POROUS, TI, STRL, INSET, LTX</t>
  </si>
  <si>
    <t>COMPONENT, HUM, STEMLESS, 1.5, 34 MM, SHLDR, POROUS, TI, STRL, INSET</t>
  </si>
  <si>
    <t>34 MM</t>
  </si>
  <si>
    <t>https://accessgudid.nlm.nih.gov/devices/B1132G2SC213400</t>
  </si>
  <si>
    <t>WIRE, FIXATION, 1.6 MM, SHOULDER, KIRSCHNER</t>
  </si>
  <si>
    <t>WIRE, FIX, 1.6 MM, SHLDR, KIRSCHNER</t>
  </si>
  <si>
    <t>1.6 MM</t>
  </si>
  <si>
    <t>URL NOT FOUND</t>
  </si>
  <si>
    <t>Glenoid 20 mm x 5°</t>
  </si>
  <si>
    <t>COMPONENT, GLENOID, CIRCULAR, 5 DEGREE, 20 MM, SHOULDER, WITH IN-LINE PERIPHERAL PEG, UHMWPE, STERILE, INSET PLUS, LATEX</t>
  </si>
  <si>
    <t>COMPONENT, GLEN, CIR, 5 DEG, 20 MM, SHLDR, W/ IN-LINE PERIPH PEG, UHMWPE, STRL, INSET +, LTX</t>
  </si>
  <si>
    <t>COMPONENT, GLEN, CIR, 5 DEG, 20 MM, SHLDR, W/ IN-LINE PEG, INSET +</t>
  </si>
  <si>
    <t>5 DEGREE</t>
  </si>
  <si>
    <t>20 MM</t>
  </si>
  <si>
    <t>INSET PLUS</t>
  </si>
  <si>
    <t>https://accessgudid.nlm.nih.gov/devices/B1132N2AI200050</t>
  </si>
  <si>
    <t>Glenoid 20 mm x 10°</t>
  </si>
  <si>
    <t>COMPONENT, GLENOID, CIRCULAR, 10 DEGREE, 20 MM, SHOULDER, WITH IN-LINE PERIPHERAL PEG, UHMWPE, STERILE, INSET PLUS, LATEX</t>
  </si>
  <si>
    <t>COMPONENT, GLEN, CIR, 10 DEG, 20 MM, SHLDR, W/ IN-LINE PERIPH PEG, UHMWPE, STRL, INSET +, LTX</t>
  </si>
  <si>
    <t>COMPONENT, GLEN, CIR, 10 DEG, 20 MM, SHLDR, W/ IN-LINE PEG, INSET +</t>
  </si>
  <si>
    <t>10 DEGREE</t>
  </si>
  <si>
    <t>https://accessgudid.nlm.nih.gov/devices/B1132N2AI200100</t>
  </si>
  <si>
    <t>Glenoid 22 mm x 5°</t>
  </si>
  <si>
    <t>COMPONENT, GLENOID, CIRCULAR, 5 DEGREE, 22 MM, SHOULDER, WITH IN-LINE PERIPHERAL PEG, UHMWPE, STERILE, INSET PLUS, LATEX</t>
  </si>
  <si>
    <t>COMPONENT, GLEN, CIR, 5 DEG, 22 MM, SHLDR, W/ IN-LINE PERIPH PEG, UHMWPE, STRL, INSET +, LTX</t>
  </si>
  <si>
    <t>COMPONENT, GLEN, CIR, 5 DEG, 22 MM, SHLDR, W/ IN-LINE PEG, INSET +</t>
  </si>
  <si>
    <t>22 MM</t>
  </si>
  <si>
    <t>https://accessgudid.nlm.nih.gov/devices/B1132N2AI220050</t>
  </si>
  <si>
    <t>Glenoid 22 mm x 10°</t>
  </si>
  <si>
    <t>COMPONENT, GLENOID, CIRCULAR, 10 DEGREE, 22 MM, SHOULDER, WITH IN-LINE PERIPHERAL PEG, UHMWPE, STERILE, INSET PLUS, LATEX</t>
  </si>
  <si>
    <t>COMPONENT, GLEN, CIR, 10 DEG, 22 MM, SHLDR, W/ IN-LINE PERIPH PEG, UHMWPE, STRL, INSET +, LTX</t>
  </si>
  <si>
    <t>COMPONENT, GLEN, CIR, 10 DEG, 22 MM, SHLDR, W/ IN-LINE PEG, INSET +</t>
  </si>
  <si>
    <t>https://accessgudid.nlm.nih.gov/devices/B1132N2AI220100</t>
  </si>
  <si>
    <t>Glenoid 24 mm x 5°</t>
  </si>
  <si>
    <t>COMPONENT, GLENOID, CIRCULAR, 5 DEGREE, 24 MM, SHOULDER, WITH IN-LINE PERIPHERAL PEG, UHMWPE, STERILE, INSET PLUS, LATEX</t>
  </si>
  <si>
    <t>COMPONENT, GLEN, CIR, 5 DEG, 24 MM, SHLDR, W/ IN-LINE PERIPH PEG, UHMWPE, STRL, INSET +, LTX</t>
  </si>
  <si>
    <t>COMPONENT, GLEN, CIR, 5 DEG, 24 MM, SHLDR, W/ IN-LINE PEG, INSET +</t>
  </si>
  <si>
    <t>24 MM</t>
  </si>
  <si>
    <t>https://accessgudid.nlm.nih.gov/devices/B1132N2AI240050</t>
  </si>
  <si>
    <t>Glenoid 24 mm x 10°</t>
  </si>
  <si>
    <t>COMPONENT, GLENOID, CIRCULAR, 10 DEGREE, 24 MM, SHOULDER, WITH IN-LINE PERIPHERAL PEG, UHMWPE, STERILE, INSET PLUS, LATEX</t>
  </si>
  <si>
    <t>COMPONENT, GLEN, CIR, 10 DEG, 24 MM, SHLDR, W/ IN-LINE PERIPH PEG, UHMWPE, STRL, INSET +, LTX</t>
  </si>
  <si>
    <t>COMPONENT, GLEN, CIR, 10 DEG, 24 MM, SHLDR, W/ IN-LINE PEG, INSET +</t>
  </si>
  <si>
    <t>https://accessgudid.nlm.nih.gov/devices/B1132N2AI240100</t>
  </si>
  <si>
    <t>Glenoid 27 mm x 5°</t>
  </si>
  <si>
    <t>COMPONENT, GLENOID, CIRCULAR, 5 DEGREE, 27 MM, SHOULDER, WITH IN-LINE PERIPHERAL PEG, UHMWPE, STERILE, INSET PLUS, LATEX</t>
  </si>
  <si>
    <t>COMPONENT, GLEN, CIR, 5 DEG, 27 MM, SHLDR, W/ IN-LINE PERIPH PEG, UHMWPE, STRL, INSET +, LTX</t>
  </si>
  <si>
    <t>COMPONENT, GLEN, CIR, 5 DEG, 27 MM, SHLDR, W/ IN-LINE PEG, INSET +</t>
  </si>
  <si>
    <t>27 MM</t>
  </si>
  <si>
    <t>https://accessgudid.nlm.nih.gov/devices/B1132N2AI270050</t>
  </si>
  <si>
    <t>Glenoid 27 mm x 10°</t>
  </si>
  <si>
    <t>COMPONENT, GLENOID, CIRCULAR, 10 DEGREE, 27 MM, SHOULDER, WITH IN-LINE PERIPHERAL PEG, UHMWPE, STERILE, INSET PLUS, LATEX</t>
  </si>
  <si>
    <t>COMPONENT, GLEN, CIR, 10 DEG, 27 MM, SHLDR, W/ IN-LINE PERIPH PEG, UHMWPE, STRL, INSET +, LTX</t>
  </si>
  <si>
    <t>COMPONENT, GLEN, CIR, 10 DEG, 27 MM, SHLDR, W/ IN-LINE PEG, INSET +</t>
  </si>
  <si>
    <t>https://accessgudid.nlm.nih.gov/devices/B1132N2AI270100</t>
  </si>
  <si>
    <t>Glenoid 30 mm x 5°</t>
  </si>
  <si>
    <t>COMPONENT, GLENOID, CIRCULAR, 5 DEGREE, 30 MM, SHOULDER, WITH IN-LINE PERIPHERAL PEG, UHMWPE, STERILE, INSET PLUS, LATEX</t>
  </si>
  <si>
    <t>COMPONENT, GLEN, CIR, 5 DEG, 30 MM, SHLDR, W/ IN-LINE PERIPH PEG, UHMWPE, STRL, INSET +, LTX</t>
  </si>
  <si>
    <t>COMPONENT, GLEN, CIR, 5 DEG, 30 MM, SHLDR, W/ IN-LINE PEG, INSET +</t>
  </si>
  <si>
    <t>30 MM</t>
  </si>
  <si>
    <t>https://accessgudid.nlm.nih.gov/devices/B1132N2AI300050</t>
  </si>
  <si>
    <t>Glenoid 30 mm x 10°</t>
  </si>
  <si>
    <t>COMPONENT, GLENOID, CIRCULAR, 10 DEGREE, 30 MM, SHOULDER, WITH IN-LINE PERIPHERAL PEG, UHMWPE, STERILE, INSET PLUS, LATEX</t>
  </si>
  <si>
    <t>COMPONENT, GLEN, CIR, 10 DEG, 30 MM, SHLDR, W/ IN-LINE PERIPH PEG, UHMWPE, STRL, INSET +, LTX</t>
  </si>
  <si>
    <t>COMPONENT, GLEN, CIR, 10 DEG, 30 MM, SHLDR, W/ IN-LINE PEG, INSET +</t>
  </si>
  <si>
    <t>https://accessgudid.nlm.nih.gov/devices/B1132N2AI300100</t>
  </si>
  <si>
    <t>42321902  Humeral heads</t>
  </si>
  <si>
    <t>Humeral Head, 14mm x 38mm</t>
  </si>
  <si>
    <t>HEAD, HUMERAL, OFFSET, 38X14 MM, SHOULDER, STERILE, INSET, LATEX</t>
  </si>
  <si>
    <t>HEAD, HUM, OFFSET, 38X14 MM, SHLDR, STRL, INSET, LTX</t>
  </si>
  <si>
    <t>HEAD</t>
  </si>
  <si>
    <t>OFFSET</t>
  </si>
  <si>
    <t>38X14 MM</t>
  </si>
  <si>
    <t>Humeral Head, 15mm x 40mm</t>
  </si>
  <si>
    <t>HEAD, HUMERAL, OFFSET, 40X15 MM, SHOULDER, STERILE, INSET, LATEX</t>
  </si>
  <si>
    <t>HEAD, HUM, OFFSET, 40X15 MM, SHLDR, STRL, INSET, LTX</t>
  </si>
  <si>
    <t>40X15 MM</t>
  </si>
  <si>
    <t>https://accessgudid.nlm.nih.gov/devices/B1132N2HE150401</t>
  </si>
  <si>
    <t>Humeral Head, 15mm x 44mm</t>
  </si>
  <si>
    <t>HEAD, HUMERAL, OFFSET, 44X15 MM, SHOULDER, STERILE, INSET, LATEX</t>
  </si>
  <si>
    <t>HEAD, HUM, OFFSET, 44X15 MM, SHLDR, STRL, INSET, LTX</t>
  </si>
  <si>
    <t>44X15 MM</t>
  </si>
  <si>
    <t>https://accessgudid.nlm.nih.gov/devices/B1132N2HE150441</t>
  </si>
  <si>
    <t>Humeral Head, 15mm x 48mm</t>
  </si>
  <si>
    <t>HEAD, HUMERAL, OFFSET, 48X15 MM, SHOULDER, STERILE, INSET, LATEX</t>
  </si>
  <si>
    <t>HEAD, HUM, OFFSET, 48X15 MM, SHLDR, STRL, INSET, LTX</t>
  </si>
  <si>
    <t>48X15 MM</t>
  </si>
  <si>
    <t>https://accessgudid.nlm.nih.gov/devices/B1132N2HE150481</t>
  </si>
  <si>
    <t>Humeral Head, 15mm x 52mm</t>
  </si>
  <si>
    <t>HEAD, HUMERAL, OFFSET, 52X15 MM, SHOULDER, STERILE, INSET, LATEX</t>
  </si>
  <si>
    <t>HEAD, HUM, OFFSET, 52X15 MM, SHLDR, STRL, INSET, LTX</t>
  </si>
  <si>
    <t>52X15 MM</t>
  </si>
  <si>
    <t>https://accessgudid.nlm.nih.gov/devices/B1132N2HE150521</t>
  </si>
  <si>
    <t>Humeral Head, 16mm x 42mm</t>
  </si>
  <si>
    <t>HEAD, HUMERAL, OFFSET, 42X16 MM, SHOULDER, STERILE, INSET, LATEX</t>
  </si>
  <si>
    <t>HEAD, HUM, OFFSET, 42X16 MM, SHLDR, STRL, INSET, LTX</t>
  </si>
  <si>
    <t>42X16 MM</t>
  </si>
  <si>
    <t>https://accessgudid.nlm.nih.gov/devices/B1132N2HE160420</t>
  </si>
  <si>
    <t>Humeral Head, 17mm x 44mm</t>
  </si>
  <si>
    <t>HEAD, HUMERAL, OFFSET, 44X17 MM, SHOULDER, STERILE, INSET, LATEX</t>
  </si>
  <si>
    <t>HEAD, HUM, OFFSET, 44X17 MM, SHLDR, STRL, INSET, LTX</t>
  </si>
  <si>
    <t>44X17 MM</t>
  </si>
  <si>
    <t>https://accessgudid.nlm.nih.gov/devices/B1132N2HE170440</t>
  </si>
  <si>
    <t>Humeral Head, 18mm x 40mm</t>
  </si>
  <si>
    <t>HEAD, HUMERAL, OFFSET, 40X18 MM, SHOULDER, STERILE, INSET, LATEX</t>
  </si>
  <si>
    <t>HEAD, HUM, OFFSET, 40X18 MM, SHLDR, STRL, INSET, LTX</t>
  </si>
  <si>
    <t>40X18 MM</t>
  </si>
  <si>
    <t>https://accessgudid.nlm.nih.gov/devices/B1132N2HE180401</t>
  </si>
  <si>
    <t>Humeral Head, 18mm x 44mm</t>
  </si>
  <si>
    <t>HEAD, HUMERAL, OFFSET, 44X18 MM, SHOULDER, STERILE, INSET, LATEX</t>
  </si>
  <si>
    <t>HEAD, HUM, OFFSET, 44X18 MM, SHLDR, STRL, INSET, LTX</t>
  </si>
  <si>
    <t>44X18 MM</t>
  </si>
  <si>
    <t>https://accessgudid.nlm.nih.gov/devices/B1132N2HE180441</t>
  </si>
  <si>
    <t>Humeral Head, 18mm x 46mm</t>
  </si>
  <si>
    <t>HEAD, HUMERAL, OFFSET, 46X18 MM, SHOULDER, STERILE, INSET, LATEX</t>
  </si>
  <si>
    <t>HEAD, HUM, OFFSET, 46X18 MM, SHLDR, STRL, INSET, LTX</t>
  </si>
  <si>
    <t>46X18 MM</t>
  </si>
  <si>
    <t>https://accessgudid.nlm.nih.gov/devices/B1132N2HE180460</t>
  </si>
  <si>
    <t>Humeral Head, 18mm x 48mm</t>
  </si>
  <si>
    <t>HEAD, HUMERAL, OFFSET, 48X18 MM, SHOULDER, STERILE, INSET, LATEX</t>
  </si>
  <si>
    <t>HEAD, HUM, OFFSET, 48X18 MM, SHLDR, STRL, INSET, LTX</t>
  </si>
  <si>
    <t>48X18 MM</t>
  </si>
  <si>
    <t>https://accessgudid.nlm.nih.gov/devices/B1132N2HE180481</t>
  </si>
  <si>
    <t>Humeral Head, 18mm x 52mm</t>
  </si>
  <si>
    <t>HEAD, HUMERAL, OFFSET, 52X18 MM, SHOULDER, STERILE, INSET, LATEX</t>
  </si>
  <si>
    <t>HEAD, HUM, OFFSET, 52X18 MM, SHLDR, STRL, INSET, LTX</t>
  </si>
  <si>
    <t>52X18 MM</t>
  </si>
  <si>
    <t>https://accessgudid.nlm.nih.gov/devices/B1132N2HE180521</t>
  </si>
  <si>
    <t>Humeral Head, 18mm x 56mm</t>
  </si>
  <si>
    <t>HEAD, HUMERAL, OFFSET, 56X18 MM, SHOULDER, STERILE, INSET, LATEX</t>
  </si>
  <si>
    <t>HEAD, HUM, OFFSET, 56X18 MM, SHLDR, STRL, INSET, LTX</t>
  </si>
  <si>
    <t>56X18 MM</t>
  </si>
  <si>
    <t>Humeral Head, 19mm x 50mm</t>
  </si>
  <si>
    <t>HEAD, HUMERAL, OFFSET, 50X19 MM, SHOULDER, STERILE, INSET, LATEX</t>
  </si>
  <si>
    <t>HEAD, HUM, OFFSET, 50X19 MM, SHLDR, STRL, INSET, LTX</t>
  </si>
  <si>
    <t>50X19 MM</t>
  </si>
  <si>
    <t>https://accessgudid.nlm.nih.gov/devices/B1132N2HE190500</t>
  </si>
  <si>
    <t>Humeral Head, 20mm x 52mm</t>
  </si>
  <si>
    <t>HEAD, HUMERAL, OFFSET, 52X20 MM, SHOULDER, STERILE, INSET, LATEX</t>
  </si>
  <si>
    <t>HEAD, HUM, OFFSET, 52X20 MM, SHLDR, STRL, INSET, LTX</t>
  </si>
  <si>
    <t>52X20 MM</t>
  </si>
  <si>
    <t>https://accessgudid.nlm.nih.gov/devices/B1132N2HE200520</t>
  </si>
  <si>
    <t>Humeral Head, 21mm x 44mm</t>
  </si>
  <si>
    <t>HEAD, HUMERAL, OFFSET, 44X21 MM, SHOULDER, STERILE, INSET, LATEX</t>
  </si>
  <si>
    <t>HEAD, HUM, OFFSET, 44X21 MM, SHLDR, STRL, INSET, LTX</t>
  </si>
  <si>
    <t>44X21 MM</t>
  </si>
  <si>
    <t>Humeral Head, 21mm x 48mm</t>
  </si>
  <si>
    <t>HEAD, HUMERAL, OFFSET, 48X21 MM, SHOULDER, STERILE, INSET, LATEX</t>
  </si>
  <si>
    <t>HEAD, HUM, OFFSET, 48X21 MM, SHLDR, STRL, INSET, LTX</t>
  </si>
  <si>
    <t>48X21 MM</t>
  </si>
  <si>
    <t>https://accessgudid.nlm.nih.gov/devices/B1132N2HE210481</t>
  </si>
  <si>
    <t>Humeral Head, 21mm x 50mm</t>
  </si>
  <si>
    <t>HEAD, HUMERAL, OFFSET, 50X21 MM, SHOULDER, STERILE, INSET, LATEX</t>
  </si>
  <si>
    <t>HEAD, HUM, OFFSET, 50X21 MM, SHLDR, STRL, INSET, LTX</t>
  </si>
  <si>
    <t>50X21 MM</t>
  </si>
  <si>
    <t>https://accessgudid.nlm.nih.gov/devices/B1132N2HE210500</t>
  </si>
  <si>
    <t>Humeral Head, 21mm x 52mm</t>
  </si>
  <si>
    <t>HEAD, HUMERAL, OFFSET, 52X21 MM, SHOULDER, STERILE, INSET, LATEX</t>
  </si>
  <si>
    <t>HEAD, HUM, OFFSET, 52X21 MM, SHLDR, STRL, INSET, LTX</t>
  </si>
  <si>
    <t>52X21 MM</t>
  </si>
  <si>
    <t>https://accessgudid.nlm.nih.gov/devices/B1132N2HE210521</t>
  </si>
  <si>
    <t>Humeral Head, 21mm x 56mm</t>
  </si>
  <si>
    <t>HEAD, HUMERAL, OFFSET, 56X21 MM, SHOULDER, STERILE, INSET, LATEX</t>
  </si>
  <si>
    <t>HEAD, HUM, OFFSET, 56X21 MM, SHLDR, STRL, INSET, LTX</t>
  </si>
  <si>
    <t>56X21 MM</t>
  </si>
  <si>
    <t>42321903  Humeral stems</t>
  </si>
  <si>
    <t>Humeral Short Stem System, 28mm x 6mm</t>
  </si>
  <si>
    <t>STEM, HUMERAL, 0, SHORT, 28 MM, 6 MM, SHOULDER, POROUS, TITANIUM, STERILE, INSET, LATEX</t>
  </si>
  <si>
    <t>STEM, HUM, 0, SHT, 28 MM, 6 MM, SHLDR, POROUS, TI, STRL, INSET, LTX</t>
  </si>
  <si>
    <t>STEM</t>
  </si>
  <si>
    <t>0, SHORT</t>
  </si>
  <si>
    <t>6 MM</t>
  </si>
  <si>
    <t>https://accessgudid.nlm.nih.gov/devices/B1132N2SN062801</t>
  </si>
  <si>
    <t>Humeral Short Stem System, 32mm x 6mm</t>
  </si>
  <si>
    <t>STEM, HUMERAL, 1, SHORT, 32 MM, 6 MM, SHOULDER, POROUS, TITANIUM, STERILE, INSET, LATEX</t>
  </si>
  <si>
    <t>STEM, HUM, 1, SHT, 32 MM, 6 MM, SHLDR, POROUS, TI, STRL, INSET, LTX</t>
  </si>
  <si>
    <t>1, SHORT</t>
  </si>
  <si>
    <t>https://accessgudid.nlm.nih.gov/devices/B1132N2SN063201</t>
  </si>
  <si>
    <t>Humeral Short Stem System, 38mm x 6mm</t>
  </si>
  <si>
    <t>STEM, HUMERAL, 2, SHORT, 38 MM, 6 MM, SHOULDER, POROUS, TITANIUM, STERILE, INSET, LATEX</t>
  </si>
  <si>
    <t>STEM, HUM, 2, SHT, 38 MM, 6 MM, SHLDR, POROUS, TI, STRL, INSET, LTX</t>
  </si>
  <si>
    <t>2, SHORT</t>
  </si>
  <si>
    <t>38 MM</t>
  </si>
  <si>
    <t>https://accessgudid.nlm.nih.gov/devices/B1132N2SN063801</t>
  </si>
  <si>
    <t>Humeral Short Stem System, 44mm x 6mm</t>
  </si>
  <si>
    <t>STEM, HUMERAL, 3, SHORT, 44 MM, 6 MM, SHOULDER, POROUS, TITANIUM, STERILE, INSET, LATEX</t>
  </si>
  <si>
    <t>STEM, HUM, 3, SHT, 44 MM, 6 MM, SHLDR, POROUS, TI, STRL, INSET, LTX</t>
  </si>
  <si>
    <t>3, SHORT</t>
  </si>
  <si>
    <t>44 MM</t>
  </si>
  <si>
    <t>https://accessgudid.nlm.nih.gov/devices/B1132N2SN064401</t>
  </si>
  <si>
    <t>42321519  Orthopedic bolts</t>
  </si>
  <si>
    <t>RSA Glenosphere Locking Bolt short/Medium</t>
  </si>
  <si>
    <t>BOLT, ORTHOPAEDIC, LOCKING, SHORT, MEDIUM, 0.7X20 MM, SHOULDER, GLENOSPHERE, REVERSE, M4, STERILE, INSET, LATEX</t>
  </si>
  <si>
    <t>BOLT, ORTH, LCK, SHT, MED, 0.7X20 MM, SHLDR, GLENOSPHERE, RVS, M4, STRL, INSET, LTX</t>
  </si>
  <si>
    <t>BOLT, ORTH, LCK, SHT, MED, 0.7X20 MM, SHLDR, GLENOSPHERE, RVS, INSET</t>
  </si>
  <si>
    <t>BOLT</t>
  </si>
  <si>
    <t>ORTHOPAEDIC</t>
  </si>
  <si>
    <t>LOCKING</t>
  </si>
  <si>
    <t>SHORT, MEDIUM</t>
  </si>
  <si>
    <t>0.7X20 MM</t>
  </si>
  <si>
    <t>GLENOSPHERE, REVERSE, M4</t>
  </si>
  <si>
    <t>https://accessgudid.nlm.nih.gov/devices/B1132R1GB407200</t>
  </si>
  <si>
    <t>RSA Glenosphere Locking Bolt Medium/Long</t>
  </si>
  <si>
    <t>BOLT, ORTHOPAEDIC, LOCKING, MEDIUM, LONG, 0.7X26 MM, SHOULDER, GLENOSPHERE, REVERSE, M4, STERILE, INSET, LATEX</t>
  </si>
  <si>
    <t>BOLT, ORTH, LCK, MED, LNG, 0.7X26 MM, SHLDR, GLENOSPHERE, RVS, M4, STRL, INSET, LTX</t>
  </si>
  <si>
    <t>BOLT, ORTH, LCK, MED, LNG, 0.7X26 MM, SHLDR, GLENOSPHERE, RVS, INSET</t>
  </si>
  <si>
    <t>MEDIUM, LONG</t>
  </si>
  <si>
    <t>0.7X26 MM</t>
  </si>
  <si>
    <t>https://accessgudid.nlm.nih.gov/devices/B1132R1GB407260</t>
  </si>
  <si>
    <t>42321905  Glenoid spheres</t>
  </si>
  <si>
    <t>SPHERE, GLENOID, ECCENTRIC, 0 MM, 2 MM, 36 MM, SHOULDER, COBALT CHROME, STERILE, INSET, LATEX</t>
  </si>
  <si>
    <t>SPHERE, GLEN, ECC, 0 MM, 2 MM, 36 MM, SHLDR, COCR, STRL, INSET, LTX</t>
  </si>
  <si>
    <t>SPHERE</t>
  </si>
  <si>
    <t>ECCENTRIC</t>
  </si>
  <si>
    <t>0 MM, 2 MM</t>
  </si>
  <si>
    <t>36 MM</t>
  </si>
  <si>
    <t>COBALT CHROME</t>
  </si>
  <si>
    <t>SPHERE, GLENOID, ECCENTRIC, 0 MM, 3 MM, 39 MM, SHOULDER, COBALT CHROME, STERILE, INSET, LATEX</t>
  </si>
  <si>
    <t>SPHERE, GLEN, ECC, 0 MM, 3 MM, 39 MM, SHLDR, COCR, STRL, INSET, LTX</t>
  </si>
  <si>
    <t>0 MM, 3 MM</t>
  </si>
  <si>
    <t>39 MM</t>
  </si>
  <si>
    <t>SPHERE, GLENOID, ECCENTRIC, 0 MM, 4 MM, 42 MM, SHOULDER, COBALT CHROME, STERILE, INSET, LATEX</t>
  </si>
  <si>
    <t>SPHERE, GLEN, ECC, 0 MM, 4 MM, 42 MM, SHLDR, COCR, STRL, INSET, LTX</t>
  </si>
  <si>
    <t>0 MM, 4 MM</t>
  </si>
  <si>
    <t>42 MM</t>
  </si>
  <si>
    <t>Offset Glenosphere 33mm x 0mm x +3mm</t>
  </si>
  <si>
    <t>SPHERE, GLENOID, OFFSET, 3+ MM, 0 MM, 33 MM, SHOULDER, COBALT CHROME, STERILE, INSET, LATEX</t>
  </si>
  <si>
    <t>SPHERE, GLEN, OFFSET, 3+ MM, 0 MM, 33 MM, SHLDR, COCR, STRL, INSET, LTX</t>
  </si>
  <si>
    <t>SPHERE, GLEN, OFFSET, 3+ MM, 0 MM, 33 MM, SHLDR, COCR, STRL, INSET</t>
  </si>
  <si>
    <t>3+ MM, 0 MM</t>
  </si>
  <si>
    <t>33 MM</t>
  </si>
  <si>
    <t>https://accessgudid.nlm.nih.gov/devices/B1132R1GLC03330</t>
  </si>
  <si>
    <t>Offset Glenosphere 36mm x 0mm x +3mm</t>
  </si>
  <si>
    <t>SPHERE, GLENOID, OFFSET, 3+ MM, 0 MM, 36 MM, SHOULDER, COBALT CHROME, STERILE, INSET, LATEX</t>
  </si>
  <si>
    <t>SPHERE, GLEN, OFFSET, 3+ MM, 0 MM, 36 MM, SHLDR, COCR, STRL, INSET, LTX</t>
  </si>
  <si>
    <t>SPHERE, GLEN, OFFSET, 3+ MM, 0 MM, 36 MM, SHLDR, COCR, STRL, INSET</t>
  </si>
  <si>
    <t>https://accessgudid.nlm.nih.gov/devices/B1132R1GLC03360</t>
  </si>
  <si>
    <t>Offset Glenosphere 39mm x 0mm x +3mm</t>
  </si>
  <si>
    <t>SPHERE, GLENOID, OFFSET, 3+ MM, 0 MM, 39 MM, SHOULDER, COBALT CHROME, STERILE, INSET, LATEX</t>
  </si>
  <si>
    <t>SPHERE, GLEN, OFFSET, 3+ MM, 0 MM, 39 MM, SHLDR, COCR, STRL, INSET, LTX</t>
  </si>
  <si>
    <t>SPHERE, GLEN, OFFSET, 3+ MM, 0 MM, 39 MM, SHLDR, COCR, STRL, INSET</t>
  </si>
  <si>
    <t>https://accessgudid.nlm.nih.gov/devices/B1132R1GLC03390</t>
  </si>
  <si>
    <t>Offset Glenosphere 42mm x 0mm x +3mm</t>
  </si>
  <si>
    <t>SPHERE, GLENOID, OFFSET, 3+ MM, 0 MM, 42 MM, SHOULDER, COBALT CHROME, STERILE, INSET, LATEX</t>
  </si>
  <si>
    <t>SPHERE, GLEN, OFFSET, 3+ MM, 0 MM, 42 MM, SHLDR, COCR, STRL, INSET, LTX</t>
  </si>
  <si>
    <t>SPHERE, GLEN, OFFSET, 3+ MM, 0 MM, 42 MM, SHLDR, COCR, STRL, INSET</t>
  </si>
  <si>
    <t>https://accessgudid.nlm.nih.gov/devices/B1132R1GLC03420</t>
  </si>
  <si>
    <t>Offset Glenosphere 33mm x 0mm x +6mm</t>
  </si>
  <si>
    <t>SPHERE, GLENOID, OFFSET, 6+ MM, 0 MM, 33 MM, SHOULDER, COBALT CHROME, STERILE, INSET, LATEX</t>
  </si>
  <si>
    <t>SPHERE, GLEN, OFFSET, 6+ MM, 0 MM, 33 MM, SHLDR, COCR, STRL, INSET, LTX</t>
  </si>
  <si>
    <t>SPHERE, GLEN, OFFSET, 6+ MM, 0 MM, 33 MM, SHLDR, COCR, STRL, INSET</t>
  </si>
  <si>
    <t>6+ MM, 0 MM</t>
  </si>
  <si>
    <t>Offset Glenosphere 36mm x 0mm x +6mm</t>
  </si>
  <si>
    <t>SPHERE, GLENOID, OFFSET, 6+ MM, 0 MM, 36 MM, SHOULDER, COBALT CHROME, STERILE, INSET, LATEX</t>
  </si>
  <si>
    <t>SPHERE, GLEN, OFFSET, 6+ MM, 0 MM, 36 MM, SHLDR, COCR, STRL, INSET, LTX</t>
  </si>
  <si>
    <t>SPHERE, GLEN, OFFSET, 6+ MM, 0 MM, 36 MM, SHLDR, COCR, STRL, INSET</t>
  </si>
  <si>
    <t>https://accessgudid.nlm.nih.gov/devices/B1132R1GLC06360</t>
  </si>
  <si>
    <t>Offset Glenosphere 39mm x 0mm x +6mm</t>
  </si>
  <si>
    <t>SPHERE, GLENOID, OFFSET, 6+ MM, 0 MM, 39 MM, SHOULDER, COBALT CHROME, STERILE, INSET, LATEX</t>
  </si>
  <si>
    <t>SPHERE, GLEN, OFFSET, 6+ MM, 0 MM, 39 MM, SHLDR, COCR, STRL, INSET, LTX</t>
  </si>
  <si>
    <t>SPHERE, GLEN, OFFSET, 6+ MM, 0 MM, 39 MM, SHLDR, COCR, STRL, INSET</t>
  </si>
  <si>
    <t>https://accessgudid.nlm.nih.gov/devices/B1132R1GLC06390</t>
  </si>
  <si>
    <t>Offset Glenosphere 42mm x 0mm x +6mm</t>
  </si>
  <si>
    <t>SPHERE, GLENOID, OFFSET, 6+ MM, 0 MM, 42 MM, SHOULDER, COBALT CHROME, STERILE, INSET, LATEX</t>
  </si>
  <si>
    <t>SPHERE, GLEN, OFFSET, 6+ MM, 0 MM, 42 MM, SHLDR, COCR, STRL, INSET, LTX</t>
  </si>
  <si>
    <t>SPHERE, GLEN, OFFSET, 6+ MM, 0 MM, 42 MM, SHLDR, COCR, STRL, INSET</t>
  </si>
  <si>
    <t>https://accessgudid.nlm.nih.gov/devices/B1132R1GLC06420</t>
  </si>
  <si>
    <t>42321508  Orthopedic nuts</t>
  </si>
  <si>
    <t>RSA Locking Nut/Set Screw</t>
  </si>
  <si>
    <t>NUT, ORTHOPAEDIC, LOCKING, STANDARD, SHORT, 5/16-18X7.5 MM, SHOULDER, BASEPLATE, SET SCREW, REVERSE, M4, STERILE, INSET, LATEX</t>
  </si>
  <si>
    <t>NUT, ORTH, LCK, STD, SHT, 5/16-18X7.5 MM, SHLDR, BASEPLT, SET SCR, RVS, M4, STRL, INSET, LTX</t>
  </si>
  <si>
    <t>NUT, ORTH, LCK, STD, SHT, 5/16-18X7.5 MM, BASEPLT, SET SCR, M4, INSET</t>
  </si>
  <si>
    <t>NUT</t>
  </si>
  <si>
    <t>STANDARD, SHORT</t>
  </si>
  <si>
    <t>5/16-18X7.5 MM</t>
  </si>
  <si>
    <t>BASEPLATE, SET SCREW, REVERSE, M4</t>
  </si>
  <si>
    <t>https://accessgudid.nlm.nih.gov/devices/B1132R1GN516400</t>
  </si>
  <si>
    <t>RSA Locking Nut/Set Screw (Medium)</t>
  </si>
  <si>
    <t>NUT, ORTHOPAEDIC, LOCKING, MEDIUM, 5/16-18X9 MM, SHOULDER, BASEPLATE, SET SCREW, REVERSE, M4, STERILE, INSET, LATEX</t>
  </si>
  <si>
    <t>NUT, ORTH, LCK, MED, 5/16-18X9 MM, SHLDR, BASEPLT, SET SCR, RVS, M4, STRL, INSET, LTX</t>
  </si>
  <si>
    <t>NUT, ORTH, LCK, MED, 5/16-18X9 MM, BASEPLT, SET SCR, RVS, M4, INSET</t>
  </si>
  <si>
    <t>MEDIUM</t>
  </si>
  <si>
    <t>5/16-18X9 MM</t>
  </si>
  <si>
    <t>https://accessgudid.nlm.nih.gov/devices/B1132R1GN516410</t>
  </si>
  <si>
    <t>RSA Baseplate Set Screw Locking Nut (Long)</t>
  </si>
  <si>
    <t>NUT, ORTHOPAEDIC, LOCKING, LONG, 5/16-18X12 MM, SHOULDER, BASEPLATE, SET SCREW, M4, REVERSE, FOR NO CENTRAL SCREW, STERILE, INSET, LATEX</t>
  </si>
  <si>
    <t>NUT, ORTH, LCK, LNG, 5/16-18X12 MM, SHLDR, BASEPLT, SET SCR, M4, RVS, FOR NO CNTRL SCR, STRL, INSET, LTX</t>
  </si>
  <si>
    <t>NUT, ORTH, LCK, LNG, 5/16-18X12 MM, BASEPLT, SET SCR, M4, RVS, INSET</t>
  </si>
  <si>
    <t>LONG</t>
  </si>
  <si>
    <t>5/16-18X12 MM</t>
  </si>
  <si>
    <t>BASEPLATE, SET SCREW, M4, REVERSE, FOR NO CENTRAL SCREW</t>
  </si>
  <si>
    <t>https://accessgudid.nlm.nih.gov/devices/B1132R1GN516420</t>
  </si>
  <si>
    <t>RSA Locking Nut/Set Screw Long/Plug</t>
  </si>
  <si>
    <t>NUT, ORTHOPAEDIC, LOCKING, STANDARD, LONG, 5/16-18X10 MM, SHOULDER, BASEPLATE, SET SCREW, PLUG, REVERSE, M4, STERILE, INSET, LATEX</t>
  </si>
  <si>
    <t>NUT, ORTH, LCK, STD, LNG, 5/16-18X10 MM, SHLDR, BASEPLT, SET SCR, PLUG, RVS, M4, STRL, INSET, LTX</t>
  </si>
  <si>
    <t>NUT, ORTH, LCK, STD, LNG, 5/16-18X10 MM, BASEPLT, SET SCR, RVS, INSET</t>
  </si>
  <si>
    <t>STANDARD, LONG</t>
  </si>
  <si>
    <t>5/16-18X10 MM</t>
  </si>
  <si>
    <t>BASEPLATE, SET SCREW, PLUG, REVERSE, M4</t>
  </si>
  <si>
    <t>https://accessgudid.nlm.nih.gov/devices/B1132R1GN516430</t>
  </si>
  <si>
    <t>Standard Glenosphere 33mm x 0mm x 0mm</t>
  </si>
  <si>
    <t>SPHERE, GLENOID, STANDARD, 0 MM, 0 MM, 33 MM, SHOULDER, COBALT CHROME, STERILE, INSET, LATEX</t>
  </si>
  <si>
    <t>SPHERE, GLEN, STD, 0 MM, 0 MM, 33 MM, SHLDR, COCR, STRL, INSET, LTX</t>
  </si>
  <si>
    <t>STANDARD, 0 MM, 0 MM</t>
  </si>
  <si>
    <t>https://accessgudid.nlm.nih.gov/devices/B1132R1GSC00330</t>
  </si>
  <si>
    <t>Standard Glenosphere 36mm x 0mm x 0mm</t>
  </si>
  <si>
    <t>SPHERE, GLENOID, STANDARD, 0 MM, 0 MM, 36 MM, SHOULDER, COBALT CHROME, STERILE, INSET, LATEX</t>
  </si>
  <si>
    <t>SPHERE, GLEN, STD, 0 MM, 0 MM, 36 MM, SHLDR, COCR, STRL, INSET, LTX</t>
  </si>
  <si>
    <t>https://accessgudid.nlm.nih.gov/devices/B1132R1GSC00360</t>
  </si>
  <si>
    <t>Standard Glenosphere 39mm x 0mm x 0mm</t>
  </si>
  <si>
    <t>SPHERE, GLENOID, STANDARD, 0 MM, 0 MM, 39 MM, SHOULDER, COBALT CHROME, STERILE, INSET, LATEX</t>
  </si>
  <si>
    <t>SPHERE, GLEN, STD, 0 MM, 0 MM, 39 MM, SHLDR, COCR, STRL, INSET, LTX</t>
  </si>
  <si>
    <t>https://accessgudid.nlm.nih.gov/devices/B1132R1GSC00390</t>
  </si>
  <si>
    <t>Standard Glenosphere 42mm x 0mm x 0mm</t>
  </si>
  <si>
    <t>SPHERE, GLENOID, STANDARD, 0 MM, 0 MM, 42 MM, SHOULDER, COBALT CHROME, STERILE, INSET, LATEX</t>
  </si>
  <si>
    <t>SPHERE, GLEN, STD, 0 MM, 0 MM, 42 MM, SHLDR, COCR, STRL, INSET, LTX</t>
  </si>
  <si>
    <t>https://accessgudid.nlm.nih.gov/devices/B1132R1GSC00420</t>
  </si>
  <si>
    <t>Humeral Tray 38mm x 0mm</t>
  </si>
  <si>
    <t>COMPONENT, HUMERAL TRAY, STANDARD, 0 MM, 38 MM, SHOULDER, REVERSE, STERILE, INSET, LATEX</t>
  </si>
  <si>
    <t>COMPONENT, HUM TY, STD, 0 MM, 38 MM, SHLDR, RVS, STRL, INSET, LTX</t>
  </si>
  <si>
    <t>HUMERAL TRAY</t>
  </si>
  <si>
    <t>STANDARD, 0 MM</t>
  </si>
  <si>
    <t>REVERSE</t>
  </si>
  <si>
    <t>https://accessgudid.nlm.nih.gov/devices/B1132R1M3800010</t>
  </si>
  <si>
    <t>Classified Nearest to Commodity Level</t>
  </si>
  <si>
    <t>Humeral Tray 38mm x 6mm</t>
  </si>
  <si>
    <t>COMPONENT, HUMERAL TRAY, STANDARD, 6 MM, 38 MM, SHOULDER, REVERSE, STERILE, INSET, LATEX</t>
  </si>
  <si>
    <t>COMPONENT, HUM TY, STD, 6 MM, 38 MM, SHLDR, RVS, STRL, INSET, LTX</t>
  </si>
  <si>
    <t>STANDARD, 6 MM</t>
  </si>
  <si>
    <t>https://accessgudid.nlm.nih.gov/devices/B1132R1M3806010</t>
  </si>
  <si>
    <t>Neutral Humeral Bearing: 33mm x 0mm x 0</t>
  </si>
  <si>
    <t>BEARING, HUMERAL, REVERSE, STANDARD, NEUTRAL, 0 MM, 0 DEGREE, 33 MM, SHOULDER, OFFSET, FACE CHANGING, POLYETHYLENE, STERILE, INSET, LATEX</t>
  </si>
  <si>
    <t>BEARING, HUM, RVS, STD, NEUT, 0 MM, 0 DEG, 33 MM, SHLDR, OFFSET, FACE CHANGING, POLYETH, STRL, INSET, LTX</t>
  </si>
  <si>
    <t>BEARING, HUM, RVS, STD, NEUT, 0 MM, 0 DEG, 33 MM, SHLDR, OFFSET, INSET</t>
  </si>
  <si>
    <t>BEARING</t>
  </si>
  <si>
    <t>STANDARD, NEUTRAL, 0 MM, 0 DEGREE</t>
  </si>
  <si>
    <t>OFFSET, FACE CHANGING</t>
  </si>
  <si>
    <t>POLYETHYLENE</t>
  </si>
  <si>
    <t>https://accessgudid.nlm.nih.gov/devices/B1132R1P1000330</t>
  </si>
  <si>
    <t>Neutral Humeral Bearing: 36mm x 0mm x 0</t>
  </si>
  <si>
    <t>BEARING, HUMERAL, REVERSE, STANDARD, NEUTRAL, 0 MM, 0 DEGREE, 36 MM, SHOULDER, OFFSET, FACE CHANGING, POLYETHYLENE, STERILE, INSET, LATEX</t>
  </si>
  <si>
    <t>BEARING, HUM, RVS, STD, NEUT, 0 MM, 0 DEG, 36 MM, SHLDR, OFFSET, FACE CHANGING, POLYETH, STRL, INSET, LTX</t>
  </si>
  <si>
    <t>BEARING, HUM, RVS, STD, NEUT, 0 MM, 0 DEG, 36 MM, SHLDR, OFFSET, INSET</t>
  </si>
  <si>
    <t>https://accessgudid.nlm.nih.gov/devices/B1132R1P1000360</t>
  </si>
  <si>
    <t>Neutral Humeral Bearing: 39mm x 0mm x 0</t>
  </si>
  <si>
    <t>BEARING, HUMERAL, REVERSE, STANDARD, NEUTRAL, 0 MM, 0 DEGREE, 39 MM, SHOULDER, OFFSET, FACE CHANGING, POLYETHYLENE, STERILE, INSET, LATEX</t>
  </si>
  <si>
    <t>BEARING, HUM, RVS, STD, NEUT, 0 MM, 0 DEG, 39 MM, SHLDR, OFFSET, FACE CHANGING, POLYETH, STRL, INSET, LTX</t>
  </si>
  <si>
    <t>BEARING, HUM, RVS, STD, NEUT, 0 MM, 0 DEG, 39 MM, SHLDR, OFFSET, INSET</t>
  </si>
  <si>
    <t>https://accessgudid.nlm.nih.gov/devices/B1132R1P1000390</t>
  </si>
  <si>
    <t>Neutral Humeral Bearing: 42mm x 0mm x 0</t>
  </si>
  <si>
    <t>BEARING, HUMERAL, REVERSE, STANDARD, NEUTRAL, 0 MM, 0 DEGREE, 42 MM, SHOULDER, OFFSET, FACE CHANGING, POLYETHYLENE, STERILE, INSET, LATEX</t>
  </si>
  <si>
    <t>BEARING, HUM, RVS, STD, NEUT, 0 MM, 0 DEG, 42 MM, SHLDR, OFFSET, FACE CHANGING, POLYETH, STRL, INSET, LTX</t>
  </si>
  <si>
    <t>BEARING, HUM, RVS, STD, NEUT, 0 MM, 0 DEG, 42 MM, SHLDR, OFFSET, INSET</t>
  </si>
  <si>
    <t>https://accessgudid.nlm.nih.gov/devices/B1132R1P1000420</t>
  </si>
  <si>
    <t>Offset Humeral Bearing: 33mm x 3mm x 0</t>
  </si>
  <si>
    <t>BEARING, HUMERAL, REVERSE, 3+ MM, 0 DEGREE, 33 MM, SHOULDER, OFFSET, FACE CHANGING, POLYETHYLENE, STERILE, INSET, LATEX</t>
  </si>
  <si>
    <t>BEARING, HUM, RVS, 3+ MM, 0 DEG, 33 MM, SHLDR, OFFSET, FACE CHANGING, POLYETH, STRL, INSET, LTX</t>
  </si>
  <si>
    <t>BEARING, HUM, RVS, 3+ MM, 0 DEG, 33 MM, SHLDR, OFFSET, POLYETH, INSET</t>
  </si>
  <si>
    <t>3+ MM, 0 DEGREE</t>
  </si>
  <si>
    <t>https://accessgudid.nlm.nih.gov/devices/B1132R1P1203330</t>
  </si>
  <si>
    <t>Offset Humeral Bearing: 36mm x 3mm x 0</t>
  </si>
  <si>
    <t>BEARING, HUMERAL, REVERSE, 3+ MM, 0 DEGREE, 36 MM, SHOULDER, OFFSET, FACE CHANGING, POLYETHYLENE, STERILE, INSET, LATEX</t>
  </si>
  <si>
    <t>BEARING, HUM, RVS, 3+ MM, 0 DEG, 36 MM, SHLDR, OFFSET, FACE CHANGING, POLYETH, STRL, INSET, LTX</t>
  </si>
  <si>
    <t>BEARING, HUM, RVS, 3+ MM, 0 DEG, 36 MM, SHLDR, OFFSET, POLYETH, INSET</t>
  </si>
  <si>
    <t>https://accessgudid.nlm.nih.gov/devices/B1132R1P1203360</t>
  </si>
  <si>
    <t>Offset Humeral Bearing: 39mm x 3mm x 0</t>
  </si>
  <si>
    <t>BEARING, HUMERAL, REVERSE, 3+ MM, 0 DEGREE, 39 MM, SHOULDER, OFFSET, FACE CHANGING, POLYETHYLENE, STERILE, INSET, LATEX</t>
  </si>
  <si>
    <t>BEARING, HUM, RVS, 3+ MM, 0 DEG, 39 MM, SHLDR, OFFSET, FACE CHANGING, POLYETH, STRL, INSET, LTX</t>
  </si>
  <si>
    <t>BEARING, HUM, RVS, 3+ MM, 0 DEG, 39 MM, SHLDR, OFFSET, POLYETH, INSET</t>
  </si>
  <si>
    <t>https://accessgudid.nlm.nih.gov/devices/B1132R1P1203390</t>
  </si>
  <si>
    <t>Offset Humeral Bearing: 42mm x 3mm x 0</t>
  </si>
  <si>
    <t>BEARING, HUMERAL, REVERSE, 3+ MM, 0 DEGREE, 42 MM, SHOULDER, OFFSET, FACE CHANGING, POLYETHYLENE, STERILE, INSET, LATEX</t>
  </si>
  <si>
    <t>BEARING, HUM, RVS, 3+ MM, 0 DEG, 42 MM, SHLDR, OFFSET, FACE CHANGING, POLYETH, STRL, INSET, LTX</t>
  </si>
  <si>
    <t>BEARING, HUM, RVS, 3+ MM, 0 DEG, 42 MM, SHLDR, OFFSET, POLYETH, INSET</t>
  </si>
  <si>
    <t>https://accessgudid.nlm.nih.gov/devices/B1132R1P1203420</t>
  </si>
  <si>
    <t>BEARING, HUMERAL, REVERSE, 6+ MM, 0 DEGREE, 33 MM, SHOULDER, OFFSET, FACE CHANGING, POLYETHYLENE, STERILE, INSET, LATEX</t>
  </si>
  <si>
    <t>BEARING, HUM, RVS, 6+ MM, 0 DEG, 33 MM, SHLDR, OFFSET, FACE CHANGING, POLYETH, STRL, INSET, LTX</t>
  </si>
  <si>
    <t>BEARING, HUM, RVS, 6+ MM, 0 DEG, 33 MM, SHLDR, OFFSET, POLYETH, INSET</t>
  </si>
  <si>
    <t>6+ MM, 0 DEGREE</t>
  </si>
  <si>
    <t>BEARING, HUMERAL, REVERSE, 6+ MM, 0 DEGREE, 36 MM, SHOULDER, OFFSET, FACE CHANGING, POLYETHYLENE, STERILE, INSET, LATEX</t>
  </si>
  <si>
    <t>BEARING, HUM, RVS, 6+ MM, 0 DEG, 36 MM, SHLDR, OFFSET, FACE CHANGING, POLYETH, STRL, INSET, LTX</t>
  </si>
  <si>
    <t>BEARING, HUM, RVS, 6+ MM, 0 DEG, 36 MM, SHLDR, OFFSET, POLYETH, INSET</t>
  </si>
  <si>
    <t>BEARING, HUMERAL, REVERSE, 6+ MM, 0 DEGREE, 39 MM, SHOULDER, OFFSET, FACE CHANGING, POLYETHYLENE, STERILE, INSET, LATEX</t>
  </si>
  <si>
    <t>BEARING, HUM, RVS, 6+ MM, 0 DEG, 39 MM, SHLDR, OFFSET, FACE CHANGING, POLYETH, STRL, INSET, LTX</t>
  </si>
  <si>
    <t>BEARING, HUM, RVS, 6+ MM, 0 DEG, 39 MM, SHLDR, OFFSET, POLYETH, INSET</t>
  </si>
  <si>
    <t>BEARING, HUMERAL, REVERSE, 6+ MM, 0 DEGREE, 42 MM, SHOULDER, OFFSET, FACE CHANGING, POLYETHYLENE, STERILE, INSET, LATEX</t>
  </si>
  <si>
    <t>BEARING, HUM, RVS, 6+ MM, 0 DEG, 42 MM, SHLDR, OFFSET, FACE CHANGING, POLYETH, STRL, INSET, LTX</t>
  </si>
  <si>
    <t>BEARING, HUM, RVS, 6+ MM, 0 DEG, 42 MM, SHLDR, OFFSET, POLYETH, INSET</t>
  </si>
  <si>
    <t>Face Changing Humeral Bearing: 33mm x 0mm x 5</t>
  </si>
  <si>
    <t>BEARING, HUMERAL, REVERSE, 0 MM, 5 DEGREE, 33 MM, SHOULDER, OFFSET, FACE CHANGING, POLYETHYLENE, STERILE, INSET, LATEX</t>
  </si>
  <si>
    <t>BEARING, HUM, RVS, 0 MM, 5 DEG, 33 MM, SHLDR, OFFSET, FACE CHANGING, POLYETH, STRL, INSET, LTX</t>
  </si>
  <si>
    <t>BEARING, HUM, RVS, 0 MM, 5 DEG, 33 MM, SHLDR, OFFSET, POLYETH, INSET</t>
  </si>
  <si>
    <t>0 MM, 5 DEGREE</t>
  </si>
  <si>
    <t>https://accessgudid.nlm.nih.gov/devices/B1132R1P1505330</t>
  </si>
  <si>
    <t>Face Changing Humeral Bearing: 36mm x 0mm x 5</t>
  </si>
  <si>
    <t>BEARING, HUMERAL, REVERSE, 0 MM, 5 DEGREE, 36 MM, SHOULDER, OFFSET, FACE CHANGING, POLYETHYLENE, STERILE, INSET, LATEX</t>
  </si>
  <si>
    <t>BEARING, HUM, RVS, 0 MM, 5 DEG, 36 MM, SHLDR, OFFSET, FACE CHANGING, POLYETH, STRL, INSET, LTX</t>
  </si>
  <si>
    <t>BEARING, HUM, RVS, 0 MM, 5 DEG, 36 MM, SHLDR, OFFSET, POLYETH, INSET</t>
  </si>
  <si>
    <t>https://accessgudid.nlm.nih.gov/devices/B1132R1P1505360</t>
  </si>
  <si>
    <t>Face Changing Humeral Bearing: 39mm x 0mm x 5</t>
  </si>
  <si>
    <t>BEARING, HUMERAL, REVERSE, 0 MM, 5 DEGREE, 39 MM, SHOULDER, OFFSET, FACE CHANGING, POLYETHYLENE, STERILE, INSET, LATEX</t>
  </si>
  <si>
    <t>BEARING, HUM, RVS, 0 MM, 5 DEG, 39 MM, SHLDR, OFFSET, FACE CHANGING, POLYETH, STRL, INSET, LTX</t>
  </si>
  <si>
    <t>BEARING, HUM, RVS, 0 MM, 5 DEG, 39 MM, SHLDR, OFFSET, POLYETH, INSET</t>
  </si>
  <si>
    <t>https://accessgudid.nlm.nih.gov/devices/B1132R1P1505390</t>
  </si>
  <si>
    <t>BEARING, HUMERAL, REVERSE, 0 MM, 5 DEGREE, 42 MM, SHOULDER, OFFSET, FACE CHANGING, POLYETHYLENE, STERILE, INSET, LATEX</t>
  </si>
  <si>
    <t>BEARING, HUM, RVS, 0 MM, 5 DEG, 42 MM, SHLDR, OFFSET, FACE CHANGING, POLYETH, STRL, INSET, LTX</t>
  </si>
  <si>
    <t>BEARING, HUM, RVS, 0 MM, 5 DEG, 42 MM, SHLDR, OFFSET, POLYETH, INSET</t>
  </si>
  <si>
    <t>BEARING, HUMERAL, REVERSE, 0 MM, 10 DEGREE, 33 MM, SHOULDER, OFFSET, FACE CHANGING, POLYETHYLENE, STERILE, INSET, LATEX</t>
  </si>
  <si>
    <t>BEARING, HUM, RVS, 0 MM, 10 DEG, 33 MM, SHLDR, OFFSET, FACE CHANGING, POLYETH, STRL, INSET, LTX</t>
  </si>
  <si>
    <t>BEARING, HUM, RVS, 0 MM, 10 DEG, 33 MM, SHLDR, OFFSET, POLYETH, INSET</t>
  </si>
  <si>
    <t>0 MM, 10 DEGREE</t>
  </si>
  <si>
    <t>BEARING, HUMERAL, REVERSE, 0 MM, 10 DEGREE, 36 MM, SHOULDER, OFFSET, FACE CHANGING, POLYETHYLENE, STERILE, INSET, LATEX</t>
  </si>
  <si>
    <t>BEARING, HUM, RVS, 0 MM, 10 DEG, 36 MM, SHLDR, OFFSET, FACE CHANGING, POLYETH, STRL, INSET, LTX</t>
  </si>
  <si>
    <t>BEARING, HUM, RVS, 0 MM, 10 DEG, 36 MM, SHLDR, OFFSET, POLYETH, INSET</t>
  </si>
  <si>
    <t>BEARING, HUMERAL, REVERSE, 0 MM, 10 DEGREE, 39 MM, SHOULDER, OFFSET, FACE CHANGING, POLYETHYLENE, STERILE, INSET, LATEX</t>
  </si>
  <si>
    <t>BEARING, HUM, RVS, 0 MM, 10 DEG, 39 MM, SHLDR, OFFSET, FACE CHANGING, POLYETH, STRL, INSET, LTX</t>
  </si>
  <si>
    <t>BEARING, HUM, RVS, 0 MM, 10 DEG, 39 MM, SHLDR, OFFSET, POLYETH, INSET</t>
  </si>
  <si>
    <t>BEARING, HUMERAL, REVERSE, 0 MM, 10 DEGREE, 42 MM, SHOULDER, OFFSET, FACE CHANGING, POLYETHYLENE, STERILE, INSET, LATEX</t>
  </si>
  <si>
    <t>BEARING, HUM, RVS, 0 MM, 10 DEG, 42 MM, SHLDR, OFFSET, FACE CHANGING, POLYETH, STRL, INSET, LTX</t>
  </si>
  <si>
    <t>BEARING, HUM, RVS, 0 MM, 10 DEG, 42 MM, SHLDR, OFFSET, POLYETH, INSET</t>
  </si>
  <si>
    <t>42321506  Bone screws or pegs</t>
  </si>
  <si>
    <t>RSA Central Compression Screw 6.0mm x 15mm</t>
  </si>
  <si>
    <t>SCREW, BONE, COMPRESSION, 6X15 MM, SHOULDER, REVERSE, BASEPLATE, CENTRAL POST, NON STERILE, INSET, LATEX</t>
  </si>
  <si>
    <t>SCREW, BNE, COMPR, 6X15 MM, SHLDR, RVS, BASEPLT, CNTRL POST, NS, INSET, LTX</t>
  </si>
  <si>
    <t>SCREW, BNE, COMPR, 6X15 MM, RVS, BASEPLT, CNTRL POST, NS, INSET</t>
  </si>
  <si>
    <t>SCREW</t>
  </si>
  <si>
    <t>BONE</t>
  </si>
  <si>
    <t>COMPRESSION</t>
  </si>
  <si>
    <t>6X15 MM</t>
  </si>
  <si>
    <t>REVERSE, BASEPLATE, CENTRAL POST</t>
  </si>
  <si>
    <t>NON STERILE</t>
  </si>
  <si>
    <t>https://accessgudid.nlm.nih.gov/devices/B1132R1PC600150</t>
  </si>
  <si>
    <t>RSA Central Compression Screw 6.0mm x 20mm</t>
  </si>
  <si>
    <t>SCREW, BONE, COMPRESSION, 6X20 MM, SHOULDER, REVERSE, BASEPLATE, CENTRAL POST, NON STERILE, INSET, LATEX</t>
  </si>
  <si>
    <t>SCREW, BNE, COMPR, 6X20 MM, SHLDR, RVS, BASEPLT, CNTRL POST, NS, INSET, LTX</t>
  </si>
  <si>
    <t>SCREW, BNE, COMPR, 6X20 MM, RVS, BASEPLT, CNTRL POST, NS, INSET</t>
  </si>
  <si>
    <t>6X20 MM</t>
  </si>
  <si>
    <t>https://accessgudid.nlm.nih.gov/devices/B1132R1PC600200</t>
  </si>
  <si>
    <t>RSA Central Compression Screw 6.0mm x 25mm</t>
  </si>
  <si>
    <t>SCREW, BONE, COMPRESSION, 6X25 MM, SHOULDER, REVERSE, BASEPLATE, CENTRAL POST, NON STERILE, INSET, LATEX</t>
  </si>
  <si>
    <t>SCREW, BNE, COMPR, 6X25 MM, SHLDR, RVS, BASEPLT, CNTRL POST, NS, INSET, LTX</t>
  </si>
  <si>
    <t>SCREW, BNE, COMPR, 6X25 MM, RVS, BASEPLT, CNTRL POST, NS, INSET</t>
  </si>
  <si>
    <t>6X25 MM</t>
  </si>
  <si>
    <t>https://accessgudid.nlm.nih.gov/devices/B1132R1PC600250</t>
  </si>
  <si>
    <t>RSA Central Compression Screw 6.0mm x 30mm</t>
  </si>
  <si>
    <t>SCREW, BONE, COMPRESSION, 6X30 MM, SHOULDER, REVERSE, BASEPLATE, CENTRAL POST, NON STERILE, INSET, LATEX</t>
  </si>
  <si>
    <t>SCREW, BNE, COMPR, 6X30 MM, SHLDR, RVS, BASEPLT, CNTRL POST, NS, INSET, LTX</t>
  </si>
  <si>
    <t>SCREW, BNE, COMPR, 6X30 MM, RVS, BASEPLT, CNTRL POST, NS, INSET</t>
  </si>
  <si>
    <t>6X30 MM</t>
  </si>
  <si>
    <t>https://accessgudid.nlm.nih.gov/devices/B1132R1PC600300</t>
  </si>
  <si>
    <t>RSA Central Compression Screw 6.0mm x 35mm</t>
  </si>
  <si>
    <t>SCREW, BONE, COMPRESSION, 6X35 MM, SHOULDER, REVERSE, BASEPLATE, CENTRAL POST, NON STERILE, INSET, LATEX</t>
  </si>
  <si>
    <t>SCREW, BNE, COMPR, 6X35 MM, SHLDR, RVS, BASEPLT, CNTRL POST, NS, INSET, LTX</t>
  </si>
  <si>
    <t>SCREW, BNE, COMPR, 6X35 MM, RVS, BASEPLT, CNTRL POST, NS, INSET</t>
  </si>
  <si>
    <t>6X35 MM</t>
  </si>
  <si>
    <t>https://accessgudid.nlm.nih.gov/devices/B1132R1PC600350</t>
  </si>
  <si>
    <t>RSA Central Compression Screw 6.0mm x 40mm</t>
  </si>
  <si>
    <t>SCREW, BONE, COMPRESSION, 6X40 MM, SHOULDER, REVERSE, BASEPLATE, CENTRAL POST, NON STERILE, INSET, LATEX</t>
  </si>
  <si>
    <t>SCREW, BNE, COMPR, 6X40 MM, SHLDR, RVS, BASEPLT, CNTRL POST, NS, INSET, LTX</t>
  </si>
  <si>
    <t>SCREW, BNE, COMPR, 6X40 MM, RVS, BASEPLT, CNTRL POST, NS, INSET</t>
  </si>
  <si>
    <t>6X40 MM</t>
  </si>
  <si>
    <t>https://accessgudid.nlm.nih.gov/devices/B1132R1PC600400</t>
  </si>
  <si>
    <t>RSA Central Compression Screw 6.0mm x 45mm</t>
  </si>
  <si>
    <t>SCREW, BONE, COMPRESSION, 6X45 MM, SHOULDER, REVERSE, BASEPLATE, CENTRAL POST, NON STERILE, INSET, LATEX</t>
  </si>
  <si>
    <t>SCREW, BNE, COMPR, 6X45 MM, SHLDR, RVS, BASEPLT, CNTRL POST, NS, INSET, LTX</t>
  </si>
  <si>
    <t>SCREW, BNE, COMPR, 6X45 MM, RVS, BASEPLT, CNTRL POST, NS, INSET</t>
  </si>
  <si>
    <t>6X45 MM</t>
  </si>
  <si>
    <t>https://accessgudid.nlm.nih.gov/devices/B1132R1PC600450</t>
  </si>
  <si>
    <t>RSA Central Compression Screw 6.0mm x 50mm</t>
  </si>
  <si>
    <t>SCREW, BONE, COMPRESSION, 6X50 MM, SHOULDER, REVERSE, BASEPLATE, CENTRAL POST, NON STERILE, INSET, LATEX</t>
  </si>
  <si>
    <t>SCREW, BNE, COMPR, 6X50 MM, SHLDR, RVS, BASEPLT, CNTRL POST, NS, INSET, LTX</t>
  </si>
  <si>
    <t>SCREW, BNE, COMPR, 6X50 MM, RVS, BASEPLT, CNTRL POST, NS, INSET</t>
  </si>
  <si>
    <t>6X50 MM</t>
  </si>
  <si>
    <t>https://accessgudid.nlm.nih.gov/devices/B1132R1PC600500</t>
  </si>
  <si>
    <t>RSA Variable Angle Screw 4.5mm x 15 mm</t>
  </si>
  <si>
    <t>SCREW, BONE, COMPRESSION, 4.5X15 MM, SHOULDER, REVERSE, BASEPLATE, VARIABLE ANGLE, NON STERILE, INSET, LATEX</t>
  </si>
  <si>
    <t>SCREW, BNE, COMPR, 4.5X15 MM, SHLDR, RVS, BASEPLT, VA, NS, INSET, LTX</t>
  </si>
  <si>
    <t>4.5X15 MM</t>
  </si>
  <si>
    <t>REVERSE, BASEPLATE, VARIABLE ANGLE</t>
  </si>
  <si>
    <t>https://accessgudid.nlm.nih.gov/devices/B1132R1PN450150</t>
  </si>
  <si>
    <t>RSA Variable Angle Screw 4.5mm x 20 mm</t>
  </si>
  <si>
    <t>SCREW, BONE, COMPRESSION, 4.5X20 MM, SHOULDER, REVERSE, BASEPLATE, VARIABLE ANGLE, NON STERILE, INSET, LATEX</t>
  </si>
  <si>
    <t>SCREW, BNE, COMPR, 4.5X20 MM, SHLDR, RVS, BASEPLT, VA, NS, INSET, LTX</t>
  </si>
  <si>
    <t>4.5X20 MM</t>
  </si>
  <si>
    <t>https://accessgudid.nlm.nih.gov/devices/B1132R1PN450200</t>
  </si>
  <si>
    <t>RSA Variable Angle Screw 4.5mm x 25 mm</t>
  </si>
  <si>
    <t>SCREW, BONE, COMPRESSION, 4.5X25 MM, SHOULDER, REVERSE, BASEPLATE, VARIABLE ANGLE, NON STERILE, INSET, LATEX</t>
  </si>
  <si>
    <t>SCREW, BNE, COMPR, 4.5X25 MM, SHLDR, RVS, BASEPLT, VA, NS, INSET, LTX</t>
  </si>
  <si>
    <t>4.5X25 MM</t>
  </si>
  <si>
    <t>https://accessgudid.nlm.nih.gov/devices/B1132R1PN450250</t>
  </si>
  <si>
    <t>RSA Variable Angle Screw 4.5mm x 30 mm</t>
  </si>
  <si>
    <t>SCREW, BONE, COMPRESSION, 4.5X30 MM, SHOULDER, REVERSE, BASEPLATE, VARIABLE ANGLE, NON STERILE, INSET, LATEX</t>
  </si>
  <si>
    <t>SCREW, BNE, COMPR, 4.5X30 MM, SHLDR, RVS, BASEPLT, VA, NS, INSET, LTX</t>
  </si>
  <si>
    <t>4.5X30 MM</t>
  </si>
  <si>
    <t>https://accessgudid.nlm.nih.gov/devices/B1132R1PN450300</t>
  </si>
  <si>
    <t>RSA Variable Angle Screw 4.5mm x 35 mm</t>
  </si>
  <si>
    <t>SCREW, BONE, COMPRESSION, 4.5X35 MM, SHOULDER, REVERSE, BASEPLATE, VARIABLE ANGLE, NON STERILE, INSET, LATEX</t>
  </si>
  <si>
    <t>SCREW, BNE, COMPR, 4.5X35 MM, SHLDR, RVS, BASEPLT, VA, NS, INSET, LTX</t>
  </si>
  <si>
    <t>4.5X35 MM</t>
  </si>
  <si>
    <t>https://accessgudid.nlm.nih.gov/devices/B1132R1PN450350</t>
  </si>
  <si>
    <t>RSA Variable Angle Screw 4.5mm x 40 mm</t>
  </si>
  <si>
    <t>SCREW, BONE, COMPRESSION, 4.5X40 MM, SHOULDER, REVERSE, BASEPLATE, VARIABLE ANGLE, NON STERILE, INSET, LATEX</t>
  </si>
  <si>
    <t>SCREW, BNE, COMPR, 4.5X40 MM, SHLDR, RVS, BASEPLT, VA, NS, INSET, LTX</t>
  </si>
  <si>
    <t>4.5X40 MM</t>
  </si>
  <si>
    <t>https://accessgudid.nlm.nih.gov/devices/B1132R1PN450400</t>
  </si>
  <si>
    <t>RSA Variable Angle Screw 4.5mm x 45 mm</t>
  </si>
  <si>
    <t>SCREW, BONE, COMPRESSION, 4.5X45 MM, SHOULDER, REVERSE, BASEPLATE, VARIABLE ANGLE, NON STERILE, INSET, LATEX</t>
  </si>
  <si>
    <t>SCREW, BNE, COMPR, 4.5X45 MM, SHLDR, RVS, BASEPLT, VA, NS, INSET, LTX</t>
  </si>
  <si>
    <t>4.5X45 MM</t>
  </si>
  <si>
    <t>https://accessgudid.nlm.nih.gov/devices/B1132R1PN450450</t>
  </si>
  <si>
    <t>RSA Perpendicular Locking Screw 4.5X15 mm</t>
  </si>
  <si>
    <t>SCREW, BONE, LOCKING, 4.5X15 MM, SHOULDER, REVERSE, BASEPLATE, PERPENDICULAR, NON STERILE, INSET, LATEX</t>
  </si>
  <si>
    <t>SCREW, BNE, LCK, 4.5X15 MM, SHLDR, RVS, BASEPLT, PERPENDICULAR, NS, INSET, LTX</t>
  </si>
  <si>
    <t>SCREW, BNE, LCK, 4.5X15 MM, RVS, BASEPLT, PERPENDICULAR, NS, INSET</t>
  </si>
  <si>
    <t>REVERSE, BASEPLATE, PERPENDICULAR</t>
  </si>
  <si>
    <t>https://accessgudid.nlm.nih.gov/devices/B1132R1PT450150</t>
  </si>
  <si>
    <t>RSA Perpendicular Locking Screw 4.5X20 mm</t>
  </si>
  <si>
    <t>SCREW, BONE, LOCKING, 4.5X20 MM, SHOULDER, REVERSE, BASEPLATE, PERPENDICULAR, NON STERILE, INSET, LATEX</t>
  </si>
  <si>
    <t>SCREW, BNE, LCK, 4.5X20 MM, SHLDR, RVS, BASEPLT, PERPENDICULAR, NS, INSET, LTX</t>
  </si>
  <si>
    <t>SCREW, BNE, LCK, 4.5X20 MM, RVS, BASEPLT, PERPENDICULAR, NS, INSET</t>
  </si>
  <si>
    <t>https://accessgudid.nlm.nih.gov/devices/B1132R1PT450200</t>
  </si>
  <si>
    <t>RSA Perpendicular Locking Screw 4.5X25 mm</t>
  </si>
  <si>
    <t>SCREW, BONE, LOCKING, 4.5X25 MM, SHOULDER, REVERSE, BASEPLATE, PERPENDICULAR, NON STERILE, INSET, LATEX</t>
  </si>
  <si>
    <t>SCREW, BNE, LCK, 4.5X25 MM, SHLDR, RVS, BASEPLT, PERPENDICULAR, NS, INSET, LTX</t>
  </si>
  <si>
    <t>SCREW, BNE, LCK, 4.5X25 MM, RVS, BASEPLT, PERPENDICULAR, NS, INSET</t>
  </si>
  <si>
    <t>https://accessgudid.nlm.nih.gov/devices/B1132R1PT450250</t>
  </si>
  <si>
    <t>RSA Perpendicular Locking Screw 4.5X30 mm</t>
  </si>
  <si>
    <t>SCREW, BONE, LOCKING, 4.5X30 MM, SHOULDER, REVERSE, BASEPLATE, PERPENDICULAR, NON STERILE, INSET, LATEX</t>
  </si>
  <si>
    <t>SCREW, BNE, LCK, 4.5X30 MM, SHLDR, RVS, BASEPLT, PERPENDICULAR, NS, INSET, LTX</t>
  </si>
  <si>
    <t>SCREW, BNE, LCK, 4.5X30 MM, RVS, BASEPLT, PERPENDICULAR, NS, INSET</t>
  </si>
  <si>
    <t>https://accessgudid.nlm.nih.gov/devices/B1132R1PT450300</t>
  </si>
  <si>
    <t>RSA Perpendicular Locking Screw 4.5X35 mm</t>
  </si>
  <si>
    <t>SCREW, BONE, LOCKING, 4.5X35 MM, SHOULDER, REVERSE, BASEPLATE, PERPENDICULAR, NON STERILE, INSET, LATEX</t>
  </si>
  <si>
    <t>SCREW, BNE, LCK, 4.5X35 MM, SHLDR, RVS, BASEPLT, PERPENDICULAR, NS, INSET, LTX</t>
  </si>
  <si>
    <t>SCREW, BNE, LCK, 4.5X35 MM, RVS, BASEPLT, PERPENDICULAR, NS, INSET</t>
  </si>
  <si>
    <t>https://accessgudid.nlm.nih.gov/devices/B1132R1PT450350</t>
  </si>
  <si>
    <t>RSA Perpendicular Locking Screw 4.5X40 mm</t>
  </si>
  <si>
    <t>SCREW, BONE, LOCKING, 4.5X40 MM, SHOULDER, REVERSE, BASEPLATE, PERPENDICULAR, NON STERILE, INSET, LATEX</t>
  </si>
  <si>
    <t>SCREW, BNE, LCK, 4.5X40 MM, SHLDR, RVS, BASEPLT, PERPENDICULAR, NS, INSET, LTX</t>
  </si>
  <si>
    <t>SCREW, BNE, LCK, 4.5X40 MM, RVS, BASEPLT, PERPENDICULAR, NS, INSET</t>
  </si>
  <si>
    <t>https://accessgudid.nlm.nih.gov/devices/B1132R1PT450400</t>
  </si>
  <si>
    <t>RSA Perpendicular Locking Screw 4.5X45 mm</t>
  </si>
  <si>
    <t>SCREW, BONE, LOCKING, 4.5X45 MM, SHOULDER, REVERSE, BASEPLATE, PERPENDICULAR, NON STERILE, INSET, LATEX</t>
  </si>
  <si>
    <t>SCREW, BNE, LCK, 4.5X45 MM, SHLDR, RVS, BASEPLT, PERPENDICULAR, NS, INSET, LTX</t>
  </si>
  <si>
    <t>SCREW, BNE, LCK, 4.5X45 MM, RVS, BASEPLT, PERPENDICULAR, NS, INSET</t>
  </si>
  <si>
    <t>https://accessgudid.nlm.nih.gov/devices/B1132R1PT450450</t>
  </si>
  <si>
    <t>RSA Glenoid Baseplate 24mm x 0 x 15mm</t>
  </si>
  <si>
    <t>BASEPLATE, GLENOID, REVERSE, SMALL, 0 DEGREE, 24 MM, 15 MM, SHOULDER, WITH POST, STERILE, INSET, LATEX</t>
  </si>
  <si>
    <t>BASEPLATE, GLEN, RVS, SM, 0 DEG, 24 MM, 15 MM, SHLDR, W/ POST, STRL, INSET, LTX</t>
  </si>
  <si>
    <t>BASEPLATE, GLEN, RVS, SM, 0 DEG, 24 MM, 15 MM, SHLDR, W/ POST, INSET</t>
  </si>
  <si>
    <t>BASEPLATE</t>
  </si>
  <si>
    <t>SMALL, 0 DEGREE</t>
  </si>
  <si>
    <t>15 MM</t>
  </si>
  <si>
    <t>WITH POST</t>
  </si>
  <si>
    <t>https://accessgudid.nlm.nih.gov/devices/B1132R1R2400150</t>
  </si>
  <si>
    <t>RSA Glenoid Baseplate 24mm x 0 x 25mm</t>
  </si>
  <si>
    <t>BASEPLATE, GLENOID, REVERSE, SMALL, 0 DEGREE, 24 MM, 25 MM, SHOULDER, WITH LONG POST, STERILE, INSET, LATEX</t>
  </si>
  <si>
    <t>BASEPLATE, GLEN, RVS, SM, 0 DEG, 24 MM, 25 MM, SHLDR, W/ LNG POST, STRL, INSET, LTX</t>
  </si>
  <si>
    <t>BASEPLATE, GLEN, RVS, SM, 0 DEG, 24 MM, 25 MM, W/ LNG POST, INSET</t>
  </si>
  <si>
    <t>25 MM</t>
  </si>
  <si>
    <t>WITH LONG POST</t>
  </si>
  <si>
    <t>https://accessgudid.nlm.nih.gov/devices/B1132R1R2400250</t>
  </si>
  <si>
    <t>RSA Glenoid Baseplate 24mm x 5 x 15mm</t>
  </si>
  <si>
    <t>BASEPLATE, GLENOID, REVERSE, SMALL, 5 DEGREE, 24 MM, 15 MM, SHOULDER, WITH POST, STERILE, INSET, LATEX</t>
  </si>
  <si>
    <t>BASEPLATE, GLEN, RVS, SM, 5 DEG, 24 MM, 15 MM, SHLDR, W/ POST, STRL, INSET, LTX</t>
  </si>
  <si>
    <t>BASEPLATE, GLEN, RVS, SM, 5 DEG, 24 MM, 15 MM, SHLDR, W/ POST, INSET</t>
  </si>
  <si>
    <t>SMALL, 5 DEGREE</t>
  </si>
  <si>
    <t>https://accessgudid.nlm.nih.gov/devices/B1132R1R2405150</t>
  </si>
  <si>
    <t>RSA Glenoid Baseplate 24mm x 5 x 25mm</t>
  </si>
  <si>
    <t>BASEPLATE, GLENOID, REVERSE, SMALL, 5 DEGREE, 24 MM, 25 MM, SHOULDER, WITH LONG POST, STERILE, INSET, LATEX</t>
  </si>
  <si>
    <t>BASEPLATE, GLEN, RVS, SM, 5 DEG, 24 MM, 25 MM, SHLDR, W/ LNG POST, STRL, INSET, LTX</t>
  </si>
  <si>
    <t>BASEPLATE, GLEN, RVS, SM, 5 DEG, 24 MM, 25 MM, W/ LNG POST, INSET</t>
  </si>
  <si>
    <t>https://accessgudid.nlm.nih.gov/devices/B1132R1R2405250</t>
  </si>
  <si>
    <t>RSA Glenoid Baseplate 24mm x 10 x 15mm</t>
  </si>
  <si>
    <t>BASEPLATE, GLENOID, REVERSE, SMALL, 10 DEGREE, 24 MM, 15 MM, SHOULDER, WITH POST, STERILE, INSET, LATEX</t>
  </si>
  <si>
    <t>BASEPLATE, GLEN, RVS, SM, 10 DEG, 24 MM, 15 MM, SHLDR, W/ POST, STRL, INSET, LTX</t>
  </si>
  <si>
    <t>BASEPLATE, GLEN, RVS, SM, 10 DEG, 24 MM, 15 MM, SHLDR, W/ POST, INSET</t>
  </si>
  <si>
    <t>SMALL, 10 DEGREE</t>
  </si>
  <si>
    <t>https://accessgudid.nlm.nih.gov/devices/B1132R1R2410150</t>
  </si>
  <si>
    <t>RSA Glenoid Baseplate 24mm x 10 x 25mm</t>
  </si>
  <si>
    <t>BASEPLATE, GLENOID, REVERSE, SMALL, 10 DEGREE, 24 MM, 25 MM, SHOULDER, WITH LONG POST, STERILE, INSET, LATEX</t>
  </si>
  <si>
    <t>BASEPLATE, GLEN, RVS, SM, 10 DEG, 24 MM, 25 MM, SHLDR, W/ LNG POST, STRL, INSET, LTX</t>
  </si>
  <si>
    <t>BASEPLATE, GLEN, RVS, SM, 10 DEG, 24 MM, 25 MM, W/ LNG POST, INSET</t>
  </si>
  <si>
    <t>https://accessgudid.nlm.nih.gov/devices/B1132R1R2410250</t>
  </si>
  <si>
    <t>RSA Glenoid Baseplate 24mm x 15 x 15mm</t>
  </si>
  <si>
    <t>BASEPLATE, GLENOID, REVERSE, SMALL, 15 DEGREE, 24 MM, 15 MM, SHOULDER, WITH POST, STERILE, INSET, LATEX</t>
  </si>
  <si>
    <t>BASEPLATE, GLEN, RVS, SM, 15 DEG, 24 MM, 15 MM, SHLDR, W/ POST, STRL, INSET, LTX</t>
  </si>
  <si>
    <t>BASEPLATE, GLEN, RVS, SM, 15 DEG, 24 MM, 15 MM, SHLDR, W/ POST, INSET</t>
  </si>
  <si>
    <t>SMALL, 15 DEGREE</t>
  </si>
  <si>
    <t>https://accessgudid.nlm.nih.gov/devices/B1132R1R2415150</t>
  </si>
  <si>
    <t>RSA Glenoid Baseplate 24mm x 15 x 25mm</t>
  </si>
  <si>
    <t>BASEPLATE, GLENOID, REVERSE, SMALL, 15 DEGREE, 24 MM, 25 MM, SHOULDER, WITH LONG POST, STERILE, INSET, LATEX</t>
  </si>
  <si>
    <t>BASEPLATE, GLEN, RVS, SM, 15 DEG, 24 MM, 25 MM, SHLDR, W/ LNG POST, STRL, INSET, LTX</t>
  </si>
  <si>
    <t>BASEPLATE, GLEN, RVS, SM, 15 DEG, 24 MM, 25 MM, W/ LNG POST, INSET</t>
  </si>
  <si>
    <t>https://accessgudid.nlm.nih.gov/devices/B1132R1R2415250</t>
  </si>
  <si>
    <t>RSA Glenoid Baseplate 27mm x 0 x 15mm</t>
  </si>
  <si>
    <t>BASEPLATE, GLENOID, REVERSE, MEDIUM, 0 DEGREE, 27 MM, 15 MM, SHOULDER, WITH POST, STERILE, INSET, LATEX</t>
  </si>
  <si>
    <t>BASEPLATE, GLEN, RVS, MED, 0 DEG, 27 MM, 15 MM, SHLDR, W/ POST, STRL, INSET, LTX</t>
  </si>
  <si>
    <t>BASEPLATE, GLEN, RVS, MED, 0 DEG, 27 MM, 15 MM, SHLDR, W/ POST, INSET</t>
  </si>
  <si>
    <t>MEDIUM, 0 DEGREE</t>
  </si>
  <si>
    <t>https://accessgudid.nlm.nih.gov/devices/B1132R1R2700150</t>
  </si>
  <si>
    <t>RSA Glenoid Baseplate 27mm x 0 x 25mm</t>
  </si>
  <si>
    <t>BASEPLATE, GLENOID, REVERSE, MEDIUM, 0 DEGREE, 27 MM, 25 MM, SHOULDER, WITH LONG POST, STERILE, INSET, LATEX</t>
  </si>
  <si>
    <t>BASEPLATE, GLEN, RVS, MED, 0 DEG, 27 MM, 25 MM, SHLDR, W/ LNG POST, STRL, INSET, LTX</t>
  </si>
  <si>
    <t>BASEPLATE, GLEN, RVS, MED, 0 DEG, 27 MM, 25 MM, W/ LNG POST, INSET</t>
  </si>
  <si>
    <t>https://accessgudid.nlm.nih.gov/devices/B1132R1R2700250</t>
  </si>
  <si>
    <t>RSA Glenoid Baseplate 27mm x 5 x 15mm</t>
  </si>
  <si>
    <t>BASEPLATE, GLENOID, REVERSE, MEDIUM, 5 DEGREE, 27 MM, 15 MM, SHOULDER, WITH POST, STERILE, INSET, LATEX</t>
  </si>
  <si>
    <t>BASEPLATE, GLEN, RVS, MED, 5 DEG, 27 MM, 15 MM, SHLDR, W/ POST, STRL, INSET, LTX</t>
  </si>
  <si>
    <t>BASEPLATE, GLEN, RVS, MED, 5 DEG, 27 MM, 15 MM, SHLDR, W/ POST, INSET</t>
  </si>
  <si>
    <t>MEDIUM, 5 DEGREE</t>
  </si>
  <si>
    <t>https://accessgudid.nlm.nih.gov/devices/B1132R1R2705150</t>
  </si>
  <si>
    <t>RSA Glenoid Baseplate 27mm x 5 x 25mm</t>
  </si>
  <si>
    <t>BASEPLATE, GLENOID, REVERSE, MEDIUM, 5 DEGREE, 27 MM, 25 MM, SHOULDER, WITH LONG POST, STERILE, INSET, LATEX</t>
  </si>
  <si>
    <t>BASEPLATE, GLEN, RVS, MED, 5 DEG, 27 MM, 25 MM, SHLDR, W/ LNG POST, STRL, INSET, LTX</t>
  </si>
  <si>
    <t>BASEPLATE, GLEN, RVS, MED, 5 DEG, 27 MM, 25 MM, W/ LNG POST, INSET</t>
  </si>
  <si>
    <t>https://accessgudid.nlm.nih.gov/devices/B1132R1R2705250</t>
  </si>
  <si>
    <t>RSA Glenoid Baseplate 27mm x 10 x 15mm</t>
  </si>
  <si>
    <t>BASEPLATE, GLENOID, REVERSE, MEDIUM, 10 DEGREE, 27 MM, 15 MM, SHOULDER, WITH POST, STERILE, INSET, LATEX</t>
  </si>
  <si>
    <t>BASEPLATE, GLEN, RVS, MED, 10 DEG, 27 MM, 15 MM, SHLDR, W/ POST, STRL, INSET, LTX</t>
  </si>
  <si>
    <t>BASEPLATE, GLEN, RVS, MED, 10 DEG, 27 MM, 15 MM, W/ POST, INSET</t>
  </si>
  <si>
    <t>MEDIUM, 10 DEGREE</t>
  </si>
  <si>
    <t>https://accessgudid.nlm.nih.gov/devices/B1132R1R2710150</t>
  </si>
  <si>
    <t>RSA Glenoid Baseplate 27mm x 10 x 25mm</t>
  </si>
  <si>
    <t>BASEPLATE, GLENOID, REVERSE, MEDIUM, 10 DEGREE, 27 MM, 25 MM, SHOULDER, WITH LONG POST, STERILE, INSET, LATEX</t>
  </si>
  <si>
    <t>BASEPLATE, GLEN, RVS, MED, 10 DEG, 27 MM, 25 MM, SHLDR, W/ LNG POST, STRL, INSET, LTX</t>
  </si>
  <si>
    <t>BASEPLATE, GLEN, RVS, MED, 10 DEG, 27 MM, 25 MM, W/ LNG POST, INSET</t>
  </si>
  <si>
    <t>https://accessgudid.nlm.nih.gov/devices/B1132R1R2710250</t>
  </si>
  <si>
    <t>RSA Glenoid Baseplate 27mm x 15 x 15mm</t>
  </si>
  <si>
    <t>BASEPLATE, GLENOID, REVERSE, MEDIUM, 15 DEGREE, 27 MM, 15 MM, SHOULDER, WITH POST, STERILE, INSET, LATEX</t>
  </si>
  <si>
    <t>BASEPLATE, GLEN, RVS, MED, 15 DEG, 27 MM, 15 MM, SHLDR, W/ POST, STRL, INSET, LTX</t>
  </si>
  <si>
    <t>BASEPLATE, GLEN, RVS, MED, 15 DEG, 27 MM, 15 MM, W/ POST, INSET</t>
  </si>
  <si>
    <t>MEDIUM, 15 DEGREE</t>
  </si>
  <si>
    <t>https://accessgudid.nlm.nih.gov/devices/B1132R1R2715150</t>
  </si>
  <si>
    <t>RSA Glenoid Baseplate 27mm x 15 x 25mm</t>
  </si>
  <si>
    <t>BASEPLATE, GLENOID, REVERSE, MEDIUM, 15 DEGREE, 27 MM, 25 MM, SHOULDER, WITH LONG POST, STERILE, INSET, LATEX</t>
  </si>
  <si>
    <t>BASEPLATE, GLEN, RVS, MED, 15 DEG, 27 MM, 25 MM, SHLDR, W/ LNG POST, STRL, INSET, LTX</t>
  </si>
  <si>
    <t>BASEPLATE, GLEN, RVS, MED, 15 DEG, 27 MM, 25 MM, W/ LNG POST, INSET</t>
  </si>
  <si>
    <t>https://accessgudid.nlm.nih.gov/devices/B1132R1R2715250</t>
  </si>
  <si>
    <t>RSA STD Glenoid Baseplate 24mm x 0 x 10mm</t>
  </si>
  <si>
    <t>BASEPLATE, GLENOID, REVERSE, SMALL, STANDARD, 0 DEGREE, 24 MM, 10 MM, SHOULDER, WITH POST, STERILE, INSET, LATEX</t>
  </si>
  <si>
    <t>BASEPLATE, GLEN, RVS, SM, STD, 0 DEG, 24 MM, 10 MM, SHLDR, W/ POST, STRL, INSET, LTX</t>
  </si>
  <si>
    <t>BASEPLATE, GLEN, RVS, SM, STD, 0 DEG, 24 MM, 10 MM, W/ POST, INSET</t>
  </si>
  <si>
    <t>SMALL, STANDARD, 0 DEGREE</t>
  </si>
  <si>
    <t>10 MM</t>
  </si>
  <si>
    <t>https://accessgudid.nlm.nih.gov/devices/B1132R1T2400100</t>
  </si>
  <si>
    <t>RSA STD Glenoid Baseplate 24mm x 0 x 15mm</t>
  </si>
  <si>
    <t>BASEPLATE, GLENOID, REVERSE, SMALL, STANDARD, 0 DEGREE, 24 MM, 15 MM, SHOULDER, WITH POST, STERILE, INSET, LATEX</t>
  </si>
  <si>
    <t>BASEPLATE, GLEN, RVS, SM, STD, 0 DEG, 24 MM, 15 MM, SHLDR, W/ POST, STRL, INSET, LTX</t>
  </si>
  <si>
    <t>BASEPLATE, GLEN, RVS, SM, STD, 0 DEG, 24 MM, 15 MM, W/ POST, INSET</t>
  </si>
  <si>
    <t>https://accessgudid.nlm.nih.gov/devices/B1132R1T2400150</t>
  </si>
  <si>
    <t>RSA STD Glenoid Baseplate 24mm x 5 x 10mm</t>
  </si>
  <si>
    <t>BASEPLATE, GLENOID, REVERSE, SMALL, STANDARD, 5 DEGREE, 24 MM, 10 MM, SHOULDER, WITH POST, STERILE, INSET, LATEX</t>
  </si>
  <si>
    <t>BASEPLATE, GLEN, RVS, SM, STD, 5 DEG, 24 MM, 10 MM, SHLDR, W/ POST, STRL, INSET, LTX</t>
  </si>
  <si>
    <t>BASEPLATE, GLEN, RVS, SM, STD, 5 DEG, 24 MM, 10 MM, W/ POST, INSET</t>
  </si>
  <si>
    <t>SMALL, STANDARD, 5 DEGREE</t>
  </si>
  <si>
    <t>https://accessgudid.nlm.nih.gov/devices/B1132R1T2405100</t>
  </si>
  <si>
    <t>RSA STD Glenoid Baseplate 24mm x 5 x 15mm</t>
  </si>
  <si>
    <t>BASEPLATE, GLENOID, REVERSE, SMALL, STANDARD, 5 DEGREE, 24 MM, 15 MM, SHOULDER, WITH POST, STERILE, INSET, LATEX</t>
  </si>
  <si>
    <t>BASEPLATE, GLEN, RVS, SM, STD, 5 DEG, 24 MM, 15 MM, SHLDR, W/ POST, STRL, INSET, LTX</t>
  </si>
  <si>
    <t>BASEPLATE, GLEN, RVS, SM, STD, 5 DEG, 24 MM, 15 MM, W/ POST, INSET</t>
  </si>
  <si>
    <t>https://accessgudid.nlm.nih.gov/devices/B1132R1T2405150</t>
  </si>
  <si>
    <t>RSA STD Glenoid Baseplate 24mm x 10 x 10mm</t>
  </si>
  <si>
    <t>BASEPLATE, GLENOID, REVERSE, SMALL, STANDARD, 10 DEGREE, 24 MM, 10 MM, SHOULDER, WITH POST, STERILE, INSET, LATEX</t>
  </si>
  <si>
    <t>BASEPLATE, GLEN, RVS, SM, STD, 10 DEG, 24 MM, 10 MM, SHLDR, W/ POST, STRL, INSET, LTX</t>
  </si>
  <si>
    <t>BASEPLATE, GLEN, RVS, SM, STD, 10 DEG, 24 MM, 10 MM, W/ POST, INSET</t>
  </si>
  <si>
    <t>SMALL, STANDARD, 10 DEGREE</t>
  </si>
  <si>
    <t>https://accessgudid.nlm.nih.gov/devices/B1132R1T2410100</t>
  </si>
  <si>
    <t>RSA STD Glenoid Baseplate 24mm x 10 x 15mm</t>
  </si>
  <si>
    <t>BASEPLATE, GLENOID, REVERSE, SMALL, STANDARD, 10 DEGREE, 24 MM, 15 MM, SHOULDER, WITH POST, STERILE, INSET, LATEX</t>
  </si>
  <si>
    <t>BASEPLATE, GLEN, RVS, SM, STD, 10 DEG, 24 MM, 15 MM, SHLDR, W/ POST, STRL, INSET, LTX</t>
  </si>
  <si>
    <t>BASEPLATE, GLEN, RVS, SM, STD, 10 DEG, 24 MM, 15 MM, W/ POST, INSET</t>
  </si>
  <si>
    <t>https://accessgudid.nlm.nih.gov/devices/B1132R1T2410150</t>
  </si>
  <si>
    <t>RSA STD Glenoid Baseplate 24mm x 15 x 10mm</t>
  </si>
  <si>
    <t>BASEPLATE, GLENOID, REVERSE, SMALL, STANDARD, 15 DEGREE, 24 MM, 10 MM, SHOULDER, WITH POST, STERILE, INSET, LATEX</t>
  </si>
  <si>
    <t>BASEPLATE, GLEN, RVS, SM, STD, 15 DEG, 24 MM, 10 MM, SHLDR, W/ POST, STRL, INSET, LTX</t>
  </si>
  <si>
    <t>BASEPLATE, GLEN, RVS, SM, STD, 15 DEG, 24 MM, 10 MM, W/ POST, INSET</t>
  </si>
  <si>
    <t>SMALL, STANDARD, 15 DEGREE</t>
  </si>
  <si>
    <t>https://accessgudid.nlm.nih.gov/devices/B1132R1T2415100</t>
  </si>
  <si>
    <t>RSA STD Glenoid Baseplate 24mm x 15 x 15mm</t>
  </si>
  <si>
    <t>BASEPLATE, GLENOID, REVERSE, SMALL, STANDARD, 15 DEGREE, 24 MM, 15 MM, SHOULDER, WITH POST, STERILE, INSET, LATEX</t>
  </si>
  <si>
    <t>BASEPLATE, GLEN, RVS, SM, STD, 15 DEG, 24 MM, 15 MM, SHLDR, W/ POST, STRL, INSET, LTX</t>
  </si>
  <si>
    <t>BASEPLATE, GLEN, RVS, SM, STD, 15 DEG, 24 MM, 15 MM, W/ POST, INSET</t>
  </si>
  <si>
    <t>https://accessgudid.nlm.nih.gov/devices/B1132R1T2415150</t>
  </si>
  <si>
    <t>42295209  Surgical drill bits</t>
  </si>
  <si>
    <t>RSA Peripheral Screw Drill</t>
  </si>
  <si>
    <t>BIT, DRILL, PERIPHERAL SCREW, 3 MM, SHOULDER, REVERSE, NON STERILE, INSET, LATEX</t>
  </si>
  <si>
    <t>BIT, DRL, PERIPH SCR, 3 MM, SHLDR, RVS, NS, INSET, LTX</t>
  </si>
  <si>
    <t>BIT</t>
  </si>
  <si>
    <t>DRILL</t>
  </si>
  <si>
    <t>PERIPHERAL SCREW</t>
  </si>
  <si>
    <t>3 MM</t>
  </si>
  <si>
    <t>https://accessgudid.nlm.nih.gov/devices/B1132R2GB200300</t>
  </si>
  <si>
    <t>RSA AO Central Screw Drill</t>
  </si>
  <si>
    <t>BIT, DRILL, CENTRAL SCREW, 4 MM, SHOULDER, REVERSE, AO FITTING, NON STERILE, INSET, LATEX</t>
  </si>
  <si>
    <t>BIT, DRL, CNTRL SCR, 4 MM, SHLDR, RVS, AO FIT, NS, INSET, LTX</t>
  </si>
  <si>
    <t>CENTRAL SCREW</t>
  </si>
  <si>
    <t>4 MM</t>
  </si>
  <si>
    <t>REVERSE, AO FITTING</t>
  </si>
  <si>
    <t>https://accessgudid.nlm.nih.gov/devices/B1132R2GB900000</t>
  </si>
  <si>
    <t>42292402  Surgical drivers</t>
  </si>
  <si>
    <t>RSA Set Screw Driver</t>
  </si>
  <si>
    <t>SCREWDRIVER, SURGICAL, SET, SHOULDER, REVERSE, NON STERILE, INSET, LATEX</t>
  </si>
  <si>
    <t>SCREWDRIVER, SURG, SET, SHLDR, RVS, NS, INSET, LTX</t>
  </si>
  <si>
    <t>SCREWDRIVER</t>
  </si>
  <si>
    <t>SURGICAL</t>
  </si>
  <si>
    <t>SET</t>
  </si>
  <si>
    <t>https://accessgudid.nlm.nih.gov/devices/B1132R2GT100000</t>
  </si>
  <si>
    <t>RSA T15 Driver</t>
  </si>
  <si>
    <t>SCREWDRIVER, SURGICAL, T15, SHOULDER, REVERSE, NON STERILE, INSET, LATEX</t>
  </si>
  <si>
    <t>SCREWDRIVER, SURG, T15, SHLDR, RVS, NS, INSET, LTX</t>
  </si>
  <si>
    <t>T15</t>
  </si>
  <si>
    <t>https://accessgudid.nlm.nih.gov/devices/B1132R2GT400150</t>
  </si>
  <si>
    <t>RSA T20 Driver</t>
  </si>
  <si>
    <t>SCREWDRIVER, SURGICAL, T20, SHOULDER, REVERSE, NON STERILE, INSET, LATEX</t>
  </si>
  <si>
    <t>SCREWDRIVER, SURG, T20, SHLDR, RVS, NS, INSET, LTX</t>
  </si>
  <si>
    <t>T20</t>
  </si>
  <si>
    <t>https://accessgudid.nlm.nih.gov/devices/B1132R2GT400200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</si>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</sst>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0" fontId="6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5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1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6.710937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262</v>
      </c>
      <c r="B1" s="2" t="s">
        <v>488</v>
      </c>
      <c r="C1" s="2" t="s">
        <v>498</v>
      </c>
      <c r="D1" s="2" t="s">
        <v>156</v>
      </c>
      <c r="E1" s="2" t="s">
        <v>501</v>
      </c>
      <c r="F1" s="2" t="s">
        <v>172</v>
      </c>
      <c r="G1" s="2" t="s">
        <v>564</v>
      </c>
      <c r="H1" s="2" t="s">
        <v>378</v>
      </c>
      <c r="I1" s="2" t="s">
        <v>178</v>
      </c>
      <c r="J1" s="2" t="s">
        <v>433</v>
      </c>
      <c r="K1" s="2" t="s">
        <v>109</v>
      </c>
      <c r="L1" s="2" t="s">
        <v>321</v>
      </c>
      <c r="M1" s="2" t="s">
        <v>443</v>
      </c>
      <c r="N1" s="2" t="s">
        <v>140</v>
      </c>
      <c r="O1" s="2" t="s">
        <v>191</v>
      </c>
      <c r="P1" s="2" t="s">
        <v>526</v>
      </c>
      <c r="Q1" s="2" t="s">
        <v>416</v>
      </c>
      <c r="R1" s="2" t="s">
        <v>91</v>
      </c>
      <c r="S1" s="2" t="s">
        <v>265</v>
      </c>
      <c r="T1" s="2" t="s">
        <v>297</v>
      </c>
      <c r="U1" s="3" t="s">
        <v>141</v>
      </c>
      <c r="V1" s="3" t="s">
        <v>152</v>
      </c>
      <c r="W1" s="4" t="s">
        <v>235</v>
      </c>
      <c r="X1" s="5" t="s">
        <v>495</v>
      </c>
      <c r="Y1" s="6" t="s">
        <v>452</v>
      </c>
      <c r="Z1" s="4" t="s">
        <v>228</v>
      </c>
      <c r="AA1" s="5" t="s">
        <v>357</v>
      </c>
      <c r="AB1" s="6" t="s">
        <v>62</v>
      </c>
      <c r="AC1" s="2" t="s">
        <v>147</v>
      </c>
      <c r="AD1" s="2" t="s">
        <v>324</v>
      </c>
      <c r="AE1" s="7" t="s">
        <v>28</v>
      </c>
      <c r="AF1" s="2" t="s">
        <v>462</v>
      </c>
      <c r="AG1" s="5" t="s">
        <v>326</v>
      </c>
      <c r="AH1" s="5" t="s">
        <v>81</v>
      </c>
      <c r="AI1" s="5" t="s">
        <v>336</v>
      </c>
      <c r="AJ1" s="5" t="s">
        <v>258</v>
      </c>
      <c r="AK1" s="5" t="s">
        <v>32</v>
      </c>
      <c r="AL1" s="5" t="s">
        <v>44</v>
      </c>
      <c r="AM1" s="5" t="s">
        <v>505</v>
      </c>
      <c r="AN1" s="5" t="s">
        <v>523</v>
      </c>
      <c r="AO1" s="6" t="s">
        <v>295</v>
      </c>
      <c r="AP1" s="2" t="s">
        <v>540</v>
      </c>
      <c r="AQ1" s="2" t="s">
        <v>31</v>
      </c>
      <c r="AR1" s="8" t="s">
        <v>7</v>
      </c>
      <c r="AS1" s="6" t="s">
        <v>111</v>
      </c>
      <c r="AT1" s="6" t="s">
        <v>177</v>
      </c>
      <c r="AU1" s="9" t="s">
        <v>274</v>
      </c>
      <c r="AV1" s="9" t="s">
        <v>184</v>
      </c>
      <c r="AW1" s="10" t="s">
        <v>338</v>
      </c>
      <c r="AX1" s="8" t="s">
        <v>407</v>
      </c>
      <c r="AY1" s="8" t="s">
        <v>344</v>
      </c>
      <c r="AZ1" s="8" t="s">
        <v>418</v>
      </c>
      <c r="BA1" s="8" t="s">
        <v>331</v>
      </c>
      <c r="BB1" s="8" t="s">
        <v>315</v>
      </c>
      <c r="BC1" s="8" t="s">
        <v>171</v>
      </c>
      <c r="BD1" s="8" t="s">
        <v>504</v>
      </c>
      <c r="BE1" s="8" t="s">
        <v>282</v>
      </c>
      <c r="BF1" s="8" t="s">
        <v>101</v>
      </c>
      <c r="BG1" s="8" t="s">
        <v>70</v>
      </c>
      <c r="BH1" s="8" t="s">
        <v>72</v>
      </c>
      <c r="BI1" s="8" t="s">
        <v>376</v>
      </c>
      <c r="BJ1" s="8" t="s">
        <v>358</v>
      </c>
      <c r="BK1" s="8" t="s">
        <v>528</v>
      </c>
      <c r="BL1" s="8" t="s">
        <v>118</v>
      </c>
      <c r="BM1" s="8" t="s">
        <v>246</v>
      </c>
      <c r="BN1" s="8" t="s">
        <v>394</v>
      </c>
      <c r="BO1" s="8" t="s">
        <v>555</v>
      </c>
      <c r="BP1" s="8" t="s">
        <v>230</v>
      </c>
      <c r="BQ1" s="6" t="s">
        <v>34</v>
      </c>
      <c r="BR1" s="6" t="s">
        <v>421</v>
      </c>
      <c r="BS1" s="8" t="s">
        <v>104</v>
      </c>
      <c r="BT1" s="8" t="s">
        <v>106</v>
      </c>
      <c r="BU1" s="8" t="s">
        <v>515</v>
      </c>
      <c r="BV1" s="8" t="s">
        <v>329</v>
      </c>
      <c r="BW1" s="8" t="s">
        <v>348</v>
      </c>
      <c r="BX1" s="8" t="s">
        <v>371</v>
      </c>
      <c r="BY1" s="8" t="s">
        <v>204</v>
      </c>
      <c r="BZ1" s="8" t="s">
        <v>410</v>
      </c>
      <c r="CA1" s="11" t="s">
        <v>535</v>
      </c>
      <c r="CB1" s="11" t="s">
        <v>77</v>
      </c>
      <c r="CC1" s="11" t="s">
        <v>508</v>
      </c>
      <c r="CD1" s="11" t="s">
        <v>546</v>
      </c>
      <c r="CE1" s="11" t="s">
        <v>163</v>
      </c>
      <c r="CF1" s="11" t="s">
        <v>429</v>
      </c>
      <c r="CG1" s="11" t="s">
        <v>552</v>
      </c>
      <c r="CH1" s="11" t="s">
        <v>236</v>
      </c>
      <c r="CI1" s="11" t="s">
        <v>460</v>
      </c>
      <c r="CJ1" s="11" t="s">
        <v>373</v>
      </c>
      <c r="CK1" s="11" t="s">
        <v>289</v>
      </c>
      <c r="CL1" s="11" t="s">
        <v>168</v>
      </c>
      <c r="CM1" s="11" t="s">
        <v>47</v>
      </c>
      <c r="CN1" s="11" t="s">
        <v>304</v>
      </c>
      <c r="CO1" s="11" t="s">
        <v>54</v>
      </c>
      <c r="CP1" s="11" t="s">
        <v>239</v>
      </c>
      <c r="CQ1" s="11" t="s">
        <v>514</v>
      </c>
      <c r="CR1" s="11" t="s">
        <v>263</v>
      </c>
      <c r="CS1" s="11" t="s">
        <v>241</v>
      </c>
      <c r="CT1" s="5" t="s">
        <v>377</v>
      </c>
      <c r="CU1" s="5" t="s">
        <v>524</v>
      </c>
      <c r="CV1" s="5" t="s">
        <v>554</v>
      </c>
      <c r="CW1" s="5" t="s">
        <v>549</v>
      </c>
      <c r="CX1" s="12" t="s">
        <v>199</v>
      </c>
      <c r="CY1" s="13" t="s">
        <v>580</v>
      </c>
      <c r="CZ1" s="12" t="s">
        <v>49</v>
      </c>
      <c r="DA1" s="14" t="s">
        <v>45</v>
      </c>
      <c r="DB1" s="14" t="s">
        <v>98</v>
      </c>
      <c r="DC1" s="14" t="s">
        <v>345</v>
      </c>
      <c r="DD1" s="14" t="s">
        <v>474</v>
      </c>
      <c r="DE1" s="14" t="s">
        <v>50</v>
      </c>
      <c r="DF1" s="1" t="s">
        <v>190</v>
      </c>
      <c r="DG1" s="1" t="s">
        <v>269</v>
      </c>
    </row>
    <row r="2" spans="1:111" ht="12" customHeight="1" x14ac:dyDescent="0.25">
      <c r="A2" s="15" t="s">
        <v>422</v>
      </c>
      <c r="B2" s="16" t="s">
        <v>40</v>
      </c>
      <c r="C2" s="16" t="s">
        <v>494</v>
      </c>
      <c r="D2" t="s">
        <v>198</v>
      </c>
      <c r="E2" s="19" t="s">
        <v>582</v>
      </c>
      <c r="F2" t="s">
        <v>198</v>
      </c>
      <c r="G2" s="19" t="s">
        <v>585</v>
      </c>
      <c r="H2" s="17" t="s">
        <v>84</v>
      </c>
      <c r="I2"/>
      <c r="J2"/>
      <c r="K2"/>
      <c r="L2"/>
      <c r="M2"/>
      <c r="N2"/>
      <c r="O2"/>
      <c r="P2"/>
      <c r="Q2"/>
      <c r="R2"/>
      <c r="S2"/>
      <c r="T2"/>
      <c r="U2">
        <v>8</v>
      </c>
      <c r="V2" s="16">
        <v>1</v>
      </c>
      <c r="W2" s="16" t="s">
        <v>496</v>
      </c>
      <c r="X2" s="16" t="s">
        <v>542</v>
      </c>
      <c r="Y2" s="19" t="s">
        <v>586</v>
      </c>
      <c r="Z2" s="18" t="s">
        <v>245</v>
      </c>
      <c r="AA2" s="16">
        <v>37800</v>
      </c>
      <c r="AB2" s="20" t="s">
        <v>245</v>
      </c>
      <c r="AC2" s="19" t="s">
        <v>587</v>
      </c>
      <c r="AD2" s="20" t="s">
        <v>245</v>
      </c>
      <c r="AE2" s="20" t="s">
        <v>245</v>
      </c>
      <c r="AF2" s="19" t="s">
        <v>588</v>
      </c>
      <c r="AG2"/>
      <c r="AH2"/>
      <c r="AI2"/>
      <c r="AJ2" s="16" t="s">
        <v>339</v>
      </c>
      <c r="AK2"/>
      <c r="AL2" s="16">
        <v>4914</v>
      </c>
      <c r="AM2" s="16" t="s">
        <v>14</v>
      </c>
      <c r="AN2"/>
      <c r="AO2" s="19" t="s">
        <v>738</v>
      </c>
      <c r="AP2" s="19" t="s">
        <v>739</v>
      </c>
      <c r="AQ2" s="19" t="s">
        <v>740</v>
      </c>
      <c r="AR2" s="20" t="s">
        <v>741</v>
      </c>
      <c r="AS2" s="21" t="s">
        <v>742</v>
      </c>
      <c r="AT2" s="21" t="s">
        <v>742</v>
      </c>
      <c r="AU2" s="19" t="s">
        <v>743</v>
      </c>
      <c r="AV2" s="19" t="s">
        <v>744</v>
      </c>
      <c r="AW2" s="19">
        <f>LEN(SUBSTITUTE(AV2, ", "," "))</f>
        <v>58</v>
      </c>
      <c r="AX2" s="21" t="s">
        <v>745</v>
      </c>
      <c r="AY2" s="21" t="s">
        <v>746</v>
      </c>
      <c r="AZ2" s="21" t="s">
        <v>747</v>
      </c>
      <c r="BA2" s="19"/>
      <c r="BB2" s="19"/>
      <c r="BC2" s="21" t="s">
        <v>748</v>
      </c>
      <c r="BD2" s="19"/>
      <c r="BE2" s="21" t="s">
        <v>749</v>
      </c>
      <c r="BF2" s="19"/>
      <c r="BG2" s="19"/>
      <c r="BH2" s="21" t="s">
        <v>750</v>
      </c>
      <c r="BI2" s="19"/>
      <c r="BJ2" s="19"/>
      <c r="BK2" s="19"/>
      <c r="BL2" s="21" t="s">
        <v>751</v>
      </c>
      <c r="BM2" s="20" t="s">
        <v>752</v>
      </c>
      <c r="BN2" s="21" t="s">
        <v>753</v>
      </c>
      <c r="BO2" s="19"/>
      <c r="BP2" s="19"/>
      <c r="BQ2" s="19" t="s">
        <v>754</v>
      </c>
      <c r="BR2" s="19"/>
      <c r="BS2" s="19"/>
      <c r="BT2" s="19"/>
      <c r="BU2" s="19"/>
      <c r="BV2" s="19"/>
      <c r="BW2" s="19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1633</v>
      </c>
    </row>
    <row r="3" spans="1:111" ht="12" customHeight="1" x14ac:dyDescent="0.25">
      <c r="A3" s="15" t="s">
        <v>422</v>
      </c>
      <c r="B3" s="16" t="s">
        <v>40</v>
      </c>
      <c r="C3" s="16" t="s">
        <v>494</v>
      </c>
      <c r="D3" t="s">
        <v>198</v>
      </c>
      <c r="E3" s="19" t="s">
        <v>582</v>
      </c>
      <c r="F3" t="s">
        <v>198</v>
      </c>
      <c r="G3" s="19" t="s">
        <v>585</v>
      </c>
      <c r="H3" s="17" t="s">
        <v>84</v>
      </c>
      <c r="I3"/>
      <c r="J3"/>
      <c r="K3"/>
      <c r="L3"/>
      <c r="M3"/>
      <c r="N3"/>
      <c r="O3"/>
      <c r="P3"/>
      <c r="Q3"/>
      <c r="R3"/>
      <c r="S3"/>
      <c r="T3"/>
      <c r="U3">
        <v>9</v>
      </c>
      <c r="V3" s="16">
        <f>V2+1</f>
        <v>2</v>
      </c>
      <c r="W3" s="16" t="s">
        <v>496</v>
      </c>
      <c r="X3" s="16" t="s">
        <v>542</v>
      </c>
      <c r="Y3" s="19" t="s">
        <v>586</v>
      </c>
      <c r="Z3" s="18" t="s">
        <v>396</v>
      </c>
      <c r="AA3" s="16">
        <v>435135</v>
      </c>
      <c r="AB3" s="20" t="s">
        <v>396</v>
      </c>
      <c r="AC3" s="19" t="s">
        <v>587</v>
      </c>
      <c r="AD3" s="20" t="s">
        <v>396</v>
      </c>
      <c r="AE3" s="20" t="s">
        <v>396</v>
      </c>
      <c r="AF3" s="19" t="s">
        <v>589</v>
      </c>
      <c r="AG3"/>
      <c r="AH3"/>
      <c r="AI3"/>
      <c r="AJ3" s="16" t="s">
        <v>522</v>
      </c>
      <c r="AK3"/>
      <c r="AL3" s="16">
        <v>4914</v>
      </c>
      <c r="AM3" s="16" t="s">
        <v>512</v>
      </c>
      <c r="AN3"/>
      <c r="AO3" s="19" t="s">
        <v>755</v>
      </c>
      <c r="AP3" s="19" t="s">
        <v>756</v>
      </c>
      <c r="AQ3" s="19" t="s">
        <v>757</v>
      </c>
      <c r="AR3" s="20" t="s">
        <v>758</v>
      </c>
      <c r="AS3" s="21" t="s">
        <v>759</v>
      </c>
      <c r="AT3" s="21" t="s">
        <v>759</v>
      </c>
      <c r="AU3" s="19" t="s">
        <v>760</v>
      </c>
      <c r="AV3" s="19" t="s">
        <v>760</v>
      </c>
      <c r="AW3" s="19">
        <f>LEN(SUBSTITUTE(AV3, ", "," "))</f>
        <v>35</v>
      </c>
      <c r="AX3" s="21" t="s">
        <v>761</v>
      </c>
      <c r="AY3" s="21" t="s">
        <v>762</v>
      </c>
      <c r="AZ3" s="21" t="s">
        <v>763</v>
      </c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21" t="s">
        <v>751</v>
      </c>
      <c r="BM3" s="20" t="s">
        <v>764</v>
      </c>
      <c r="BN3" s="21" t="s">
        <v>753</v>
      </c>
      <c r="BO3" s="19"/>
      <c r="BP3" s="19"/>
      <c r="BQ3" s="19" t="s">
        <v>765</v>
      </c>
      <c r="BR3" s="19"/>
      <c r="BS3" s="19"/>
      <c r="BT3" s="19"/>
      <c r="BU3" s="19"/>
      <c r="BV3" s="19"/>
      <c r="BW3" s="19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1633</v>
      </c>
    </row>
    <row r="4" spans="1:111" ht="12" customHeight="1" x14ac:dyDescent="0.25">
      <c r="A4" s="15" t="s">
        <v>422</v>
      </c>
      <c r="B4" s="16" t="s">
        <v>40</v>
      </c>
      <c r="C4" s="16" t="s">
        <v>494</v>
      </c>
      <c r="D4" t="s">
        <v>198</v>
      </c>
      <c r="E4" s="19" t="s">
        <v>582</v>
      </c>
      <c r="F4" t="s">
        <v>198</v>
      </c>
      <c r="G4" s="19" t="s">
        <v>585</v>
      </c>
      <c r="H4" s="17" t="s">
        <v>84</v>
      </c>
      <c r="I4"/>
      <c r="J4"/>
      <c r="K4"/>
      <c r="L4"/>
      <c r="M4"/>
      <c r="N4"/>
      <c r="O4"/>
      <c r="P4"/>
      <c r="Q4"/>
      <c r="R4"/>
      <c r="S4"/>
      <c r="T4"/>
      <c r="U4">
        <v>10</v>
      </c>
      <c r="V4" s="16">
        <f>V3+1</f>
        <v>3</v>
      </c>
      <c r="W4" s="16" t="s">
        <v>294</v>
      </c>
      <c r="X4" s="16" t="s">
        <v>57</v>
      </c>
      <c r="Y4" s="19" t="s">
        <v>294</v>
      </c>
      <c r="Z4" s="18" t="s">
        <v>76</v>
      </c>
      <c r="AA4" s="16" t="s">
        <v>76</v>
      </c>
      <c r="AB4" s="20" t="s">
        <v>76</v>
      </c>
      <c r="AC4" s="19" t="s">
        <v>57</v>
      </c>
      <c r="AD4" s="20" t="s">
        <v>76</v>
      </c>
      <c r="AE4" s="20" t="s">
        <v>76</v>
      </c>
      <c r="AF4" s="19" t="s">
        <v>590</v>
      </c>
      <c r="AG4"/>
      <c r="AH4"/>
      <c r="AI4"/>
      <c r="AJ4" s="16" t="s">
        <v>82</v>
      </c>
      <c r="AK4"/>
      <c r="AL4" s="16">
        <v>2341</v>
      </c>
      <c r="AM4" s="16" t="s">
        <v>283</v>
      </c>
      <c r="AN4"/>
      <c r="AO4" s="19" t="s">
        <v>766</v>
      </c>
      <c r="AP4" s="19" t="s">
        <v>767</v>
      </c>
      <c r="AQ4" s="19" t="s">
        <v>768</v>
      </c>
      <c r="AR4" s="20" t="s">
        <v>769</v>
      </c>
      <c r="AS4" s="21" t="s">
        <v>770</v>
      </c>
      <c r="AT4" s="21" t="s">
        <v>770</v>
      </c>
      <c r="AU4" s="19" t="s">
        <v>771</v>
      </c>
      <c r="AV4" s="19" t="s">
        <v>772</v>
      </c>
      <c r="AW4" s="19">
        <f>LEN(SUBSTITUTE(AV4, ", "," "))</f>
        <v>59</v>
      </c>
      <c r="AX4" s="21" t="s">
        <v>773</v>
      </c>
      <c r="AY4" s="21" t="s">
        <v>774</v>
      </c>
      <c r="AZ4" s="21" t="s">
        <v>775</v>
      </c>
      <c r="BA4" s="19"/>
      <c r="BB4" s="19"/>
      <c r="BC4" s="19"/>
      <c r="BD4" s="19"/>
      <c r="BE4" s="19"/>
      <c r="BF4" s="19"/>
      <c r="BG4" s="19"/>
      <c r="BH4" s="21" t="s">
        <v>776</v>
      </c>
      <c r="BI4" s="19"/>
      <c r="BJ4" s="19"/>
      <c r="BK4" s="21" t="s">
        <v>777</v>
      </c>
      <c r="BL4" s="19"/>
      <c r="BM4" s="21" t="s">
        <v>778</v>
      </c>
      <c r="BN4" s="21" t="s">
        <v>779</v>
      </c>
      <c r="BO4" s="21" t="s">
        <v>780</v>
      </c>
      <c r="BP4" s="21" t="s">
        <v>781</v>
      </c>
      <c r="BQ4" s="19" t="s">
        <v>782</v>
      </c>
      <c r="BR4" s="19"/>
      <c r="BS4" s="19"/>
      <c r="BT4" s="19"/>
      <c r="BU4" s="19"/>
      <c r="BV4" s="19"/>
      <c r="BW4" s="19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1633</v>
      </c>
    </row>
    <row r="5" spans="1:111" ht="12" customHeight="1" x14ac:dyDescent="0.25">
      <c r="A5" s="15" t="s">
        <v>422</v>
      </c>
      <c r="B5" s="16" t="s">
        <v>40</v>
      </c>
      <c r="C5" s="16" t="s">
        <v>494</v>
      </c>
      <c r="D5" t="s">
        <v>198</v>
      </c>
      <c r="E5" s="19" t="s">
        <v>582</v>
      </c>
      <c r="F5" t="s">
        <v>198</v>
      </c>
      <c r="G5" s="19" t="s">
        <v>585</v>
      </c>
      <c r="H5" s="17" t="s">
        <v>84</v>
      </c>
      <c r="I5"/>
      <c r="J5"/>
      <c r="K5"/>
      <c r="L5"/>
      <c r="M5"/>
      <c r="N5"/>
      <c r="O5"/>
      <c r="P5"/>
      <c r="Q5"/>
      <c r="R5"/>
      <c r="S5"/>
      <c r="T5"/>
      <c r="U5">
        <v>11</v>
      </c>
      <c r="V5" s="16">
        <f>V4+1</f>
        <v>4</v>
      </c>
      <c r="W5" s="16" t="s">
        <v>294</v>
      </c>
      <c r="X5" s="16" t="s">
        <v>57</v>
      </c>
      <c r="Y5" s="19" t="s">
        <v>294</v>
      </c>
      <c r="Z5" s="18" t="s">
        <v>255</v>
      </c>
      <c r="AA5" s="16" t="s">
        <v>255</v>
      </c>
      <c r="AB5" s="20" t="s">
        <v>255</v>
      </c>
      <c r="AC5" s="19" t="s">
        <v>57</v>
      </c>
      <c r="AD5" s="20" t="s">
        <v>255</v>
      </c>
      <c r="AE5" s="20" t="s">
        <v>255</v>
      </c>
      <c r="AF5" s="19" t="s">
        <v>591</v>
      </c>
      <c r="AG5"/>
      <c r="AH5"/>
      <c r="AI5"/>
      <c r="AJ5" s="16" t="s">
        <v>461</v>
      </c>
      <c r="AK5"/>
      <c r="AL5" s="16">
        <v>2341</v>
      </c>
      <c r="AM5" s="16" t="s">
        <v>203</v>
      </c>
      <c r="AN5"/>
      <c r="AO5" s="19" t="s">
        <v>766</v>
      </c>
      <c r="AP5" s="19" t="s">
        <v>767</v>
      </c>
      <c r="AQ5" s="19" t="s">
        <v>768</v>
      </c>
      <c r="AR5" s="20" t="s">
        <v>783</v>
      </c>
      <c r="AS5" s="21" t="s">
        <v>784</v>
      </c>
      <c r="AT5" s="21" t="s">
        <v>784</v>
      </c>
      <c r="AU5" s="19" t="s">
        <v>785</v>
      </c>
      <c r="AV5" s="19" t="s">
        <v>786</v>
      </c>
      <c r="AW5" s="19">
        <f>LEN(SUBSTITUTE(AV5, ", "," "))</f>
        <v>58</v>
      </c>
      <c r="AX5" s="21" t="s">
        <v>773</v>
      </c>
      <c r="AY5" s="21" t="s">
        <v>774</v>
      </c>
      <c r="AZ5" s="19"/>
      <c r="BA5" s="21" t="s">
        <v>787</v>
      </c>
      <c r="BB5" s="19"/>
      <c r="BC5" s="21" t="s">
        <v>788</v>
      </c>
      <c r="BD5" s="19"/>
      <c r="BE5" s="19"/>
      <c r="BF5" s="19"/>
      <c r="BG5" s="19"/>
      <c r="BH5" s="21" t="s">
        <v>789</v>
      </c>
      <c r="BI5" s="21" t="s">
        <v>790</v>
      </c>
      <c r="BJ5" s="19"/>
      <c r="BK5" s="19"/>
      <c r="BL5" s="19"/>
      <c r="BM5" s="20" t="s">
        <v>791</v>
      </c>
      <c r="BN5" s="21" t="s">
        <v>779</v>
      </c>
      <c r="BO5" s="21" t="s">
        <v>792</v>
      </c>
      <c r="BP5" s="19"/>
      <c r="BQ5" s="19" t="s">
        <v>793</v>
      </c>
      <c r="BR5" s="19"/>
      <c r="BS5" s="19"/>
      <c r="BT5" s="19"/>
      <c r="BU5" s="19"/>
      <c r="BV5" s="19"/>
      <c r="BW5" s="19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1633</v>
      </c>
    </row>
    <row r="6" spans="1:111" ht="12" customHeight="1" x14ac:dyDescent="0.25">
      <c r="A6" s="15" t="s">
        <v>422</v>
      </c>
      <c r="B6" s="16" t="s">
        <v>40</v>
      </c>
      <c r="C6" s="16" t="s">
        <v>494</v>
      </c>
      <c r="D6" t="s">
        <v>198</v>
      </c>
      <c r="E6" s="19" t="s">
        <v>582</v>
      </c>
      <c r="F6" t="s">
        <v>198</v>
      </c>
      <c r="G6" s="19" t="s">
        <v>585</v>
      </c>
      <c r="H6" s="17" t="s">
        <v>84</v>
      </c>
      <c r="I6"/>
      <c r="J6"/>
      <c r="K6"/>
      <c r="L6"/>
      <c r="M6"/>
      <c r="N6"/>
      <c r="O6"/>
      <c r="P6"/>
      <c r="Q6"/>
      <c r="R6"/>
      <c r="S6"/>
      <c r="T6"/>
      <c r="U6">
        <v>12</v>
      </c>
      <c r="V6" s="16">
        <f>V5+1</f>
        <v>5</v>
      </c>
      <c r="W6" s="16" t="s">
        <v>294</v>
      </c>
      <c r="X6" s="16" t="s">
        <v>57</v>
      </c>
      <c r="Y6" s="19" t="s">
        <v>294</v>
      </c>
      <c r="Z6" s="18" t="s">
        <v>153</v>
      </c>
      <c r="AA6" s="16" t="s">
        <v>153</v>
      </c>
      <c r="AB6" s="20" t="s">
        <v>153</v>
      </c>
      <c r="AC6" s="19" t="s">
        <v>57</v>
      </c>
      <c r="AD6" s="20" t="s">
        <v>153</v>
      </c>
      <c r="AE6" s="20" t="s">
        <v>153</v>
      </c>
      <c r="AF6" s="19" t="s">
        <v>592</v>
      </c>
      <c r="AG6"/>
      <c r="AH6"/>
      <c r="AI6"/>
      <c r="AJ6" s="16" t="s">
        <v>411</v>
      </c>
      <c r="AK6"/>
      <c r="AL6" s="16">
        <v>2341</v>
      </c>
      <c r="AM6" s="16" t="s">
        <v>165</v>
      </c>
      <c r="AN6"/>
      <c r="AO6" s="19" t="s">
        <v>766</v>
      </c>
      <c r="AP6" s="19" t="s">
        <v>767</v>
      </c>
      <c r="AQ6" s="19" t="s">
        <v>768</v>
      </c>
      <c r="AR6" s="20" t="s">
        <v>794</v>
      </c>
      <c r="AS6" s="21" t="s">
        <v>795</v>
      </c>
      <c r="AT6" s="21" t="s">
        <v>795</v>
      </c>
      <c r="AU6" s="19" t="s">
        <v>796</v>
      </c>
      <c r="AV6" s="19" t="s">
        <v>797</v>
      </c>
      <c r="AW6" s="19">
        <f>LEN(SUBSTITUTE(AV6, ", "," "))</f>
        <v>58</v>
      </c>
      <c r="AX6" s="21" t="s">
        <v>773</v>
      </c>
      <c r="AY6" s="21" t="s">
        <v>774</v>
      </c>
      <c r="AZ6" s="19"/>
      <c r="BA6" s="21" t="s">
        <v>798</v>
      </c>
      <c r="BB6" s="19"/>
      <c r="BC6" s="21" t="s">
        <v>799</v>
      </c>
      <c r="BD6" s="19"/>
      <c r="BE6" s="19"/>
      <c r="BF6" s="19"/>
      <c r="BG6" s="19"/>
      <c r="BH6" s="21" t="s">
        <v>789</v>
      </c>
      <c r="BI6" s="21" t="s">
        <v>790</v>
      </c>
      <c r="BJ6" s="19"/>
      <c r="BK6" s="21" t="s">
        <v>800</v>
      </c>
      <c r="BL6" s="19"/>
      <c r="BM6" s="20" t="s">
        <v>791</v>
      </c>
      <c r="BN6" s="21" t="s">
        <v>779</v>
      </c>
      <c r="BO6" s="21" t="s">
        <v>792</v>
      </c>
      <c r="BP6" s="19"/>
      <c r="BQ6" s="19" t="s">
        <v>801</v>
      </c>
      <c r="BR6" s="19"/>
      <c r="BS6" s="19"/>
      <c r="BT6" s="19"/>
      <c r="BU6" s="19"/>
      <c r="BV6" s="19"/>
      <c r="BW6" s="19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1633</v>
      </c>
    </row>
    <row r="7" spans="1:111" ht="12" customHeight="1" x14ac:dyDescent="0.25">
      <c r="A7" s="15" t="s">
        <v>422</v>
      </c>
      <c r="B7" s="16" t="s">
        <v>40</v>
      </c>
      <c r="C7" s="16" t="s">
        <v>494</v>
      </c>
      <c r="D7" t="s">
        <v>198</v>
      </c>
      <c r="E7" s="19" t="s">
        <v>582</v>
      </c>
      <c r="F7" t="s">
        <v>198</v>
      </c>
      <c r="G7" s="19" t="s">
        <v>585</v>
      </c>
      <c r="H7" s="17" t="s">
        <v>84</v>
      </c>
      <c r="I7"/>
      <c r="J7"/>
      <c r="K7"/>
      <c r="L7"/>
      <c r="M7"/>
      <c r="N7"/>
      <c r="O7"/>
      <c r="P7"/>
      <c r="Q7"/>
      <c r="R7"/>
      <c r="S7"/>
      <c r="T7"/>
      <c r="U7">
        <v>13</v>
      </c>
      <c r="V7" s="16">
        <f>V6+1</f>
        <v>6</v>
      </c>
      <c r="W7" s="16" t="s">
        <v>294</v>
      </c>
      <c r="X7" s="16" t="s">
        <v>57</v>
      </c>
      <c r="Y7" s="19" t="s">
        <v>294</v>
      </c>
      <c r="Z7" s="18" t="s">
        <v>48</v>
      </c>
      <c r="AA7" s="16" t="s">
        <v>48</v>
      </c>
      <c r="AB7" s="20" t="s">
        <v>48</v>
      </c>
      <c r="AC7" s="19" t="s">
        <v>57</v>
      </c>
      <c r="AD7" s="20" t="s">
        <v>48</v>
      </c>
      <c r="AE7" s="20" t="s">
        <v>48</v>
      </c>
      <c r="AF7" s="19" t="s">
        <v>593</v>
      </c>
      <c r="AG7"/>
      <c r="AH7"/>
      <c r="AI7"/>
      <c r="AJ7" s="16" t="s">
        <v>25</v>
      </c>
      <c r="AK7"/>
      <c r="AL7" s="16">
        <v>2341</v>
      </c>
      <c r="AM7" s="16" t="s">
        <v>464</v>
      </c>
      <c r="AN7"/>
      <c r="AO7" s="19" t="s">
        <v>802</v>
      </c>
      <c r="AP7" s="19" t="s">
        <v>767</v>
      </c>
      <c r="AQ7" s="19" t="s">
        <v>768</v>
      </c>
      <c r="AR7" s="20" t="s">
        <v>803</v>
      </c>
      <c r="AS7" s="21" t="s">
        <v>804</v>
      </c>
      <c r="AT7" s="21" t="s">
        <v>804</v>
      </c>
      <c r="AU7" s="19" t="s">
        <v>805</v>
      </c>
      <c r="AV7" s="19" t="s">
        <v>806</v>
      </c>
      <c r="AW7" s="19">
        <f>LEN(SUBSTITUTE(AV7, ", "," "))</f>
        <v>60</v>
      </c>
      <c r="AX7" s="21" t="s">
        <v>807</v>
      </c>
      <c r="AY7" s="21" t="s">
        <v>808</v>
      </c>
      <c r="AZ7" s="20" t="s">
        <v>809</v>
      </c>
      <c r="BA7" s="19"/>
      <c r="BB7" s="19"/>
      <c r="BC7" s="21" t="s">
        <v>810</v>
      </c>
      <c r="BD7" s="19"/>
      <c r="BE7" s="21" t="s">
        <v>811</v>
      </c>
      <c r="BF7" s="19"/>
      <c r="BG7" s="19"/>
      <c r="BH7" s="21" t="s">
        <v>812</v>
      </c>
      <c r="BI7" s="21" t="s">
        <v>813</v>
      </c>
      <c r="BJ7" s="19"/>
      <c r="BK7" s="21" t="s">
        <v>814</v>
      </c>
      <c r="BL7" s="19"/>
      <c r="BM7" s="19"/>
      <c r="BN7" s="21" t="s">
        <v>779</v>
      </c>
      <c r="BO7" s="19"/>
      <c r="BP7" s="19"/>
      <c r="BQ7" s="19" t="s">
        <v>815</v>
      </c>
      <c r="BR7" s="19"/>
      <c r="BS7" s="19"/>
      <c r="BT7" s="19"/>
      <c r="BU7" s="19"/>
      <c r="BV7" s="19"/>
      <c r="BW7" s="19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1633</v>
      </c>
    </row>
    <row r="8" spans="1:111" ht="12" customHeight="1" x14ac:dyDescent="0.25">
      <c r="A8" s="15" t="s">
        <v>422</v>
      </c>
      <c r="B8" s="16" t="s">
        <v>40</v>
      </c>
      <c r="C8" s="16" t="s">
        <v>494</v>
      </c>
      <c r="D8" t="s">
        <v>198</v>
      </c>
      <c r="E8" s="19" t="s">
        <v>582</v>
      </c>
      <c r="F8" t="s">
        <v>198</v>
      </c>
      <c r="G8" s="19" t="s">
        <v>585</v>
      </c>
      <c r="H8" s="17" t="s">
        <v>84</v>
      </c>
      <c r="I8"/>
      <c r="J8"/>
      <c r="K8"/>
      <c r="L8"/>
      <c r="M8"/>
      <c r="N8"/>
      <c r="O8"/>
      <c r="P8"/>
      <c r="Q8"/>
      <c r="R8"/>
      <c r="S8"/>
      <c r="T8"/>
      <c r="U8">
        <v>14</v>
      </c>
      <c r="V8" s="16">
        <f>V7+1</f>
        <v>7</v>
      </c>
      <c r="W8" s="16" t="s">
        <v>294</v>
      </c>
      <c r="X8" s="16" t="s">
        <v>57</v>
      </c>
      <c r="Y8" s="19" t="s">
        <v>294</v>
      </c>
      <c r="Z8" s="18" t="s">
        <v>521</v>
      </c>
      <c r="AA8" s="16" t="s">
        <v>521</v>
      </c>
      <c r="AB8" s="20" t="s">
        <v>521</v>
      </c>
      <c r="AC8" s="19" t="s">
        <v>57</v>
      </c>
      <c r="AD8" s="20" t="s">
        <v>521</v>
      </c>
      <c r="AE8" s="20" t="s">
        <v>521</v>
      </c>
      <c r="AF8" s="19" t="s">
        <v>594</v>
      </c>
      <c r="AG8"/>
      <c r="AH8"/>
      <c r="AI8"/>
      <c r="AJ8" s="16" t="s">
        <v>139</v>
      </c>
      <c r="AK8"/>
      <c r="AL8" s="16">
        <v>2341</v>
      </c>
      <c r="AM8" s="16" t="s">
        <v>128</v>
      </c>
      <c r="AN8"/>
      <c r="AO8" s="19" t="s">
        <v>802</v>
      </c>
      <c r="AP8" s="19" t="s">
        <v>767</v>
      </c>
      <c r="AQ8" s="19" t="s">
        <v>768</v>
      </c>
      <c r="AR8" s="20" t="s">
        <v>816</v>
      </c>
      <c r="AS8" s="21" t="s">
        <v>817</v>
      </c>
      <c r="AT8" s="21" t="s">
        <v>817</v>
      </c>
      <c r="AU8" s="19" t="s">
        <v>818</v>
      </c>
      <c r="AV8" s="19" t="s">
        <v>819</v>
      </c>
      <c r="AW8" s="19">
        <f>LEN(SUBSTITUTE(AV8, ", "," "))</f>
        <v>58</v>
      </c>
      <c r="AX8" s="21" t="s">
        <v>807</v>
      </c>
      <c r="AY8" s="21" t="s">
        <v>808</v>
      </c>
      <c r="AZ8" s="20" t="s">
        <v>809</v>
      </c>
      <c r="BA8" s="21" t="s">
        <v>820</v>
      </c>
      <c r="BB8" s="19"/>
      <c r="BC8" s="21" t="s">
        <v>821</v>
      </c>
      <c r="BD8" s="19"/>
      <c r="BE8" s="21" t="s">
        <v>822</v>
      </c>
      <c r="BF8" s="19"/>
      <c r="BG8" s="19"/>
      <c r="BH8" s="21" t="s">
        <v>812</v>
      </c>
      <c r="BI8" s="21" t="s">
        <v>813</v>
      </c>
      <c r="BJ8" s="19"/>
      <c r="BK8" s="21" t="s">
        <v>814</v>
      </c>
      <c r="BL8" s="19"/>
      <c r="BM8" s="19"/>
      <c r="BN8" s="21" t="s">
        <v>779</v>
      </c>
      <c r="BO8" s="19"/>
      <c r="BP8" s="19"/>
      <c r="BQ8" s="19" t="s">
        <v>823</v>
      </c>
      <c r="BR8" s="19"/>
      <c r="BS8" s="19"/>
      <c r="BT8" s="19"/>
      <c r="BU8" s="19"/>
      <c r="BV8" s="19"/>
      <c r="BW8" s="19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1633</v>
      </c>
    </row>
    <row r="9" spans="1:111" ht="12" customHeight="1" x14ac:dyDescent="0.25">
      <c r="A9" s="15" t="s">
        <v>422</v>
      </c>
      <c r="B9" s="16" t="s">
        <v>40</v>
      </c>
      <c r="C9" s="16" t="s">
        <v>494</v>
      </c>
      <c r="D9" t="s">
        <v>198</v>
      </c>
      <c r="E9" s="19" t="s">
        <v>583</v>
      </c>
      <c r="F9" t="s">
        <v>198</v>
      </c>
      <c r="G9" s="19" t="s">
        <v>585</v>
      </c>
      <c r="H9" s="17" t="s">
        <v>84</v>
      </c>
      <c r="I9"/>
      <c r="J9"/>
      <c r="K9"/>
      <c r="L9"/>
      <c r="M9"/>
      <c r="N9"/>
      <c r="O9"/>
      <c r="P9"/>
      <c r="Q9"/>
      <c r="R9"/>
      <c r="S9"/>
      <c r="T9"/>
      <c r="U9">
        <v>15</v>
      </c>
      <c r="V9" s="16">
        <f>V8+1</f>
        <v>8</v>
      </c>
      <c r="W9" s="16" t="s">
        <v>67</v>
      </c>
      <c r="X9" s="16" t="s">
        <v>67</v>
      </c>
      <c r="Y9" s="19" t="s">
        <v>67</v>
      </c>
      <c r="Z9" s="18" t="s">
        <v>527</v>
      </c>
      <c r="AA9" s="16" t="s">
        <v>226</v>
      </c>
      <c r="AB9" s="20" t="s">
        <v>527</v>
      </c>
      <c r="AC9" s="19" t="s">
        <v>67</v>
      </c>
      <c r="AD9" s="20" t="s">
        <v>527</v>
      </c>
      <c r="AE9" s="20" t="s">
        <v>527</v>
      </c>
      <c r="AF9" s="19" t="s">
        <v>595</v>
      </c>
      <c r="AG9"/>
      <c r="AH9"/>
      <c r="AI9"/>
      <c r="AJ9" s="16" t="s">
        <v>189</v>
      </c>
      <c r="AK9"/>
      <c r="AL9" s="16">
        <v>4913</v>
      </c>
      <c r="AM9" s="16" t="s">
        <v>26</v>
      </c>
      <c r="AN9"/>
      <c r="AO9" s="19" t="s">
        <v>824</v>
      </c>
      <c r="AP9" s="19" t="s">
        <v>825</v>
      </c>
      <c r="AQ9" s="19" t="s">
        <v>826</v>
      </c>
      <c r="AR9" s="20" t="s">
        <v>827</v>
      </c>
      <c r="AS9" s="21" t="s">
        <v>828</v>
      </c>
      <c r="AT9" s="21" t="s">
        <v>828</v>
      </c>
      <c r="AU9" s="19" t="s">
        <v>829</v>
      </c>
      <c r="AV9" s="19" t="s">
        <v>830</v>
      </c>
      <c r="AW9" s="19">
        <f>LEN(SUBSTITUTE(AV9, ", "," "))</f>
        <v>60</v>
      </c>
      <c r="AX9" s="21" t="s">
        <v>831</v>
      </c>
      <c r="AY9" s="21" t="s">
        <v>832</v>
      </c>
      <c r="AZ9" s="21" t="s">
        <v>833</v>
      </c>
      <c r="BA9" s="19"/>
      <c r="BB9" s="19"/>
      <c r="BC9" s="21" t="s">
        <v>834</v>
      </c>
      <c r="BD9" s="19"/>
      <c r="BE9" s="19"/>
      <c r="BF9" s="19"/>
      <c r="BG9" s="21" t="s">
        <v>835</v>
      </c>
      <c r="BH9" s="21" t="s">
        <v>836</v>
      </c>
      <c r="BI9" s="21" t="s">
        <v>837</v>
      </c>
      <c r="BJ9" s="19"/>
      <c r="BK9" s="19"/>
      <c r="BL9" s="21" t="s">
        <v>751</v>
      </c>
      <c r="BM9" s="21" t="s">
        <v>838</v>
      </c>
      <c r="BN9" s="21" t="s">
        <v>753</v>
      </c>
      <c r="BO9" s="19"/>
      <c r="BP9" s="19"/>
      <c r="BQ9" s="19" t="s">
        <v>839</v>
      </c>
      <c r="BR9" s="19"/>
      <c r="BS9" s="19"/>
      <c r="BT9" s="19"/>
      <c r="BU9" s="19"/>
      <c r="BV9" s="19"/>
      <c r="BW9" s="1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1633</v>
      </c>
    </row>
    <row r="10" spans="1:111" ht="12" customHeight="1" x14ac:dyDescent="0.25">
      <c r="A10" s="15" t="s">
        <v>422</v>
      </c>
      <c r="B10" s="16" t="s">
        <v>40</v>
      </c>
      <c r="C10" s="16" t="s">
        <v>494</v>
      </c>
      <c r="D10" t="s">
        <v>198</v>
      </c>
      <c r="E10" s="19" t="s">
        <v>583</v>
      </c>
      <c r="F10" t="s">
        <v>198</v>
      </c>
      <c r="G10" s="19" t="s">
        <v>585</v>
      </c>
      <c r="H10" s="17" t="s">
        <v>84</v>
      </c>
      <c r="I10"/>
      <c r="J10"/>
      <c r="K10"/>
      <c r="L10"/>
      <c r="M10"/>
      <c r="N10"/>
      <c r="O10"/>
      <c r="P10"/>
      <c r="Q10"/>
      <c r="R10"/>
      <c r="S10"/>
      <c r="T10"/>
      <c r="U10">
        <v>16</v>
      </c>
      <c r="V10" s="16">
        <f>V9+1</f>
        <v>9</v>
      </c>
      <c r="W10" s="16" t="s">
        <v>67</v>
      </c>
      <c r="X10" s="16" t="s">
        <v>67</v>
      </c>
      <c r="Y10" s="19" t="s">
        <v>67</v>
      </c>
      <c r="Z10" s="18" t="s">
        <v>398</v>
      </c>
      <c r="AA10" s="16" t="s">
        <v>219</v>
      </c>
      <c r="AB10" s="20" t="s">
        <v>398</v>
      </c>
      <c r="AC10" s="19" t="s">
        <v>67</v>
      </c>
      <c r="AD10" s="20" t="s">
        <v>398</v>
      </c>
      <c r="AE10" s="20" t="s">
        <v>398</v>
      </c>
      <c r="AF10" s="19" t="s">
        <v>596</v>
      </c>
      <c r="AG10"/>
      <c r="AH10"/>
      <c r="AI10"/>
      <c r="AJ10" s="16" t="s">
        <v>74</v>
      </c>
      <c r="AK10"/>
      <c r="AL10" s="16">
        <v>4913</v>
      </c>
      <c r="AM10" s="16" t="s">
        <v>108</v>
      </c>
      <c r="AN10"/>
      <c r="AO10" s="19" t="s">
        <v>824</v>
      </c>
      <c r="AP10" s="19" t="s">
        <v>825</v>
      </c>
      <c r="AQ10" s="19" t="s">
        <v>826</v>
      </c>
      <c r="AR10" s="20" t="s">
        <v>840</v>
      </c>
      <c r="AS10" s="21" t="s">
        <v>841</v>
      </c>
      <c r="AT10" s="21" t="s">
        <v>841</v>
      </c>
      <c r="AU10" s="19" t="s">
        <v>842</v>
      </c>
      <c r="AV10" s="19" t="s">
        <v>843</v>
      </c>
      <c r="AW10" s="19">
        <f>LEN(SUBSTITUTE(AV10, ", "," "))</f>
        <v>60</v>
      </c>
      <c r="AX10" s="21" t="s">
        <v>831</v>
      </c>
      <c r="AY10" s="21" t="s">
        <v>832</v>
      </c>
      <c r="AZ10" s="21" t="s">
        <v>833</v>
      </c>
      <c r="BA10" s="19"/>
      <c r="BB10" s="19"/>
      <c r="BC10" s="21" t="s">
        <v>844</v>
      </c>
      <c r="BD10" s="19"/>
      <c r="BE10" s="19"/>
      <c r="BF10" s="19"/>
      <c r="BG10" s="21" t="s">
        <v>835</v>
      </c>
      <c r="BH10" s="21" t="s">
        <v>836</v>
      </c>
      <c r="BI10" s="21" t="s">
        <v>837</v>
      </c>
      <c r="BJ10" s="19"/>
      <c r="BK10" s="19"/>
      <c r="BL10" s="21" t="s">
        <v>751</v>
      </c>
      <c r="BM10" s="21" t="s">
        <v>838</v>
      </c>
      <c r="BN10" s="21" t="s">
        <v>753</v>
      </c>
      <c r="BO10" s="19"/>
      <c r="BP10" s="19"/>
      <c r="BQ10" s="19" t="s">
        <v>845</v>
      </c>
      <c r="BR10" s="19"/>
      <c r="BS10" s="19"/>
      <c r="BT10" s="19"/>
      <c r="BU10" s="19"/>
      <c r="BV10" s="19"/>
      <c r="BW10" s="19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1633</v>
      </c>
    </row>
    <row r="11" spans="1:111" ht="12" customHeight="1" x14ac:dyDescent="0.25">
      <c r="A11" s="15" t="s">
        <v>422</v>
      </c>
      <c r="B11" s="16" t="s">
        <v>40</v>
      </c>
      <c r="C11" s="16" t="s">
        <v>494</v>
      </c>
      <c r="D11" t="s">
        <v>198</v>
      </c>
      <c r="E11" s="19" t="s">
        <v>582</v>
      </c>
      <c r="F11" t="s">
        <v>198</v>
      </c>
      <c r="G11" s="19" t="s">
        <v>585</v>
      </c>
      <c r="H11" s="17" t="s">
        <v>84</v>
      </c>
      <c r="I11"/>
      <c r="J11"/>
      <c r="K11"/>
      <c r="L11"/>
      <c r="M11"/>
      <c r="N11"/>
      <c r="O11"/>
      <c r="P11"/>
      <c r="Q11"/>
      <c r="R11"/>
      <c r="S11"/>
      <c r="T11"/>
      <c r="U11">
        <v>17</v>
      </c>
      <c r="V11" s="16">
        <f>V10+1</f>
        <v>10</v>
      </c>
      <c r="W11" s="16" t="s">
        <v>67</v>
      </c>
      <c r="X11" s="16" t="s">
        <v>67</v>
      </c>
      <c r="Y11" s="19" t="s">
        <v>67</v>
      </c>
      <c r="Z11" s="18" t="s">
        <v>483</v>
      </c>
      <c r="AA11" s="16" t="s">
        <v>272</v>
      </c>
      <c r="AB11" s="20" t="s">
        <v>483</v>
      </c>
      <c r="AC11" s="19" t="s">
        <v>67</v>
      </c>
      <c r="AD11" s="20" t="s">
        <v>483</v>
      </c>
      <c r="AE11" s="20" t="s">
        <v>483</v>
      </c>
      <c r="AF11" s="19" t="s">
        <v>597</v>
      </c>
      <c r="AG11"/>
      <c r="AH11"/>
      <c r="AI11"/>
      <c r="AJ11" s="16" t="s">
        <v>121</v>
      </c>
      <c r="AK11"/>
      <c r="AL11" s="16">
        <v>4913</v>
      </c>
      <c r="AM11" s="16" t="s">
        <v>439</v>
      </c>
      <c r="AN11"/>
      <c r="AO11" s="19" t="s">
        <v>824</v>
      </c>
      <c r="AP11" s="19" t="s">
        <v>825</v>
      </c>
      <c r="AQ11" s="19" t="s">
        <v>826</v>
      </c>
      <c r="AR11" s="20" t="s">
        <v>846</v>
      </c>
      <c r="AS11" s="21" t="s">
        <v>847</v>
      </c>
      <c r="AT11" s="21" t="s">
        <v>847</v>
      </c>
      <c r="AU11" s="19" t="s">
        <v>848</v>
      </c>
      <c r="AV11" s="19" t="s">
        <v>849</v>
      </c>
      <c r="AW11" s="19">
        <f>LEN(SUBSTITUTE(AV11, ", "," "))</f>
        <v>60</v>
      </c>
      <c r="AX11" s="21" t="s">
        <v>831</v>
      </c>
      <c r="AY11" s="21" t="s">
        <v>832</v>
      </c>
      <c r="AZ11" s="21" t="s">
        <v>833</v>
      </c>
      <c r="BA11" s="19"/>
      <c r="BB11" s="19"/>
      <c r="BC11" s="21" t="s">
        <v>850</v>
      </c>
      <c r="BD11" s="19"/>
      <c r="BE11" s="19"/>
      <c r="BF11" s="19"/>
      <c r="BG11" s="21" t="s">
        <v>835</v>
      </c>
      <c r="BH11" s="21" t="s">
        <v>836</v>
      </c>
      <c r="BI11" s="21" t="s">
        <v>837</v>
      </c>
      <c r="BJ11" s="19"/>
      <c r="BK11" s="19"/>
      <c r="BL11" s="21" t="s">
        <v>751</v>
      </c>
      <c r="BM11" s="21" t="s">
        <v>838</v>
      </c>
      <c r="BN11" s="21" t="s">
        <v>753</v>
      </c>
      <c r="BO11" s="19"/>
      <c r="BP11" s="19"/>
      <c r="BQ11" s="19" t="s">
        <v>851</v>
      </c>
      <c r="BR11" s="19"/>
      <c r="BS11" s="19"/>
      <c r="BT11" s="19"/>
      <c r="BU11" s="19"/>
      <c r="BV11" s="19"/>
      <c r="BW11" s="19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1633</v>
      </c>
    </row>
    <row r="12" spans="1:111" ht="12" customHeight="1" x14ac:dyDescent="0.25">
      <c r="A12" s="15" t="s">
        <v>422</v>
      </c>
      <c r="B12" s="16" t="s">
        <v>40</v>
      </c>
      <c r="C12" s="16" t="s">
        <v>494</v>
      </c>
      <c r="D12" t="s">
        <v>198</v>
      </c>
      <c r="E12" s="19" t="s">
        <v>582</v>
      </c>
      <c r="F12" t="s">
        <v>198</v>
      </c>
      <c r="G12" s="19" t="s">
        <v>585</v>
      </c>
      <c r="H12" s="17" t="s">
        <v>84</v>
      </c>
      <c r="I12"/>
      <c r="J12"/>
      <c r="K12"/>
      <c r="L12"/>
      <c r="M12"/>
      <c r="N12"/>
      <c r="O12"/>
      <c r="P12"/>
      <c r="Q12"/>
      <c r="R12"/>
      <c r="S12"/>
      <c r="T12"/>
      <c r="U12">
        <v>18</v>
      </c>
      <c r="V12" s="16">
        <f>V11+1</f>
        <v>11</v>
      </c>
      <c r="W12" s="16" t="s">
        <v>67</v>
      </c>
      <c r="X12" s="16" t="s">
        <v>67</v>
      </c>
      <c r="Y12" s="19" t="s">
        <v>67</v>
      </c>
      <c r="Z12" s="18" t="s">
        <v>352</v>
      </c>
      <c r="AA12" s="16" t="s">
        <v>264</v>
      </c>
      <c r="AB12" s="20" t="s">
        <v>352</v>
      </c>
      <c r="AC12" s="19" t="s">
        <v>67</v>
      </c>
      <c r="AD12" s="20" t="s">
        <v>352</v>
      </c>
      <c r="AE12" s="20" t="s">
        <v>352</v>
      </c>
      <c r="AF12" s="19" t="s">
        <v>598</v>
      </c>
      <c r="AG12"/>
      <c r="AH12"/>
      <c r="AI12"/>
      <c r="AJ12" s="16" t="s">
        <v>499</v>
      </c>
      <c r="AK12"/>
      <c r="AL12" s="16">
        <v>4913</v>
      </c>
      <c r="AM12" s="16" t="s">
        <v>194</v>
      </c>
      <c r="AN12"/>
      <c r="AO12" s="19" t="s">
        <v>824</v>
      </c>
      <c r="AP12" s="19" t="s">
        <v>825</v>
      </c>
      <c r="AQ12" s="19" t="s">
        <v>826</v>
      </c>
      <c r="AR12" s="20" t="s">
        <v>852</v>
      </c>
      <c r="AS12" s="21" t="s">
        <v>853</v>
      </c>
      <c r="AT12" s="21" t="s">
        <v>853</v>
      </c>
      <c r="AU12" s="19" t="s">
        <v>854</v>
      </c>
      <c r="AV12" s="19" t="s">
        <v>855</v>
      </c>
      <c r="AW12" s="19">
        <f>LEN(SUBSTITUTE(AV12, ", "," "))</f>
        <v>60</v>
      </c>
      <c r="AX12" s="21" t="s">
        <v>831</v>
      </c>
      <c r="AY12" s="21" t="s">
        <v>832</v>
      </c>
      <c r="AZ12" s="21" t="s">
        <v>833</v>
      </c>
      <c r="BA12" s="19"/>
      <c r="BB12" s="19"/>
      <c r="BC12" s="21" t="s">
        <v>856</v>
      </c>
      <c r="BD12" s="19"/>
      <c r="BE12" s="19"/>
      <c r="BF12" s="19"/>
      <c r="BG12" s="21" t="s">
        <v>835</v>
      </c>
      <c r="BH12" s="21" t="s">
        <v>836</v>
      </c>
      <c r="BI12" s="21" t="s">
        <v>837</v>
      </c>
      <c r="BJ12" s="19"/>
      <c r="BK12" s="19"/>
      <c r="BL12" s="21" t="s">
        <v>751</v>
      </c>
      <c r="BM12" s="21" t="s">
        <v>838</v>
      </c>
      <c r="BN12" s="21" t="s">
        <v>753</v>
      </c>
      <c r="BO12" s="19"/>
      <c r="BP12" s="19"/>
      <c r="BQ12" s="19" t="s">
        <v>851</v>
      </c>
      <c r="BR12" s="19"/>
      <c r="BS12" s="19"/>
      <c r="BT12" s="19"/>
      <c r="BU12" s="19"/>
      <c r="BV12" s="19"/>
      <c r="BW12" s="19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1633</v>
      </c>
    </row>
    <row r="13" spans="1:111" ht="12" customHeight="1" x14ac:dyDescent="0.25">
      <c r="A13" s="15" t="s">
        <v>422</v>
      </c>
      <c r="B13" s="16" t="s">
        <v>40</v>
      </c>
      <c r="C13" s="16" t="s">
        <v>494</v>
      </c>
      <c r="D13" t="s">
        <v>198</v>
      </c>
      <c r="E13" s="19" t="s">
        <v>582</v>
      </c>
      <c r="F13" t="s">
        <v>198</v>
      </c>
      <c r="G13" s="19" t="s">
        <v>585</v>
      </c>
      <c r="H13" s="17" t="s">
        <v>84</v>
      </c>
      <c r="I13"/>
      <c r="J13"/>
      <c r="K13"/>
      <c r="L13"/>
      <c r="M13"/>
      <c r="N13"/>
      <c r="O13"/>
      <c r="P13"/>
      <c r="Q13"/>
      <c r="R13"/>
      <c r="S13"/>
      <c r="T13"/>
      <c r="U13">
        <v>19</v>
      </c>
      <c r="V13" s="16">
        <f>V12+1</f>
        <v>12</v>
      </c>
      <c r="W13" s="16" t="s">
        <v>67</v>
      </c>
      <c r="X13" s="16" t="s">
        <v>67</v>
      </c>
      <c r="Y13" s="19" t="s">
        <v>67</v>
      </c>
      <c r="Z13" s="18" t="s">
        <v>33</v>
      </c>
      <c r="AA13" s="16" t="s">
        <v>547</v>
      </c>
      <c r="AB13" s="20" t="s">
        <v>33</v>
      </c>
      <c r="AC13" s="19" t="s">
        <v>67</v>
      </c>
      <c r="AD13" s="20" t="s">
        <v>33</v>
      </c>
      <c r="AE13" s="20" t="s">
        <v>33</v>
      </c>
      <c r="AF13" s="19" t="s">
        <v>599</v>
      </c>
      <c r="AG13"/>
      <c r="AH13"/>
      <c r="AI13"/>
      <c r="AJ13" s="16" t="s">
        <v>53</v>
      </c>
      <c r="AK13"/>
      <c r="AL13" s="16">
        <v>4913</v>
      </c>
      <c r="AM13" s="16" t="s">
        <v>234</v>
      </c>
      <c r="AN13"/>
      <c r="AO13" s="19" t="s">
        <v>824</v>
      </c>
      <c r="AP13" s="19" t="s">
        <v>825</v>
      </c>
      <c r="AQ13" s="19" t="s">
        <v>826</v>
      </c>
      <c r="AR13" s="20" t="s">
        <v>857</v>
      </c>
      <c r="AS13" s="21" t="s">
        <v>858</v>
      </c>
      <c r="AT13" s="21" t="s">
        <v>858</v>
      </c>
      <c r="AU13" s="19" t="s">
        <v>859</v>
      </c>
      <c r="AV13" s="19" t="s">
        <v>860</v>
      </c>
      <c r="AW13" s="19">
        <f>LEN(SUBSTITUTE(AV13, ", "," "))</f>
        <v>60</v>
      </c>
      <c r="AX13" s="21" t="s">
        <v>831</v>
      </c>
      <c r="AY13" s="21" t="s">
        <v>832</v>
      </c>
      <c r="AZ13" s="21" t="s">
        <v>833</v>
      </c>
      <c r="BA13" s="19"/>
      <c r="BB13" s="19"/>
      <c r="BC13" s="21" t="s">
        <v>861</v>
      </c>
      <c r="BD13" s="19"/>
      <c r="BE13" s="19"/>
      <c r="BF13" s="19"/>
      <c r="BG13" s="21" t="s">
        <v>835</v>
      </c>
      <c r="BH13" s="21" t="s">
        <v>836</v>
      </c>
      <c r="BI13" s="21" t="s">
        <v>837</v>
      </c>
      <c r="BJ13" s="19"/>
      <c r="BK13" s="19"/>
      <c r="BL13" s="21" t="s">
        <v>751</v>
      </c>
      <c r="BM13" s="21" t="s">
        <v>838</v>
      </c>
      <c r="BN13" s="21" t="s">
        <v>753</v>
      </c>
      <c r="BO13" s="19"/>
      <c r="BP13" s="19"/>
      <c r="BQ13" s="19" t="s">
        <v>851</v>
      </c>
      <c r="BR13" s="19"/>
      <c r="BS13" s="19"/>
      <c r="BT13" s="19"/>
      <c r="BU13" s="19"/>
      <c r="BV13" s="19"/>
      <c r="BW13" s="19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1633</v>
      </c>
    </row>
    <row r="14" spans="1:111" ht="12" customHeight="1" x14ac:dyDescent="0.25">
      <c r="A14" s="15" t="s">
        <v>422</v>
      </c>
      <c r="B14" s="16" t="s">
        <v>40</v>
      </c>
      <c r="C14" s="16" t="s">
        <v>494</v>
      </c>
      <c r="D14" t="s">
        <v>198</v>
      </c>
      <c r="E14" s="19" t="s">
        <v>582</v>
      </c>
      <c r="F14" t="s">
        <v>198</v>
      </c>
      <c r="G14" s="19" t="s">
        <v>585</v>
      </c>
      <c r="H14" s="17" t="s">
        <v>84</v>
      </c>
      <c r="I14"/>
      <c r="J14"/>
      <c r="K14"/>
      <c r="L14"/>
      <c r="M14"/>
      <c r="N14"/>
      <c r="O14"/>
      <c r="P14"/>
      <c r="Q14"/>
      <c r="R14"/>
      <c r="S14"/>
      <c r="T14"/>
      <c r="U14">
        <v>20</v>
      </c>
      <c r="V14" s="16">
        <f>V13+1</f>
        <v>13</v>
      </c>
      <c r="W14" s="16" t="s">
        <v>67</v>
      </c>
      <c r="X14" s="16" t="s">
        <v>67</v>
      </c>
      <c r="Y14" s="19" t="s">
        <v>67</v>
      </c>
      <c r="Z14" s="18" t="s">
        <v>571</v>
      </c>
      <c r="AA14" s="16" t="s">
        <v>536</v>
      </c>
      <c r="AB14" s="20" t="s">
        <v>571</v>
      </c>
      <c r="AC14" s="19" t="s">
        <v>67</v>
      </c>
      <c r="AD14" s="20" t="s">
        <v>571</v>
      </c>
      <c r="AE14" s="20" t="s">
        <v>571</v>
      </c>
      <c r="AF14" s="19" t="s">
        <v>600</v>
      </c>
      <c r="AG14"/>
      <c r="AH14"/>
      <c r="AI14"/>
      <c r="AJ14" s="16" t="s">
        <v>370</v>
      </c>
      <c r="AK14"/>
      <c r="AL14" s="16">
        <v>4913</v>
      </c>
      <c r="AM14" s="16" t="s">
        <v>311</v>
      </c>
      <c r="AN14"/>
      <c r="AO14" s="19" t="s">
        <v>824</v>
      </c>
      <c r="AP14" s="19" t="s">
        <v>825</v>
      </c>
      <c r="AQ14" s="19" t="s">
        <v>826</v>
      </c>
      <c r="AR14" s="20" t="s">
        <v>862</v>
      </c>
      <c r="AS14" s="21" t="s">
        <v>863</v>
      </c>
      <c r="AT14" s="21" t="s">
        <v>863</v>
      </c>
      <c r="AU14" s="19" t="s">
        <v>864</v>
      </c>
      <c r="AV14" s="19" t="s">
        <v>865</v>
      </c>
      <c r="AW14" s="19">
        <f>LEN(SUBSTITUTE(AV14, ", "," "))</f>
        <v>60</v>
      </c>
      <c r="AX14" s="21" t="s">
        <v>831</v>
      </c>
      <c r="AY14" s="21" t="s">
        <v>832</v>
      </c>
      <c r="AZ14" s="21" t="s">
        <v>833</v>
      </c>
      <c r="BA14" s="19"/>
      <c r="BB14" s="19"/>
      <c r="BC14" s="21" t="s">
        <v>866</v>
      </c>
      <c r="BD14" s="19"/>
      <c r="BE14" s="19"/>
      <c r="BF14" s="19"/>
      <c r="BG14" s="21" t="s">
        <v>835</v>
      </c>
      <c r="BH14" s="21" t="s">
        <v>836</v>
      </c>
      <c r="BI14" s="21" t="s">
        <v>837</v>
      </c>
      <c r="BJ14" s="19"/>
      <c r="BK14" s="19"/>
      <c r="BL14" s="21" t="s">
        <v>751</v>
      </c>
      <c r="BM14" s="21" t="s">
        <v>838</v>
      </c>
      <c r="BN14" s="21" t="s">
        <v>753</v>
      </c>
      <c r="BO14" s="19"/>
      <c r="BP14" s="19"/>
      <c r="BQ14" s="19" t="s">
        <v>851</v>
      </c>
      <c r="BR14" s="19"/>
      <c r="BS14" s="19"/>
      <c r="BT14" s="19"/>
      <c r="BU14" s="19"/>
      <c r="BV14" s="19"/>
      <c r="BW14" s="19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1633</v>
      </c>
    </row>
    <row r="15" spans="1:111" ht="12" customHeight="1" x14ac:dyDescent="0.25">
      <c r="A15" s="15" t="s">
        <v>422</v>
      </c>
      <c r="B15" s="16" t="s">
        <v>40</v>
      </c>
      <c r="C15" s="16" t="s">
        <v>494</v>
      </c>
      <c r="D15" t="s">
        <v>198</v>
      </c>
      <c r="E15" s="19" t="s">
        <v>582</v>
      </c>
      <c r="F15" t="s">
        <v>198</v>
      </c>
      <c r="G15" s="19" t="s">
        <v>585</v>
      </c>
      <c r="H15" s="17" t="s">
        <v>84</v>
      </c>
      <c r="I15"/>
      <c r="J15"/>
      <c r="K15"/>
      <c r="L15"/>
      <c r="M15"/>
      <c r="N15"/>
      <c r="O15"/>
      <c r="P15"/>
      <c r="Q15"/>
      <c r="R15"/>
      <c r="S15"/>
      <c r="T15"/>
      <c r="U15">
        <v>21</v>
      </c>
      <c r="V15" s="16">
        <f>V14+1</f>
        <v>14</v>
      </c>
      <c r="W15" s="16" t="s">
        <v>67</v>
      </c>
      <c r="X15" s="16" t="s">
        <v>67</v>
      </c>
      <c r="Y15" s="19" t="s">
        <v>67</v>
      </c>
      <c r="Z15" s="18" t="s">
        <v>4</v>
      </c>
      <c r="AA15" s="16" t="s">
        <v>116</v>
      </c>
      <c r="AB15" s="20" t="s">
        <v>4</v>
      </c>
      <c r="AC15" s="19" t="s">
        <v>67</v>
      </c>
      <c r="AD15" s="20" t="s">
        <v>4</v>
      </c>
      <c r="AE15" s="20" t="s">
        <v>4</v>
      </c>
      <c r="AF15" s="19" t="s">
        <v>601</v>
      </c>
      <c r="AG15"/>
      <c r="AH15"/>
      <c r="AI15"/>
      <c r="AJ15" s="16" t="s">
        <v>544</v>
      </c>
      <c r="AK15"/>
      <c r="AL15" s="16">
        <v>4913</v>
      </c>
      <c r="AM15" s="16" t="s">
        <v>55</v>
      </c>
      <c r="AN15"/>
      <c r="AO15" s="19" t="s">
        <v>824</v>
      </c>
      <c r="AP15" s="19" t="s">
        <v>825</v>
      </c>
      <c r="AQ15" s="19" t="s">
        <v>826</v>
      </c>
      <c r="AR15" s="20" t="s">
        <v>867</v>
      </c>
      <c r="AS15" s="21" t="s">
        <v>868</v>
      </c>
      <c r="AT15" s="21" t="s">
        <v>868</v>
      </c>
      <c r="AU15" s="19" t="s">
        <v>869</v>
      </c>
      <c r="AV15" s="19" t="s">
        <v>870</v>
      </c>
      <c r="AW15" s="19">
        <f>LEN(SUBSTITUTE(AV15, ", "," "))</f>
        <v>60</v>
      </c>
      <c r="AX15" s="21" t="s">
        <v>831</v>
      </c>
      <c r="AY15" s="21" t="s">
        <v>832</v>
      </c>
      <c r="AZ15" s="21" t="s">
        <v>833</v>
      </c>
      <c r="BA15" s="19"/>
      <c r="BB15" s="19"/>
      <c r="BC15" s="21" t="s">
        <v>871</v>
      </c>
      <c r="BD15" s="19"/>
      <c r="BE15" s="19"/>
      <c r="BF15" s="19"/>
      <c r="BG15" s="21" t="s">
        <v>835</v>
      </c>
      <c r="BH15" s="21" t="s">
        <v>836</v>
      </c>
      <c r="BI15" s="21" t="s">
        <v>837</v>
      </c>
      <c r="BJ15" s="19"/>
      <c r="BK15" s="19"/>
      <c r="BL15" s="21" t="s">
        <v>751</v>
      </c>
      <c r="BM15" s="21" t="s">
        <v>838</v>
      </c>
      <c r="BN15" s="21" t="s">
        <v>753</v>
      </c>
      <c r="BO15" s="19"/>
      <c r="BP15" s="19"/>
      <c r="BQ15" s="19" t="s">
        <v>851</v>
      </c>
      <c r="BR15" s="19"/>
      <c r="BS15" s="19"/>
      <c r="BT15" s="19"/>
      <c r="BU15" s="19"/>
      <c r="BV15" s="19"/>
      <c r="BW15" s="19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1633</v>
      </c>
    </row>
    <row r="16" spans="1:111" ht="12" customHeight="1" x14ac:dyDescent="0.25">
      <c r="A16" s="15" t="s">
        <v>422</v>
      </c>
      <c r="B16" s="16" t="s">
        <v>40</v>
      </c>
      <c r="C16" s="16" t="s">
        <v>494</v>
      </c>
      <c r="D16" t="s">
        <v>198</v>
      </c>
      <c r="E16" s="19" t="s">
        <v>582</v>
      </c>
      <c r="F16" t="s">
        <v>198</v>
      </c>
      <c r="G16" s="19" t="s">
        <v>585</v>
      </c>
      <c r="H16" s="17" t="s">
        <v>84</v>
      </c>
      <c r="I16"/>
      <c r="J16"/>
      <c r="K16"/>
      <c r="L16"/>
      <c r="M16"/>
      <c r="N16"/>
      <c r="O16"/>
      <c r="P16"/>
      <c r="Q16"/>
      <c r="R16"/>
      <c r="S16"/>
      <c r="T16"/>
      <c r="U16">
        <v>22</v>
      </c>
      <c r="V16" s="16">
        <f>V15+1</f>
        <v>15</v>
      </c>
      <c r="W16" s="16" t="s">
        <v>67</v>
      </c>
      <c r="X16" s="16" t="s">
        <v>67</v>
      </c>
      <c r="Y16" s="19" t="s">
        <v>67</v>
      </c>
      <c r="Z16" s="18" t="s">
        <v>453</v>
      </c>
      <c r="AA16" s="16" t="s">
        <v>107</v>
      </c>
      <c r="AB16" s="20" t="s">
        <v>453</v>
      </c>
      <c r="AC16" s="19" t="s">
        <v>67</v>
      </c>
      <c r="AD16" s="20" t="s">
        <v>453</v>
      </c>
      <c r="AE16" s="20" t="s">
        <v>453</v>
      </c>
      <c r="AF16" s="19" t="s">
        <v>602</v>
      </c>
      <c r="AG16"/>
      <c r="AH16"/>
      <c r="AI16"/>
      <c r="AJ16" s="16" t="s">
        <v>277</v>
      </c>
      <c r="AK16"/>
      <c r="AL16" s="16">
        <v>4913</v>
      </c>
      <c r="AM16" s="16" t="s">
        <v>185</v>
      </c>
      <c r="AN16"/>
      <c r="AO16" s="19" t="s">
        <v>824</v>
      </c>
      <c r="AP16" s="19" t="s">
        <v>825</v>
      </c>
      <c r="AQ16" s="19" t="s">
        <v>826</v>
      </c>
      <c r="AR16" s="20" t="s">
        <v>872</v>
      </c>
      <c r="AS16" s="21" t="s">
        <v>873</v>
      </c>
      <c r="AT16" s="21" t="s">
        <v>873</v>
      </c>
      <c r="AU16" s="19" t="s">
        <v>874</v>
      </c>
      <c r="AV16" s="19" t="s">
        <v>875</v>
      </c>
      <c r="AW16" s="19">
        <f>LEN(SUBSTITUTE(AV16, ", "," "))</f>
        <v>60</v>
      </c>
      <c r="AX16" s="21" t="s">
        <v>831</v>
      </c>
      <c r="AY16" s="21" t="s">
        <v>832</v>
      </c>
      <c r="AZ16" s="21" t="s">
        <v>833</v>
      </c>
      <c r="BA16" s="19"/>
      <c r="BB16" s="19"/>
      <c r="BC16" s="21" t="s">
        <v>876</v>
      </c>
      <c r="BD16" s="19"/>
      <c r="BE16" s="19"/>
      <c r="BF16" s="19"/>
      <c r="BG16" s="21" t="s">
        <v>835</v>
      </c>
      <c r="BH16" s="21" t="s">
        <v>836</v>
      </c>
      <c r="BI16" s="21" t="s">
        <v>837</v>
      </c>
      <c r="BJ16" s="19"/>
      <c r="BK16" s="19"/>
      <c r="BL16" s="21" t="s">
        <v>751</v>
      </c>
      <c r="BM16" s="21" t="s">
        <v>838</v>
      </c>
      <c r="BN16" s="21" t="s">
        <v>753</v>
      </c>
      <c r="BO16" s="19"/>
      <c r="BP16" s="19"/>
      <c r="BQ16" s="19" t="s">
        <v>851</v>
      </c>
      <c r="BR16" s="19"/>
      <c r="BS16" s="19"/>
      <c r="BT16" s="19"/>
      <c r="BU16" s="19"/>
      <c r="BV16" s="19"/>
      <c r="BW16" s="19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1633</v>
      </c>
    </row>
    <row r="17" spans="1:110" ht="12" customHeight="1" x14ac:dyDescent="0.25">
      <c r="A17" s="15" t="s">
        <v>422</v>
      </c>
      <c r="B17" s="16" t="s">
        <v>40</v>
      </c>
      <c r="C17" s="16" t="s">
        <v>494</v>
      </c>
      <c r="D17" t="s">
        <v>198</v>
      </c>
      <c r="E17" s="19" t="s">
        <v>582</v>
      </c>
      <c r="F17" t="s">
        <v>198</v>
      </c>
      <c r="G17" s="19" t="s">
        <v>585</v>
      </c>
      <c r="H17" s="17" t="s">
        <v>84</v>
      </c>
      <c r="I17"/>
      <c r="J17"/>
      <c r="K17"/>
      <c r="L17"/>
      <c r="M17"/>
      <c r="N17"/>
      <c r="O17"/>
      <c r="P17"/>
      <c r="Q17"/>
      <c r="R17"/>
      <c r="S17"/>
      <c r="T17"/>
      <c r="U17">
        <v>23</v>
      </c>
      <c r="V17" s="16">
        <f>V16+1</f>
        <v>16</v>
      </c>
      <c r="W17" s="16" t="s">
        <v>67</v>
      </c>
      <c r="X17" s="16" t="s">
        <v>67</v>
      </c>
      <c r="Y17" s="19" t="s">
        <v>67</v>
      </c>
      <c r="Z17" s="18" t="s">
        <v>322</v>
      </c>
      <c r="AA17" s="16" t="s">
        <v>419</v>
      </c>
      <c r="AB17" s="20" t="s">
        <v>322</v>
      </c>
      <c r="AC17" s="19" t="s">
        <v>67</v>
      </c>
      <c r="AD17" s="20" t="s">
        <v>322</v>
      </c>
      <c r="AE17" s="20" t="s">
        <v>322</v>
      </c>
      <c r="AF17" s="19" t="s">
        <v>603</v>
      </c>
      <c r="AG17"/>
      <c r="AH17"/>
      <c r="AI17"/>
      <c r="AJ17" s="16" t="s">
        <v>576</v>
      </c>
      <c r="AK17"/>
      <c r="AL17" s="16">
        <v>4913</v>
      </c>
      <c r="AM17" s="16" t="s">
        <v>325</v>
      </c>
      <c r="AN17"/>
      <c r="AO17" s="19" t="s">
        <v>824</v>
      </c>
      <c r="AP17" s="19" t="s">
        <v>825</v>
      </c>
      <c r="AQ17" s="19" t="s">
        <v>826</v>
      </c>
      <c r="AR17" s="20" t="s">
        <v>877</v>
      </c>
      <c r="AS17" s="21" t="s">
        <v>878</v>
      </c>
      <c r="AT17" s="21" t="s">
        <v>878</v>
      </c>
      <c r="AU17" s="19" t="s">
        <v>879</v>
      </c>
      <c r="AV17" s="19" t="s">
        <v>880</v>
      </c>
      <c r="AW17" s="19">
        <f>LEN(SUBSTITUTE(AV17, ", "," "))</f>
        <v>60</v>
      </c>
      <c r="AX17" s="21" t="s">
        <v>831</v>
      </c>
      <c r="AY17" s="21" t="s">
        <v>832</v>
      </c>
      <c r="AZ17" s="21" t="s">
        <v>833</v>
      </c>
      <c r="BA17" s="19"/>
      <c r="BB17" s="19"/>
      <c r="BC17" s="21" t="s">
        <v>881</v>
      </c>
      <c r="BD17" s="19"/>
      <c r="BE17" s="19"/>
      <c r="BF17" s="19"/>
      <c r="BG17" s="21" t="s">
        <v>835</v>
      </c>
      <c r="BH17" s="21" t="s">
        <v>836</v>
      </c>
      <c r="BI17" s="21" t="s">
        <v>837</v>
      </c>
      <c r="BJ17" s="19"/>
      <c r="BK17" s="19"/>
      <c r="BL17" s="21" t="s">
        <v>751</v>
      </c>
      <c r="BM17" s="21" t="s">
        <v>838</v>
      </c>
      <c r="BN17" s="21" t="s">
        <v>753</v>
      </c>
      <c r="BO17" s="19"/>
      <c r="BP17" s="19"/>
      <c r="BQ17" s="19" t="s">
        <v>851</v>
      </c>
      <c r="BR17" s="19"/>
      <c r="BS17" s="19"/>
      <c r="BT17" s="19"/>
      <c r="BU17" s="19"/>
      <c r="BV17" s="19"/>
      <c r="BW17" s="19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1633</v>
      </c>
    </row>
    <row r="18" spans="1:110" ht="12" customHeight="1" x14ac:dyDescent="0.25">
      <c r="A18" s="15" t="s">
        <v>422</v>
      </c>
      <c r="B18" s="16" t="s">
        <v>40</v>
      </c>
      <c r="C18" s="16" t="s">
        <v>494</v>
      </c>
      <c r="D18" t="s">
        <v>198</v>
      </c>
      <c r="E18" s="19" t="s">
        <v>582</v>
      </c>
      <c r="F18" t="s">
        <v>198</v>
      </c>
      <c r="G18" s="19" t="s">
        <v>585</v>
      </c>
      <c r="H18" s="17" t="s">
        <v>84</v>
      </c>
      <c r="I18"/>
      <c r="J18"/>
      <c r="K18"/>
      <c r="L18"/>
      <c r="M18"/>
      <c r="N18"/>
      <c r="O18"/>
      <c r="P18"/>
      <c r="Q18"/>
      <c r="R18"/>
      <c r="S18"/>
      <c r="T18"/>
      <c r="U18">
        <v>24</v>
      </c>
      <c r="V18" s="16">
        <f>V17+1</f>
        <v>17</v>
      </c>
      <c r="W18" s="16" t="s">
        <v>67</v>
      </c>
      <c r="X18" s="16" t="s">
        <v>67</v>
      </c>
      <c r="Y18" s="19" t="s">
        <v>67</v>
      </c>
      <c r="Z18" s="18" t="s">
        <v>58</v>
      </c>
      <c r="AA18" s="16" t="s">
        <v>167</v>
      </c>
      <c r="AB18" s="20" t="s">
        <v>58</v>
      </c>
      <c r="AC18" s="19" t="s">
        <v>67</v>
      </c>
      <c r="AD18" s="20" t="s">
        <v>58</v>
      </c>
      <c r="AE18" s="20" t="s">
        <v>58</v>
      </c>
      <c r="AF18" s="19" t="s">
        <v>604</v>
      </c>
      <c r="AG18"/>
      <c r="AH18"/>
      <c r="AI18"/>
      <c r="AJ18" s="16" t="s">
        <v>127</v>
      </c>
      <c r="AK18"/>
      <c r="AL18" s="16">
        <v>4913</v>
      </c>
      <c r="AM18" s="16" t="s">
        <v>12</v>
      </c>
      <c r="AN18"/>
      <c r="AO18" s="19" t="s">
        <v>824</v>
      </c>
      <c r="AP18" s="19" t="s">
        <v>825</v>
      </c>
      <c r="AQ18" s="19" t="s">
        <v>826</v>
      </c>
      <c r="AR18" s="20" t="s">
        <v>882</v>
      </c>
      <c r="AS18" s="21" t="s">
        <v>883</v>
      </c>
      <c r="AT18" s="21" t="s">
        <v>883</v>
      </c>
      <c r="AU18" s="19" t="s">
        <v>884</v>
      </c>
      <c r="AV18" s="19" t="s">
        <v>885</v>
      </c>
      <c r="AW18" s="19">
        <f>LEN(SUBSTITUTE(AV18, ", "," "))</f>
        <v>60</v>
      </c>
      <c r="AX18" s="21" t="s">
        <v>831</v>
      </c>
      <c r="AY18" s="21" t="s">
        <v>832</v>
      </c>
      <c r="AZ18" s="21" t="s">
        <v>833</v>
      </c>
      <c r="BA18" s="19"/>
      <c r="BB18" s="19"/>
      <c r="BC18" s="21" t="s">
        <v>886</v>
      </c>
      <c r="BD18" s="19"/>
      <c r="BE18" s="19"/>
      <c r="BF18" s="19"/>
      <c r="BG18" s="21" t="s">
        <v>835</v>
      </c>
      <c r="BH18" s="21" t="s">
        <v>836</v>
      </c>
      <c r="BI18" s="21" t="s">
        <v>837</v>
      </c>
      <c r="BJ18" s="19"/>
      <c r="BK18" s="19"/>
      <c r="BL18" s="21" t="s">
        <v>751</v>
      </c>
      <c r="BM18" s="21" t="s">
        <v>838</v>
      </c>
      <c r="BN18" s="21" t="s">
        <v>753</v>
      </c>
      <c r="BO18" s="19"/>
      <c r="BP18" s="19"/>
      <c r="BQ18" s="19" t="s">
        <v>851</v>
      </c>
      <c r="BR18" s="19"/>
      <c r="BS18" s="19"/>
      <c r="BT18" s="19"/>
      <c r="BU18" s="19"/>
      <c r="BV18" s="19"/>
      <c r="BW18" s="19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1633</v>
      </c>
    </row>
    <row r="19" spans="1:110" ht="12" customHeight="1" x14ac:dyDescent="0.25">
      <c r="A19" s="15" t="s">
        <v>422</v>
      </c>
      <c r="B19" s="16" t="s">
        <v>40</v>
      </c>
      <c r="C19" s="16" t="s">
        <v>494</v>
      </c>
      <c r="D19" t="s">
        <v>198</v>
      </c>
      <c r="E19" s="19" t="s">
        <v>582</v>
      </c>
      <c r="F19" t="s">
        <v>198</v>
      </c>
      <c r="G19" s="19" t="s">
        <v>585</v>
      </c>
      <c r="H19" s="17" t="s">
        <v>84</v>
      </c>
      <c r="I19"/>
      <c r="J19"/>
      <c r="K19"/>
      <c r="L19"/>
      <c r="M19"/>
      <c r="N19"/>
      <c r="O19"/>
      <c r="P19"/>
      <c r="Q19"/>
      <c r="R19"/>
      <c r="S19"/>
      <c r="T19"/>
      <c r="U19">
        <v>25</v>
      </c>
      <c r="V19" s="16">
        <f>V18+1</f>
        <v>18</v>
      </c>
      <c r="W19" s="16" t="s">
        <v>67</v>
      </c>
      <c r="X19" s="16" t="s">
        <v>67</v>
      </c>
      <c r="Y19" s="19" t="s">
        <v>67</v>
      </c>
      <c r="Z19" s="18" t="s">
        <v>46</v>
      </c>
      <c r="AA19" s="16" t="s">
        <v>164</v>
      </c>
      <c r="AB19" s="20" t="s">
        <v>46</v>
      </c>
      <c r="AC19" s="19" t="s">
        <v>67</v>
      </c>
      <c r="AD19" s="20" t="s">
        <v>46</v>
      </c>
      <c r="AE19" s="20" t="s">
        <v>46</v>
      </c>
      <c r="AF19" s="19" t="s">
        <v>605</v>
      </c>
      <c r="AG19"/>
      <c r="AH19"/>
      <c r="AI19"/>
      <c r="AJ19" s="16" t="s">
        <v>270</v>
      </c>
      <c r="AK19"/>
      <c r="AL19" s="16">
        <v>4913</v>
      </c>
      <c r="AM19" s="16" t="s">
        <v>27</v>
      </c>
      <c r="AN19"/>
      <c r="AO19" s="19" t="s">
        <v>887</v>
      </c>
      <c r="AP19" s="19" t="s">
        <v>888</v>
      </c>
      <c r="AQ19" s="19" t="s">
        <v>889</v>
      </c>
      <c r="AR19" s="19" t="s">
        <v>890</v>
      </c>
      <c r="AS19" s="21" t="s">
        <v>891</v>
      </c>
      <c r="AT19" s="21" t="s">
        <v>891</v>
      </c>
      <c r="AU19" s="19" t="s">
        <v>892</v>
      </c>
      <c r="AV19" s="19" t="s">
        <v>892</v>
      </c>
      <c r="AW19" s="19">
        <f>LEN(SUBSTITUTE(AV19, ", "," "))</f>
        <v>31</v>
      </c>
      <c r="AX19" s="21" t="s">
        <v>893</v>
      </c>
      <c r="AY19" s="21" t="s">
        <v>894</v>
      </c>
      <c r="AZ19" s="19"/>
      <c r="BA19" s="19"/>
      <c r="BB19" s="19"/>
      <c r="BC19" s="21" t="s">
        <v>895</v>
      </c>
      <c r="BD19" s="19"/>
      <c r="BE19" s="19"/>
      <c r="BF19" s="19"/>
      <c r="BG19" s="21" t="s">
        <v>835</v>
      </c>
      <c r="BH19" s="19"/>
      <c r="BI19" s="19"/>
      <c r="BJ19" s="19"/>
      <c r="BK19" s="19"/>
      <c r="BL19" s="19"/>
      <c r="BM19" s="21" t="s">
        <v>896</v>
      </c>
      <c r="BN19" s="19"/>
      <c r="BO19" s="19"/>
      <c r="BP19" s="19"/>
      <c r="BQ19" s="19" t="s">
        <v>851</v>
      </c>
      <c r="BR19" s="19"/>
      <c r="BS19" s="19"/>
      <c r="BT19" s="19"/>
      <c r="BU19" s="19"/>
      <c r="BV19" s="19"/>
      <c r="BW19" s="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1633</v>
      </c>
    </row>
    <row r="20" spans="1:110" ht="12" customHeight="1" x14ac:dyDescent="0.25">
      <c r="A20" s="15" t="s">
        <v>422</v>
      </c>
      <c r="B20" s="16" t="s">
        <v>40</v>
      </c>
      <c r="C20" s="16" t="s">
        <v>494</v>
      </c>
      <c r="D20" t="s">
        <v>198</v>
      </c>
      <c r="E20" s="19" t="s">
        <v>583</v>
      </c>
      <c r="F20" t="s">
        <v>198</v>
      </c>
      <c r="G20" s="19" t="s">
        <v>585</v>
      </c>
      <c r="H20" s="17" t="s">
        <v>84</v>
      </c>
      <c r="I20"/>
      <c r="J20"/>
      <c r="K20"/>
      <c r="L20"/>
      <c r="M20"/>
      <c r="N20"/>
      <c r="O20"/>
      <c r="P20"/>
      <c r="Q20"/>
      <c r="R20"/>
      <c r="S20"/>
      <c r="T20"/>
      <c r="U20">
        <v>26</v>
      </c>
      <c r="V20" s="16">
        <f>V19+1</f>
        <v>19</v>
      </c>
      <c r="W20" s="16" t="s">
        <v>67</v>
      </c>
      <c r="X20" s="16" t="s">
        <v>67</v>
      </c>
      <c r="Y20" s="19" t="s">
        <v>67</v>
      </c>
      <c r="Z20" s="18" t="s">
        <v>200</v>
      </c>
      <c r="AA20" s="16" t="s">
        <v>200</v>
      </c>
      <c r="AB20" s="20" t="s">
        <v>200</v>
      </c>
      <c r="AC20" s="19" t="s">
        <v>67</v>
      </c>
      <c r="AD20" s="20" t="s">
        <v>200</v>
      </c>
      <c r="AE20" s="20" t="s">
        <v>200</v>
      </c>
      <c r="AF20" s="19" t="s">
        <v>606</v>
      </c>
      <c r="AG20"/>
      <c r="AH20"/>
      <c r="AI20"/>
      <c r="AJ20" s="16" t="s">
        <v>334</v>
      </c>
      <c r="AK20"/>
      <c r="AL20" s="16">
        <v>4913</v>
      </c>
      <c r="AM20" s="16" t="s">
        <v>298</v>
      </c>
      <c r="AN20"/>
      <c r="AO20" s="19" t="s">
        <v>897</v>
      </c>
      <c r="AP20" s="19" t="s">
        <v>825</v>
      </c>
      <c r="AQ20" s="19" t="s">
        <v>826</v>
      </c>
      <c r="AR20" s="19" t="s">
        <v>898</v>
      </c>
      <c r="AS20" s="21" t="s">
        <v>899</v>
      </c>
      <c r="AT20" s="21" t="s">
        <v>899</v>
      </c>
      <c r="AU20" s="19" t="s">
        <v>900</v>
      </c>
      <c r="AV20" s="19" t="s">
        <v>901</v>
      </c>
      <c r="AW20" s="19">
        <f>LEN(SUBSTITUTE(AV20, ", "," "))</f>
        <v>57</v>
      </c>
      <c r="AX20" s="21" t="s">
        <v>831</v>
      </c>
      <c r="AY20" s="21" t="s">
        <v>902</v>
      </c>
      <c r="AZ20" s="21" t="s">
        <v>903</v>
      </c>
      <c r="BA20" s="19">
        <v>0</v>
      </c>
      <c r="BB20" s="19"/>
      <c r="BC20" s="21" t="s">
        <v>904</v>
      </c>
      <c r="BD20" s="19"/>
      <c r="BE20" s="19"/>
      <c r="BF20" s="19"/>
      <c r="BG20" s="21" t="s">
        <v>835</v>
      </c>
      <c r="BH20" s="19"/>
      <c r="BI20" s="21" t="s">
        <v>905</v>
      </c>
      <c r="BJ20" s="19"/>
      <c r="BK20" s="19"/>
      <c r="BL20" s="21" t="s">
        <v>751</v>
      </c>
      <c r="BM20" s="21" t="s">
        <v>838</v>
      </c>
      <c r="BN20" s="21" t="s">
        <v>753</v>
      </c>
      <c r="BO20" s="19"/>
      <c r="BP20" s="19"/>
      <c r="BQ20" s="19" t="s">
        <v>906</v>
      </c>
      <c r="BR20" s="19"/>
      <c r="BS20" s="19"/>
      <c r="BT20" s="19"/>
      <c r="BU20" s="19"/>
      <c r="BV20" s="19"/>
      <c r="BW20" s="19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1633</v>
      </c>
    </row>
    <row r="21" spans="1:110" ht="12" customHeight="1" x14ac:dyDescent="0.25">
      <c r="A21" s="15" t="s">
        <v>422</v>
      </c>
      <c r="B21" s="16" t="s">
        <v>40</v>
      </c>
      <c r="C21" s="16" t="s">
        <v>494</v>
      </c>
      <c r="D21" t="s">
        <v>198</v>
      </c>
      <c r="E21" s="19" t="s">
        <v>583</v>
      </c>
      <c r="F21" t="s">
        <v>198</v>
      </c>
      <c r="G21" s="19" t="s">
        <v>585</v>
      </c>
      <c r="H21" s="17" t="s">
        <v>84</v>
      </c>
      <c r="I21"/>
      <c r="J21"/>
      <c r="K21"/>
      <c r="L21"/>
      <c r="M21"/>
      <c r="N21"/>
      <c r="O21"/>
      <c r="P21"/>
      <c r="Q21"/>
      <c r="R21"/>
      <c r="S21"/>
      <c r="T21"/>
      <c r="U21">
        <v>27</v>
      </c>
      <c r="V21" s="16">
        <f>V20+1</f>
        <v>20</v>
      </c>
      <c r="W21" s="16" t="s">
        <v>67</v>
      </c>
      <c r="X21" s="16" t="s">
        <v>67</v>
      </c>
      <c r="Y21" s="19" t="s">
        <v>67</v>
      </c>
      <c r="Z21" s="18" t="s">
        <v>89</v>
      </c>
      <c r="AA21" s="16" t="s">
        <v>89</v>
      </c>
      <c r="AB21" s="20" t="s">
        <v>89</v>
      </c>
      <c r="AC21" s="19" t="s">
        <v>67</v>
      </c>
      <c r="AD21" s="20" t="s">
        <v>89</v>
      </c>
      <c r="AE21" s="20" t="s">
        <v>89</v>
      </c>
      <c r="AF21" s="19" t="s">
        <v>607</v>
      </c>
      <c r="AG21"/>
      <c r="AH21"/>
      <c r="AI21"/>
      <c r="AJ21" s="16" t="s">
        <v>442</v>
      </c>
      <c r="AK21"/>
      <c r="AL21" s="16">
        <v>4913</v>
      </c>
      <c r="AM21" s="16" t="s">
        <v>133</v>
      </c>
      <c r="AN21"/>
      <c r="AO21" s="19" t="s">
        <v>897</v>
      </c>
      <c r="AP21" s="19" t="s">
        <v>825</v>
      </c>
      <c r="AQ21" s="19" t="s">
        <v>826</v>
      </c>
      <c r="AR21" s="19" t="s">
        <v>907</v>
      </c>
      <c r="AS21" s="21" t="s">
        <v>908</v>
      </c>
      <c r="AT21" s="21" t="s">
        <v>908</v>
      </c>
      <c r="AU21" s="19" t="s">
        <v>909</v>
      </c>
      <c r="AV21" s="19" t="s">
        <v>910</v>
      </c>
      <c r="AW21" s="19">
        <f>LEN(SUBSTITUTE(AV21, ", "," "))</f>
        <v>57</v>
      </c>
      <c r="AX21" s="21" t="s">
        <v>831</v>
      </c>
      <c r="AY21" s="21" t="s">
        <v>902</v>
      </c>
      <c r="AZ21" s="21" t="s">
        <v>903</v>
      </c>
      <c r="BA21" s="19">
        <v>1</v>
      </c>
      <c r="BB21" s="19"/>
      <c r="BC21" s="21" t="s">
        <v>911</v>
      </c>
      <c r="BD21" s="19"/>
      <c r="BE21" s="19"/>
      <c r="BF21" s="19"/>
      <c r="BG21" s="21" t="s">
        <v>835</v>
      </c>
      <c r="BH21" s="19"/>
      <c r="BI21" s="21" t="s">
        <v>905</v>
      </c>
      <c r="BJ21" s="19"/>
      <c r="BK21" s="19"/>
      <c r="BL21" s="21" t="s">
        <v>751</v>
      </c>
      <c r="BM21" s="21" t="s">
        <v>838</v>
      </c>
      <c r="BN21" s="21" t="s">
        <v>753</v>
      </c>
      <c r="BO21" s="19"/>
      <c r="BP21" s="19"/>
      <c r="BQ21" s="19" t="s">
        <v>912</v>
      </c>
      <c r="BR21" s="19"/>
      <c r="BS21" s="19"/>
      <c r="BT21" s="19"/>
      <c r="BU21" s="19"/>
      <c r="BV21" s="19"/>
      <c r="BW21" s="19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1633</v>
      </c>
    </row>
    <row r="22" spans="1:110" ht="12" customHeight="1" x14ac:dyDescent="0.25">
      <c r="A22" s="15" t="s">
        <v>422</v>
      </c>
      <c r="B22" s="16" t="s">
        <v>40</v>
      </c>
      <c r="C22" s="16" t="s">
        <v>494</v>
      </c>
      <c r="D22" t="s">
        <v>198</v>
      </c>
      <c r="E22" s="19" t="s">
        <v>583</v>
      </c>
      <c r="F22" t="s">
        <v>198</v>
      </c>
      <c r="G22" s="19" t="s">
        <v>585</v>
      </c>
      <c r="H22" s="17" t="s">
        <v>84</v>
      </c>
      <c r="I22"/>
      <c r="J22"/>
      <c r="K22"/>
      <c r="L22"/>
      <c r="M22"/>
      <c r="N22"/>
      <c r="O22"/>
      <c r="P22"/>
      <c r="Q22"/>
      <c r="R22"/>
      <c r="S22"/>
      <c r="T22"/>
      <c r="U22">
        <v>28</v>
      </c>
      <c r="V22" s="16">
        <f>V21+1</f>
        <v>21</v>
      </c>
      <c r="W22" s="16" t="s">
        <v>67</v>
      </c>
      <c r="X22" s="16" t="s">
        <v>67</v>
      </c>
      <c r="Y22" s="19" t="s">
        <v>67</v>
      </c>
      <c r="Z22" s="18" t="s">
        <v>90</v>
      </c>
      <c r="AA22" s="16" t="s">
        <v>90</v>
      </c>
      <c r="AB22" s="20" t="s">
        <v>90</v>
      </c>
      <c r="AC22" s="19" t="s">
        <v>67</v>
      </c>
      <c r="AD22" s="20" t="s">
        <v>90</v>
      </c>
      <c r="AE22" s="20" t="s">
        <v>90</v>
      </c>
      <c r="AF22" s="19" t="s">
        <v>608</v>
      </c>
      <c r="AG22"/>
      <c r="AH22"/>
      <c r="AI22"/>
      <c r="AJ22" s="16" t="s">
        <v>513</v>
      </c>
      <c r="AK22"/>
      <c r="AL22" s="16">
        <v>4913</v>
      </c>
      <c r="AM22" s="16" t="s">
        <v>475</v>
      </c>
      <c r="AN22"/>
      <c r="AO22" s="19" t="s">
        <v>897</v>
      </c>
      <c r="AP22" s="19" t="s">
        <v>825</v>
      </c>
      <c r="AQ22" s="19" t="s">
        <v>826</v>
      </c>
      <c r="AR22" s="19" t="s">
        <v>913</v>
      </c>
      <c r="AS22" s="21" t="s">
        <v>914</v>
      </c>
      <c r="AT22" s="21" t="s">
        <v>914</v>
      </c>
      <c r="AU22" s="19" t="s">
        <v>915</v>
      </c>
      <c r="AV22" s="19" t="s">
        <v>916</v>
      </c>
      <c r="AW22" s="19">
        <f>LEN(SUBSTITUTE(AV22, ", "," "))</f>
        <v>59</v>
      </c>
      <c r="AX22" s="21" t="s">
        <v>831</v>
      </c>
      <c r="AY22" s="21" t="s">
        <v>902</v>
      </c>
      <c r="AZ22" s="21" t="s">
        <v>903</v>
      </c>
      <c r="BA22" s="19">
        <v>1.5</v>
      </c>
      <c r="BB22" s="19"/>
      <c r="BC22" s="21" t="s">
        <v>917</v>
      </c>
      <c r="BD22" s="19"/>
      <c r="BE22" s="19"/>
      <c r="BF22" s="19"/>
      <c r="BG22" s="21" t="s">
        <v>835</v>
      </c>
      <c r="BH22" s="19"/>
      <c r="BI22" s="21" t="s">
        <v>905</v>
      </c>
      <c r="BJ22" s="19"/>
      <c r="BK22" s="19"/>
      <c r="BL22" s="21" t="s">
        <v>751</v>
      </c>
      <c r="BM22" s="21" t="s">
        <v>838</v>
      </c>
      <c r="BN22" s="21" t="s">
        <v>753</v>
      </c>
      <c r="BO22" s="19"/>
      <c r="BP22" s="19"/>
      <c r="BQ22" s="19" t="s">
        <v>918</v>
      </c>
      <c r="BR22" s="19"/>
      <c r="BS22" s="19"/>
      <c r="BT22" s="19"/>
      <c r="BU22" s="19"/>
      <c r="BV22" s="19"/>
      <c r="BW22" s="19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1633</v>
      </c>
    </row>
    <row r="23" spans="1:110" ht="12" customHeight="1" x14ac:dyDescent="0.25">
      <c r="A23" s="15" t="s">
        <v>422</v>
      </c>
      <c r="B23" s="16" t="s">
        <v>40</v>
      </c>
      <c r="C23" s="16" t="s">
        <v>494</v>
      </c>
      <c r="D23" t="s">
        <v>198</v>
      </c>
      <c r="E23" s="19" t="s">
        <v>584</v>
      </c>
      <c r="F23" t="s">
        <v>198</v>
      </c>
      <c r="G23" s="19" t="s">
        <v>585</v>
      </c>
      <c r="H23" s="17" t="s">
        <v>84</v>
      </c>
      <c r="I23"/>
      <c r="J23"/>
      <c r="K23"/>
      <c r="L23"/>
      <c r="M23"/>
      <c r="N23"/>
      <c r="O23"/>
      <c r="P23"/>
      <c r="Q23"/>
      <c r="R23"/>
      <c r="S23"/>
      <c r="T23"/>
      <c r="U23">
        <v>29</v>
      </c>
      <c r="V23" s="16">
        <f>V22+1</f>
        <v>22</v>
      </c>
      <c r="W23" s="16" t="s">
        <v>67</v>
      </c>
      <c r="X23" s="16" t="s">
        <v>67</v>
      </c>
      <c r="Y23" s="19" t="s">
        <v>67</v>
      </c>
      <c r="Z23" s="18" t="s">
        <v>362</v>
      </c>
      <c r="AA23" s="16" t="s">
        <v>362</v>
      </c>
      <c r="AB23" s="20" t="s">
        <v>362</v>
      </c>
      <c r="AC23" s="19" t="s">
        <v>67</v>
      </c>
      <c r="AD23" s="20" t="s">
        <v>362</v>
      </c>
      <c r="AE23" s="20" t="s">
        <v>362</v>
      </c>
      <c r="AF23" s="19" t="s">
        <v>609</v>
      </c>
      <c r="AG23"/>
      <c r="AH23"/>
      <c r="AI23"/>
      <c r="AJ23" s="16" t="s">
        <v>273</v>
      </c>
      <c r="AK23"/>
      <c r="AL23" s="16">
        <v>4913</v>
      </c>
      <c r="AM23" s="16" t="s">
        <v>399</v>
      </c>
      <c r="AN23"/>
      <c r="AO23" s="19" t="s">
        <v>887</v>
      </c>
      <c r="AP23" s="19" t="s">
        <v>888</v>
      </c>
      <c r="AQ23" s="19" t="s">
        <v>889</v>
      </c>
      <c r="AR23" s="19" t="s">
        <v>273</v>
      </c>
      <c r="AS23" s="21" t="s">
        <v>919</v>
      </c>
      <c r="AT23" s="21" t="s">
        <v>919</v>
      </c>
      <c r="AU23" s="19" t="s">
        <v>920</v>
      </c>
      <c r="AV23" s="19" t="s">
        <v>920</v>
      </c>
      <c r="AW23" s="19">
        <f>LEN(SUBSTITUTE(AV23, ", "," "))</f>
        <v>31</v>
      </c>
      <c r="AX23" s="21" t="s">
        <v>893</v>
      </c>
      <c r="AY23" s="21" t="s">
        <v>894</v>
      </c>
      <c r="AZ23" s="19"/>
      <c r="BA23" s="19"/>
      <c r="BB23" s="19"/>
      <c r="BC23" s="21" t="s">
        <v>921</v>
      </c>
      <c r="BD23" s="19"/>
      <c r="BE23" s="19"/>
      <c r="BF23" s="19"/>
      <c r="BG23" s="21" t="s">
        <v>835</v>
      </c>
      <c r="BH23" s="19"/>
      <c r="BI23" s="19"/>
      <c r="BJ23" s="19"/>
      <c r="BK23" s="19"/>
      <c r="BL23" s="19"/>
      <c r="BM23" s="21" t="s">
        <v>896</v>
      </c>
      <c r="BN23" s="19"/>
      <c r="BO23" s="19"/>
      <c r="BP23" s="19"/>
      <c r="BQ23" s="19" t="s">
        <v>922</v>
      </c>
      <c r="BR23" s="19"/>
      <c r="BS23" s="19"/>
      <c r="BT23" s="19"/>
      <c r="BU23" s="19"/>
      <c r="BV23" s="19"/>
      <c r="BW23" s="19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1633</v>
      </c>
    </row>
    <row r="24" spans="1:110" ht="12" customHeight="1" x14ac:dyDescent="0.25">
      <c r="A24" s="15" t="s">
        <v>422</v>
      </c>
      <c r="B24" s="16" t="s">
        <v>40</v>
      </c>
      <c r="C24" s="16" t="s">
        <v>494</v>
      </c>
      <c r="D24" t="s">
        <v>198</v>
      </c>
      <c r="E24" s="19" t="s">
        <v>583</v>
      </c>
      <c r="F24" t="s">
        <v>198</v>
      </c>
      <c r="G24" s="19" t="s">
        <v>585</v>
      </c>
      <c r="H24" s="17" t="s">
        <v>84</v>
      </c>
      <c r="I24"/>
      <c r="J24"/>
      <c r="K24"/>
      <c r="L24"/>
      <c r="M24"/>
      <c r="N24"/>
      <c r="O24"/>
      <c r="P24"/>
      <c r="Q24"/>
      <c r="R24"/>
      <c r="S24"/>
      <c r="T24"/>
      <c r="U24">
        <v>30</v>
      </c>
      <c r="V24" s="16">
        <f>V23+1</f>
        <v>23</v>
      </c>
      <c r="W24" s="16" t="s">
        <v>67</v>
      </c>
      <c r="X24" s="16" t="s">
        <v>67</v>
      </c>
      <c r="Y24" s="19" t="s">
        <v>67</v>
      </c>
      <c r="Z24" s="18" t="s">
        <v>503</v>
      </c>
      <c r="AA24" s="16" t="s">
        <v>503</v>
      </c>
      <c r="AB24" s="20" t="s">
        <v>503</v>
      </c>
      <c r="AC24" s="19" t="s">
        <v>67</v>
      </c>
      <c r="AD24" s="20" t="s">
        <v>503</v>
      </c>
      <c r="AE24" s="20" t="s">
        <v>503</v>
      </c>
      <c r="AF24" s="19" t="s">
        <v>610</v>
      </c>
      <c r="AG24"/>
      <c r="AH24"/>
      <c r="AI24"/>
      <c r="AJ24" s="16" t="s">
        <v>30</v>
      </c>
      <c r="AK24"/>
      <c r="AL24" s="16">
        <v>4913</v>
      </c>
      <c r="AM24" s="16" t="s">
        <v>307</v>
      </c>
      <c r="AN24"/>
      <c r="AO24" s="19" t="s">
        <v>824</v>
      </c>
      <c r="AP24" s="19" t="s">
        <v>825</v>
      </c>
      <c r="AQ24" s="19" t="s">
        <v>826</v>
      </c>
      <c r="AR24" s="19" t="s">
        <v>923</v>
      </c>
      <c r="AS24" s="21" t="s">
        <v>924</v>
      </c>
      <c r="AT24" s="21" t="s">
        <v>924</v>
      </c>
      <c r="AU24" s="19" t="s">
        <v>925</v>
      </c>
      <c r="AV24" s="19" t="s">
        <v>926</v>
      </c>
      <c r="AW24" s="19">
        <f>LEN(SUBSTITUTE(AV24, ", "," "))</f>
        <v>59</v>
      </c>
      <c r="AX24" s="21" t="s">
        <v>831</v>
      </c>
      <c r="AY24" s="21" t="s">
        <v>832</v>
      </c>
      <c r="AZ24" s="21" t="s">
        <v>833</v>
      </c>
      <c r="BA24" s="21" t="s">
        <v>927</v>
      </c>
      <c r="BB24" s="19"/>
      <c r="BC24" s="21" t="s">
        <v>928</v>
      </c>
      <c r="BD24" s="19"/>
      <c r="BE24" s="19"/>
      <c r="BF24" s="19"/>
      <c r="BG24" s="21" t="s">
        <v>835</v>
      </c>
      <c r="BH24" s="21" t="s">
        <v>836</v>
      </c>
      <c r="BI24" s="21" t="s">
        <v>837</v>
      </c>
      <c r="BJ24" s="19"/>
      <c r="BK24" s="19"/>
      <c r="BL24" s="21" t="s">
        <v>751</v>
      </c>
      <c r="BM24" s="21" t="s">
        <v>929</v>
      </c>
      <c r="BN24" s="21" t="s">
        <v>753</v>
      </c>
      <c r="BO24" s="19"/>
      <c r="BP24" s="19"/>
      <c r="BQ24" s="19" t="s">
        <v>930</v>
      </c>
      <c r="BR24" s="19"/>
      <c r="BS24" s="19"/>
      <c r="BT24" s="19"/>
      <c r="BU24" s="19"/>
      <c r="BV24" s="19"/>
      <c r="BW24" s="19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1633</v>
      </c>
    </row>
    <row r="25" spans="1:110" ht="12" customHeight="1" x14ac:dyDescent="0.25">
      <c r="A25" s="15" t="s">
        <v>422</v>
      </c>
      <c r="B25" s="16" t="s">
        <v>40</v>
      </c>
      <c r="C25" s="16" t="s">
        <v>494</v>
      </c>
      <c r="D25" t="s">
        <v>198</v>
      </c>
      <c r="E25" s="19" t="s">
        <v>583</v>
      </c>
      <c r="F25" t="s">
        <v>198</v>
      </c>
      <c r="G25" s="19" t="s">
        <v>585</v>
      </c>
      <c r="H25" s="17" t="s">
        <v>84</v>
      </c>
      <c r="I25"/>
      <c r="J25"/>
      <c r="K25"/>
      <c r="L25"/>
      <c r="M25"/>
      <c r="N25"/>
      <c r="O25"/>
      <c r="P25"/>
      <c r="Q25"/>
      <c r="R25"/>
      <c r="S25"/>
      <c r="T25"/>
      <c r="U25">
        <v>31</v>
      </c>
      <c r="V25" s="16">
        <f>V24+1</f>
        <v>24</v>
      </c>
      <c r="W25" s="16" t="s">
        <v>67</v>
      </c>
      <c r="X25" s="16" t="s">
        <v>67</v>
      </c>
      <c r="Y25" s="19" t="s">
        <v>67</v>
      </c>
      <c r="Z25" s="18" t="s">
        <v>511</v>
      </c>
      <c r="AA25" s="16" t="s">
        <v>511</v>
      </c>
      <c r="AB25" s="20" t="s">
        <v>511</v>
      </c>
      <c r="AC25" s="19" t="s">
        <v>67</v>
      </c>
      <c r="AD25" s="20" t="s">
        <v>511</v>
      </c>
      <c r="AE25" s="20" t="s">
        <v>511</v>
      </c>
      <c r="AF25" s="19" t="s">
        <v>611</v>
      </c>
      <c r="AG25"/>
      <c r="AH25"/>
      <c r="AI25"/>
      <c r="AJ25" s="16" t="s">
        <v>478</v>
      </c>
      <c r="AK25"/>
      <c r="AL25" s="16">
        <v>4913</v>
      </c>
      <c r="AM25" s="16" t="s">
        <v>509</v>
      </c>
      <c r="AN25"/>
      <c r="AO25" s="19" t="s">
        <v>824</v>
      </c>
      <c r="AP25" s="19" t="s">
        <v>825</v>
      </c>
      <c r="AQ25" s="19" t="s">
        <v>826</v>
      </c>
      <c r="AR25" s="19" t="s">
        <v>931</v>
      </c>
      <c r="AS25" s="21" t="s">
        <v>932</v>
      </c>
      <c r="AT25" s="21" t="s">
        <v>932</v>
      </c>
      <c r="AU25" s="19" t="s">
        <v>933</v>
      </c>
      <c r="AV25" s="19" t="s">
        <v>934</v>
      </c>
      <c r="AW25" s="19">
        <f>LEN(SUBSTITUTE(AV25, ", "," "))</f>
        <v>60</v>
      </c>
      <c r="AX25" s="21" t="s">
        <v>831</v>
      </c>
      <c r="AY25" s="21" t="s">
        <v>832</v>
      </c>
      <c r="AZ25" s="21" t="s">
        <v>833</v>
      </c>
      <c r="BA25" s="21" t="s">
        <v>935</v>
      </c>
      <c r="BB25" s="19"/>
      <c r="BC25" s="21" t="s">
        <v>928</v>
      </c>
      <c r="BD25" s="19"/>
      <c r="BE25" s="19"/>
      <c r="BF25" s="19"/>
      <c r="BG25" s="21" t="s">
        <v>835</v>
      </c>
      <c r="BH25" s="21" t="s">
        <v>836</v>
      </c>
      <c r="BI25" s="21" t="s">
        <v>837</v>
      </c>
      <c r="BJ25" s="19"/>
      <c r="BK25" s="19"/>
      <c r="BL25" s="21" t="s">
        <v>751</v>
      </c>
      <c r="BM25" s="21" t="s">
        <v>929</v>
      </c>
      <c r="BN25" s="21" t="s">
        <v>753</v>
      </c>
      <c r="BO25" s="19"/>
      <c r="BP25" s="19"/>
      <c r="BQ25" s="19" t="s">
        <v>936</v>
      </c>
      <c r="BR25" s="19"/>
      <c r="BS25" s="19"/>
      <c r="BT25" s="19"/>
      <c r="BU25" s="19"/>
      <c r="BV25" s="19"/>
      <c r="BW25" s="19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1633</v>
      </c>
    </row>
    <row r="26" spans="1:110" ht="12" customHeight="1" x14ac:dyDescent="0.25">
      <c r="A26" s="15" t="s">
        <v>422</v>
      </c>
      <c r="B26" s="16" t="s">
        <v>40</v>
      </c>
      <c r="C26" s="16" t="s">
        <v>494</v>
      </c>
      <c r="D26" t="s">
        <v>198</v>
      </c>
      <c r="E26" s="19" t="s">
        <v>583</v>
      </c>
      <c r="F26" t="s">
        <v>198</v>
      </c>
      <c r="G26" s="19" t="s">
        <v>585</v>
      </c>
      <c r="H26" s="17" t="s">
        <v>84</v>
      </c>
      <c r="I26"/>
      <c r="J26"/>
      <c r="K26"/>
      <c r="L26"/>
      <c r="M26"/>
      <c r="N26"/>
      <c r="O26"/>
      <c r="P26"/>
      <c r="Q26"/>
      <c r="R26"/>
      <c r="S26"/>
      <c r="T26"/>
      <c r="U26">
        <v>32</v>
      </c>
      <c r="V26" s="16">
        <f>V25+1</f>
        <v>25</v>
      </c>
      <c r="W26" s="16" t="s">
        <v>67</v>
      </c>
      <c r="X26" s="16" t="s">
        <v>67</v>
      </c>
      <c r="Y26" s="19" t="s">
        <v>67</v>
      </c>
      <c r="Z26" s="18" t="s">
        <v>457</v>
      </c>
      <c r="AA26" s="16" t="s">
        <v>457</v>
      </c>
      <c r="AB26" s="20" t="s">
        <v>457</v>
      </c>
      <c r="AC26" s="19" t="s">
        <v>67</v>
      </c>
      <c r="AD26" s="20" t="s">
        <v>457</v>
      </c>
      <c r="AE26" s="20" t="s">
        <v>457</v>
      </c>
      <c r="AF26" s="19" t="s">
        <v>612</v>
      </c>
      <c r="AG26"/>
      <c r="AH26"/>
      <c r="AI26"/>
      <c r="AJ26" s="16" t="s">
        <v>143</v>
      </c>
      <c r="AK26"/>
      <c r="AL26" s="16">
        <v>4913</v>
      </c>
      <c r="AM26" s="16" t="s">
        <v>252</v>
      </c>
      <c r="AN26"/>
      <c r="AO26" s="19" t="s">
        <v>824</v>
      </c>
      <c r="AP26" s="19" t="s">
        <v>825</v>
      </c>
      <c r="AQ26" s="19" t="s">
        <v>826</v>
      </c>
      <c r="AR26" s="19" t="s">
        <v>937</v>
      </c>
      <c r="AS26" s="21" t="s">
        <v>938</v>
      </c>
      <c r="AT26" s="21" t="s">
        <v>938</v>
      </c>
      <c r="AU26" s="19" t="s">
        <v>939</v>
      </c>
      <c r="AV26" s="19" t="s">
        <v>940</v>
      </c>
      <c r="AW26" s="19">
        <f>LEN(SUBSTITUTE(AV26, ", "," "))</f>
        <v>59</v>
      </c>
      <c r="AX26" s="21" t="s">
        <v>831</v>
      </c>
      <c r="AY26" s="21" t="s">
        <v>832</v>
      </c>
      <c r="AZ26" s="21" t="s">
        <v>833</v>
      </c>
      <c r="BA26" s="21" t="s">
        <v>927</v>
      </c>
      <c r="BB26" s="19"/>
      <c r="BC26" s="21" t="s">
        <v>941</v>
      </c>
      <c r="BD26" s="19"/>
      <c r="BE26" s="19"/>
      <c r="BF26" s="19"/>
      <c r="BG26" s="21" t="s">
        <v>835</v>
      </c>
      <c r="BH26" s="21" t="s">
        <v>836</v>
      </c>
      <c r="BI26" s="21" t="s">
        <v>837</v>
      </c>
      <c r="BJ26" s="19"/>
      <c r="BK26" s="19"/>
      <c r="BL26" s="21" t="s">
        <v>751</v>
      </c>
      <c r="BM26" s="21" t="s">
        <v>929</v>
      </c>
      <c r="BN26" s="21" t="s">
        <v>753</v>
      </c>
      <c r="BO26" s="19"/>
      <c r="BP26" s="19"/>
      <c r="BQ26" s="19" t="s">
        <v>942</v>
      </c>
      <c r="BR26" s="19"/>
      <c r="BS26" s="19"/>
      <c r="BT26" s="19"/>
      <c r="BU26" s="19"/>
      <c r="BV26" s="19"/>
      <c r="BW26" s="19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1633</v>
      </c>
    </row>
    <row r="27" spans="1:110" ht="12" customHeight="1" x14ac:dyDescent="0.25">
      <c r="A27" s="15" t="s">
        <v>422</v>
      </c>
      <c r="B27" s="16" t="s">
        <v>40</v>
      </c>
      <c r="C27" s="16" t="s">
        <v>494</v>
      </c>
      <c r="D27" t="s">
        <v>198</v>
      </c>
      <c r="E27" s="19" t="s">
        <v>583</v>
      </c>
      <c r="F27" t="s">
        <v>198</v>
      </c>
      <c r="G27" s="19" t="s">
        <v>585</v>
      </c>
      <c r="H27" s="17" t="s">
        <v>84</v>
      </c>
      <c r="I27"/>
      <c r="J27"/>
      <c r="K27"/>
      <c r="L27"/>
      <c r="M27"/>
      <c r="N27"/>
      <c r="O27"/>
      <c r="P27"/>
      <c r="Q27"/>
      <c r="R27"/>
      <c r="S27"/>
      <c r="T27"/>
      <c r="U27">
        <v>33</v>
      </c>
      <c r="V27" s="16">
        <f>V26+1</f>
        <v>26</v>
      </c>
      <c r="W27" s="16" t="s">
        <v>67</v>
      </c>
      <c r="X27" s="16" t="s">
        <v>67</v>
      </c>
      <c r="Y27" s="19" t="s">
        <v>67</v>
      </c>
      <c r="Z27" s="18" t="s">
        <v>465</v>
      </c>
      <c r="AA27" s="16" t="s">
        <v>465</v>
      </c>
      <c r="AB27" s="20" t="s">
        <v>465</v>
      </c>
      <c r="AC27" s="19" t="s">
        <v>67</v>
      </c>
      <c r="AD27" s="20" t="s">
        <v>465</v>
      </c>
      <c r="AE27" s="20" t="s">
        <v>465</v>
      </c>
      <c r="AF27" s="19" t="s">
        <v>613</v>
      </c>
      <c r="AG27"/>
      <c r="AH27"/>
      <c r="AI27"/>
      <c r="AJ27" s="16" t="s">
        <v>17</v>
      </c>
      <c r="AK27"/>
      <c r="AL27" s="16">
        <v>4913</v>
      </c>
      <c r="AM27" s="16" t="s">
        <v>36</v>
      </c>
      <c r="AN27"/>
      <c r="AO27" s="19" t="s">
        <v>824</v>
      </c>
      <c r="AP27" s="19" t="s">
        <v>825</v>
      </c>
      <c r="AQ27" s="19" t="s">
        <v>826</v>
      </c>
      <c r="AR27" s="19" t="s">
        <v>943</v>
      </c>
      <c r="AS27" s="21" t="s">
        <v>944</v>
      </c>
      <c r="AT27" s="21" t="s">
        <v>944</v>
      </c>
      <c r="AU27" s="19" t="s">
        <v>945</v>
      </c>
      <c r="AV27" s="19" t="s">
        <v>946</v>
      </c>
      <c r="AW27" s="19">
        <f>LEN(SUBSTITUTE(AV27, ", "," "))</f>
        <v>60</v>
      </c>
      <c r="AX27" s="21" t="s">
        <v>831</v>
      </c>
      <c r="AY27" s="21" t="s">
        <v>832</v>
      </c>
      <c r="AZ27" s="21" t="s">
        <v>833</v>
      </c>
      <c r="BA27" s="21" t="s">
        <v>935</v>
      </c>
      <c r="BB27" s="19"/>
      <c r="BC27" s="21" t="s">
        <v>941</v>
      </c>
      <c r="BD27" s="19"/>
      <c r="BE27" s="19"/>
      <c r="BF27" s="19"/>
      <c r="BG27" s="21" t="s">
        <v>835</v>
      </c>
      <c r="BH27" s="21" t="s">
        <v>836</v>
      </c>
      <c r="BI27" s="21" t="s">
        <v>837</v>
      </c>
      <c r="BJ27" s="19"/>
      <c r="BK27" s="19"/>
      <c r="BL27" s="21" t="s">
        <v>751</v>
      </c>
      <c r="BM27" s="21" t="s">
        <v>929</v>
      </c>
      <c r="BN27" s="21" t="s">
        <v>753</v>
      </c>
      <c r="BO27" s="19"/>
      <c r="BP27" s="19"/>
      <c r="BQ27" s="19" t="s">
        <v>947</v>
      </c>
      <c r="BR27" s="19"/>
      <c r="BS27" s="19"/>
      <c r="BT27" s="19"/>
      <c r="BU27" s="19"/>
      <c r="BV27" s="19"/>
      <c r="BW27" s="19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1633</v>
      </c>
    </row>
    <row r="28" spans="1:110" ht="12" customHeight="1" x14ac:dyDescent="0.25">
      <c r="A28" s="15" t="s">
        <v>422</v>
      </c>
      <c r="B28" s="16" t="s">
        <v>40</v>
      </c>
      <c r="C28" s="16" t="s">
        <v>494</v>
      </c>
      <c r="D28" t="s">
        <v>198</v>
      </c>
      <c r="E28" s="19" t="s">
        <v>583</v>
      </c>
      <c r="F28" t="s">
        <v>198</v>
      </c>
      <c r="G28" s="19" t="s">
        <v>585</v>
      </c>
      <c r="H28" s="17" t="s">
        <v>84</v>
      </c>
      <c r="I28"/>
      <c r="J28"/>
      <c r="K28"/>
      <c r="L28"/>
      <c r="M28"/>
      <c r="N28"/>
      <c r="O28"/>
      <c r="P28"/>
      <c r="Q28"/>
      <c r="R28"/>
      <c r="S28"/>
      <c r="T28"/>
      <c r="U28">
        <v>34</v>
      </c>
      <c r="V28" s="16">
        <f>V27+1</f>
        <v>27</v>
      </c>
      <c r="W28" s="16" t="s">
        <v>67</v>
      </c>
      <c r="X28" s="16" t="s">
        <v>67</v>
      </c>
      <c r="Y28" s="19" t="s">
        <v>67</v>
      </c>
      <c r="Z28" s="18" t="s">
        <v>3</v>
      </c>
      <c r="AA28" s="16" t="s">
        <v>3</v>
      </c>
      <c r="AB28" s="20" t="s">
        <v>3</v>
      </c>
      <c r="AC28" s="19" t="s">
        <v>67</v>
      </c>
      <c r="AD28" s="20" t="s">
        <v>3</v>
      </c>
      <c r="AE28" s="20" t="s">
        <v>3</v>
      </c>
      <c r="AF28" s="19" t="s">
        <v>614</v>
      </c>
      <c r="AG28"/>
      <c r="AH28"/>
      <c r="AI28"/>
      <c r="AJ28" s="16" t="s">
        <v>575</v>
      </c>
      <c r="AK28"/>
      <c r="AL28" s="16">
        <v>4913</v>
      </c>
      <c r="AM28" s="16" t="s">
        <v>557</v>
      </c>
      <c r="AN28"/>
      <c r="AO28" s="19" t="s">
        <v>824</v>
      </c>
      <c r="AP28" s="19" t="s">
        <v>825</v>
      </c>
      <c r="AQ28" s="19" t="s">
        <v>826</v>
      </c>
      <c r="AR28" s="19" t="s">
        <v>948</v>
      </c>
      <c r="AS28" s="21" t="s">
        <v>949</v>
      </c>
      <c r="AT28" s="21" t="s">
        <v>949</v>
      </c>
      <c r="AU28" s="19" t="s">
        <v>950</v>
      </c>
      <c r="AV28" s="19" t="s">
        <v>951</v>
      </c>
      <c r="AW28" s="19">
        <f>LEN(SUBSTITUTE(AV28, ", "," "))</f>
        <v>59</v>
      </c>
      <c r="AX28" s="21" t="s">
        <v>831</v>
      </c>
      <c r="AY28" s="21" t="s">
        <v>832</v>
      </c>
      <c r="AZ28" s="21" t="s">
        <v>833</v>
      </c>
      <c r="BA28" s="21" t="s">
        <v>927</v>
      </c>
      <c r="BB28" s="19"/>
      <c r="BC28" s="21" t="s">
        <v>952</v>
      </c>
      <c r="BD28" s="19"/>
      <c r="BE28" s="19"/>
      <c r="BF28" s="19"/>
      <c r="BG28" s="21" t="s">
        <v>835</v>
      </c>
      <c r="BH28" s="21" t="s">
        <v>836</v>
      </c>
      <c r="BI28" s="21" t="s">
        <v>837</v>
      </c>
      <c r="BJ28" s="19"/>
      <c r="BK28" s="19"/>
      <c r="BL28" s="21" t="s">
        <v>751</v>
      </c>
      <c r="BM28" s="21" t="s">
        <v>929</v>
      </c>
      <c r="BN28" s="21" t="s">
        <v>753</v>
      </c>
      <c r="BO28" s="19"/>
      <c r="BP28" s="19"/>
      <c r="BQ28" s="19" t="s">
        <v>953</v>
      </c>
      <c r="BR28" s="19"/>
      <c r="BS28" s="19"/>
      <c r="BT28" s="19"/>
      <c r="BU28" s="19"/>
      <c r="BV28" s="19"/>
      <c r="BW28" s="19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1633</v>
      </c>
    </row>
    <row r="29" spans="1:110" ht="12" customHeight="1" x14ac:dyDescent="0.25">
      <c r="A29" s="15" t="s">
        <v>422</v>
      </c>
      <c r="B29" s="16" t="s">
        <v>40</v>
      </c>
      <c r="C29" s="16" t="s">
        <v>494</v>
      </c>
      <c r="D29" t="s">
        <v>198</v>
      </c>
      <c r="E29" s="19" t="s">
        <v>583</v>
      </c>
      <c r="F29" t="s">
        <v>198</v>
      </c>
      <c r="G29" s="19" t="s">
        <v>585</v>
      </c>
      <c r="H29" s="17" t="s">
        <v>84</v>
      </c>
      <c r="I29"/>
      <c r="J29"/>
      <c r="K29"/>
      <c r="L29"/>
      <c r="M29"/>
      <c r="N29"/>
      <c r="O29"/>
      <c r="P29"/>
      <c r="Q29"/>
      <c r="R29"/>
      <c r="S29"/>
      <c r="T29"/>
      <c r="U29">
        <v>35</v>
      </c>
      <c r="V29" s="16">
        <f>V28+1</f>
        <v>28</v>
      </c>
      <c r="W29" s="16" t="s">
        <v>67</v>
      </c>
      <c r="X29" s="16" t="s">
        <v>67</v>
      </c>
      <c r="Y29" s="19" t="s">
        <v>67</v>
      </c>
      <c r="Z29" s="18" t="s">
        <v>16</v>
      </c>
      <c r="AA29" s="16" t="s">
        <v>16</v>
      </c>
      <c r="AB29" s="20" t="s">
        <v>16</v>
      </c>
      <c r="AC29" s="19" t="s">
        <v>67</v>
      </c>
      <c r="AD29" s="20" t="s">
        <v>16</v>
      </c>
      <c r="AE29" s="20" t="s">
        <v>16</v>
      </c>
      <c r="AF29" s="19" t="s">
        <v>615</v>
      </c>
      <c r="AG29"/>
      <c r="AH29"/>
      <c r="AI29"/>
      <c r="AJ29" s="16" t="s">
        <v>449</v>
      </c>
      <c r="AK29"/>
      <c r="AL29" s="16">
        <v>4913</v>
      </c>
      <c r="AM29" s="16" t="s">
        <v>538</v>
      </c>
      <c r="AN29"/>
      <c r="AO29" s="19" t="s">
        <v>824</v>
      </c>
      <c r="AP29" s="19" t="s">
        <v>825</v>
      </c>
      <c r="AQ29" s="19" t="s">
        <v>826</v>
      </c>
      <c r="AR29" s="19" t="s">
        <v>954</v>
      </c>
      <c r="AS29" s="21" t="s">
        <v>955</v>
      </c>
      <c r="AT29" s="21" t="s">
        <v>955</v>
      </c>
      <c r="AU29" s="19" t="s">
        <v>956</v>
      </c>
      <c r="AV29" s="19" t="s">
        <v>957</v>
      </c>
      <c r="AW29" s="19">
        <f>LEN(SUBSTITUTE(AV29, ", "," "))</f>
        <v>60</v>
      </c>
      <c r="AX29" s="21" t="s">
        <v>831</v>
      </c>
      <c r="AY29" s="21" t="s">
        <v>832</v>
      </c>
      <c r="AZ29" s="21" t="s">
        <v>833</v>
      </c>
      <c r="BA29" s="21" t="s">
        <v>935</v>
      </c>
      <c r="BB29" s="19"/>
      <c r="BC29" s="21" t="s">
        <v>952</v>
      </c>
      <c r="BD29" s="19"/>
      <c r="BE29" s="19"/>
      <c r="BF29" s="19"/>
      <c r="BG29" s="21" t="s">
        <v>835</v>
      </c>
      <c r="BH29" s="21" t="s">
        <v>836</v>
      </c>
      <c r="BI29" s="21" t="s">
        <v>837</v>
      </c>
      <c r="BJ29" s="19"/>
      <c r="BK29" s="19"/>
      <c r="BL29" s="21" t="s">
        <v>751</v>
      </c>
      <c r="BM29" s="21" t="s">
        <v>929</v>
      </c>
      <c r="BN29" s="21" t="s">
        <v>753</v>
      </c>
      <c r="BO29" s="19"/>
      <c r="BP29" s="19"/>
      <c r="BQ29" s="19" t="s">
        <v>958</v>
      </c>
      <c r="BR29" s="19"/>
      <c r="BS29" s="19"/>
      <c r="BT29" s="19"/>
      <c r="BU29" s="19"/>
      <c r="BV29" s="19"/>
      <c r="BW29" s="1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1633</v>
      </c>
    </row>
    <row r="30" spans="1:110" ht="12" customHeight="1" x14ac:dyDescent="0.25">
      <c r="A30" s="15" t="s">
        <v>422</v>
      </c>
      <c r="B30" s="16" t="s">
        <v>40</v>
      </c>
      <c r="C30" s="16" t="s">
        <v>494</v>
      </c>
      <c r="D30" t="s">
        <v>198</v>
      </c>
      <c r="E30" s="19" t="s">
        <v>583</v>
      </c>
      <c r="F30" t="s">
        <v>198</v>
      </c>
      <c r="G30" s="19" t="s">
        <v>585</v>
      </c>
      <c r="H30" s="17" t="s">
        <v>84</v>
      </c>
      <c r="I30"/>
      <c r="J30"/>
      <c r="K30"/>
      <c r="L30"/>
      <c r="M30"/>
      <c r="N30"/>
      <c r="O30"/>
      <c r="P30"/>
      <c r="Q30"/>
      <c r="R30"/>
      <c r="S30"/>
      <c r="T30"/>
      <c r="U30">
        <v>36</v>
      </c>
      <c r="V30" s="16">
        <f>V29+1</f>
        <v>29</v>
      </c>
      <c r="W30" s="16" t="s">
        <v>67</v>
      </c>
      <c r="X30" s="16" t="s">
        <v>67</v>
      </c>
      <c r="Y30" s="19" t="s">
        <v>67</v>
      </c>
      <c r="Z30" s="18" t="s">
        <v>567</v>
      </c>
      <c r="AA30" s="16" t="s">
        <v>567</v>
      </c>
      <c r="AB30" s="20" t="s">
        <v>567</v>
      </c>
      <c r="AC30" s="19" t="s">
        <v>67</v>
      </c>
      <c r="AD30" s="20" t="s">
        <v>567</v>
      </c>
      <c r="AE30" s="20" t="s">
        <v>567</v>
      </c>
      <c r="AF30" s="19" t="s">
        <v>616</v>
      </c>
      <c r="AG30"/>
      <c r="AH30"/>
      <c r="AI30"/>
      <c r="AJ30" s="16" t="s">
        <v>388</v>
      </c>
      <c r="AK30"/>
      <c r="AL30" s="16">
        <v>4913</v>
      </c>
      <c r="AM30" s="16" t="s">
        <v>389</v>
      </c>
      <c r="AN30"/>
      <c r="AO30" s="19" t="s">
        <v>824</v>
      </c>
      <c r="AP30" s="19" t="s">
        <v>825</v>
      </c>
      <c r="AQ30" s="19" t="s">
        <v>826</v>
      </c>
      <c r="AR30" s="19" t="s">
        <v>959</v>
      </c>
      <c r="AS30" s="21" t="s">
        <v>960</v>
      </c>
      <c r="AT30" s="21" t="s">
        <v>960</v>
      </c>
      <c r="AU30" s="19" t="s">
        <v>961</v>
      </c>
      <c r="AV30" s="19" t="s">
        <v>962</v>
      </c>
      <c r="AW30" s="19">
        <f>LEN(SUBSTITUTE(AV30, ", "," "))</f>
        <v>59</v>
      </c>
      <c r="AX30" s="21" t="s">
        <v>831</v>
      </c>
      <c r="AY30" s="21" t="s">
        <v>832</v>
      </c>
      <c r="AZ30" s="21" t="s">
        <v>833</v>
      </c>
      <c r="BA30" s="21" t="s">
        <v>927</v>
      </c>
      <c r="BB30" s="19"/>
      <c r="BC30" s="21" t="s">
        <v>963</v>
      </c>
      <c r="BD30" s="19"/>
      <c r="BE30" s="19"/>
      <c r="BF30" s="19"/>
      <c r="BG30" s="21" t="s">
        <v>835</v>
      </c>
      <c r="BH30" s="21" t="s">
        <v>836</v>
      </c>
      <c r="BI30" s="21" t="s">
        <v>837</v>
      </c>
      <c r="BJ30" s="19"/>
      <c r="BK30" s="19"/>
      <c r="BL30" s="21" t="s">
        <v>751</v>
      </c>
      <c r="BM30" s="21" t="s">
        <v>929</v>
      </c>
      <c r="BN30" s="21" t="s">
        <v>753</v>
      </c>
      <c r="BO30" s="19"/>
      <c r="BP30" s="19"/>
      <c r="BQ30" s="19" t="s">
        <v>964</v>
      </c>
      <c r="BR30" s="19"/>
      <c r="BS30" s="19"/>
      <c r="BT30" s="19"/>
      <c r="BU30" s="19"/>
      <c r="BV30" s="19"/>
      <c r="BW30" s="19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1633</v>
      </c>
    </row>
    <row r="31" spans="1:110" ht="12" customHeight="1" x14ac:dyDescent="0.25">
      <c r="A31" s="15" t="s">
        <v>422</v>
      </c>
      <c r="B31" s="16" t="s">
        <v>40</v>
      </c>
      <c r="C31" s="16" t="s">
        <v>494</v>
      </c>
      <c r="D31" t="s">
        <v>198</v>
      </c>
      <c r="E31" s="19" t="s">
        <v>583</v>
      </c>
      <c r="F31" t="s">
        <v>198</v>
      </c>
      <c r="G31" s="19" t="s">
        <v>585</v>
      </c>
      <c r="H31" s="17" t="s">
        <v>84</v>
      </c>
      <c r="I31"/>
      <c r="J31"/>
      <c r="K31"/>
      <c r="L31"/>
      <c r="M31"/>
      <c r="N31"/>
      <c r="O31"/>
      <c r="P31"/>
      <c r="Q31"/>
      <c r="R31"/>
      <c r="S31"/>
      <c r="T31"/>
      <c r="U31">
        <v>37</v>
      </c>
      <c r="V31" s="16">
        <f>V30+1</f>
        <v>30</v>
      </c>
      <c r="W31" s="16" t="s">
        <v>67</v>
      </c>
      <c r="X31" s="16" t="s">
        <v>67</v>
      </c>
      <c r="Y31" s="19" t="s">
        <v>67</v>
      </c>
      <c r="Z31" s="18" t="s">
        <v>577</v>
      </c>
      <c r="AA31" s="16" t="s">
        <v>577</v>
      </c>
      <c r="AB31" s="20" t="s">
        <v>577</v>
      </c>
      <c r="AC31" s="19" t="s">
        <v>67</v>
      </c>
      <c r="AD31" s="20" t="s">
        <v>577</v>
      </c>
      <c r="AE31" s="20" t="s">
        <v>577</v>
      </c>
      <c r="AF31" s="19" t="s">
        <v>617</v>
      </c>
      <c r="AG31"/>
      <c r="AH31"/>
      <c r="AI31"/>
      <c r="AJ31" s="16" t="s">
        <v>578</v>
      </c>
      <c r="AK31"/>
      <c r="AL31" s="16">
        <v>4913</v>
      </c>
      <c r="AM31" s="16" t="s">
        <v>134</v>
      </c>
      <c r="AN31"/>
      <c r="AO31" s="19" t="s">
        <v>824</v>
      </c>
      <c r="AP31" s="19" t="s">
        <v>825</v>
      </c>
      <c r="AQ31" s="19" t="s">
        <v>826</v>
      </c>
      <c r="AR31" s="19" t="s">
        <v>965</v>
      </c>
      <c r="AS31" s="21" t="s">
        <v>966</v>
      </c>
      <c r="AT31" s="21" t="s">
        <v>966</v>
      </c>
      <c r="AU31" s="19" t="s">
        <v>967</v>
      </c>
      <c r="AV31" s="19" t="s">
        <v>968</v>
      </c>
      <c r="AW31" s="19">
        <f>LEN(SUBSTITUTE(AV31, ", "," "))</f>
        <v>60</v>
      </c>
      <c r="AX31" s="21" t="s">
        <v>831</v>
      </c>
      <c r="AY31" s="21" t="s">
        <v>832</v>
      </c>
      <c r="AZ31" s="21" t="s">
        <v>833</v>
      </c>
      <c r="BA31" s="21" t="s">
        <v>935</v>
      </c>
      <c r="BB31" s="19"/>
      <c r="BC31" s="21" t="s">
        <v>963</v>
      </c>
      <c r="BD31" s="19"/>
      <c r="BE31" s="19"/>
      <c r="BF31" s="19"/>
      <c r="BG31" s="21" t="s">
        <v>835</v>
      </c>
      <c r="BH31" s="21" t="s">
        <v>836</v>
      </c>
      <c r="BI31" s="21" t="s">
        <v>837</v>
      </c>
      <c r="BJ31" s="19"/>
      <c r="BK31" s="19"/>
      <c r="BL31" s="21" t="s">
        <v>751</v>
      </c>
      <c r="BM31" s="21" t="s">
        <v>929</v>
      </c>
      <c r="BN31" s="21" t="s">
        <v>753</v>
      </c>
      <c r="BO31" s="19"/>
      <c r="BP31" s="19"/>
      <c r="BQ31" s="19" t="s">
        <v>969</v>
      </c>
      <c r="BR31" s="19"/>
      <c r="BS31" s="19"/>
      <c r="BT31" s="19"/>
      <c r="BU31" s="19"/>
      <c r="BV31" s="19"/>
      <c r="BW31" s="19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1633</v>
      </c>
    </row>
    <row r="32" spans="1:110" ht="12" customHeight="1" x14ac:dyDescent="0.25">
      <c r="A32" s="15" t="s">
        <v>422</v>
      </c>
      <c r="B32" s="16" t="s">
        <v>40</v>
      </c>
      <c r="C32" s="16" t="s">
        <v>494</v>
      </c>
      <c r="D32" t="s">
        <v>198</v>
      </c>
      <c r="E32" s="19" t="s">
        <v>583</v>
      </c>
      <c r="F32" t="s">
        <v>198</v>
      </c>
      <c r="G32" s="19" t="s">
        <v>585</v>
      </c>
      <c r="H32" s="17" t="s">
        <v>84</v>
      </c>
      <c r="I32"/>
      <c r="J32"/>
      <c r="K32"/>
      <c r="L32"/>
      <c r="M32"/>
      <c r="N32"/>
      <c r="O32"/>
      <c r="P32"/>
      <c r="Q32"/>
      <c r="R32"/>
      <c r="S32"/>
      <c r="T32"/>
      <c r="U32">
        <v>38</v>
      </c>
      <c r="V32" s="16">
        <f>V31+1</f>
        <v>31</v>
      </c>
      <c r="W32" s="16" t="s">
        <v>67</v>
      </c>
      <c r="X32" s="16" t="s">
        <v>67</v>
      </c>
      <c r="Y32" s="19" t="s">
        <v>67</v>
      </c>
      <c r="Z32" s="18" t="s">
        <v>280</v>
      </c>
      <c r="AA32" s="16" t="s">
        <v>280</v>
      </c>
      <c r="AB32" s="20" t="s">
        <v>280</v>
      </c>
      <c r="AC32" s="19" t="s">
        <v>67</v>
      </c>
      <c r="AD32" s="20" t="s">
        <v>280</v>
      </c>
      <c r="AE32" s="20" t="s">
        <v>280</v>
      </c>
      <c r="AF32" s="19" t="s">
        <v>618</v>
      </c>
      <c r="AG32"/>
      <c r="AH32"/>
      <c r="AI32"/>
      <c r="AJ32" s="16" t="s">
        <v>387</v>
      </c>
      <c r="AK32"/>
      <c r="AL32" s="16">
        <v>4913</v>
      </c>
      <c r="AM32" s="16" t="s">
        <v>476</v>
      </c>
      <c r="AN32"/>
      <c r="AO32" s="19" t="s">
        <v>824</v>
      </c>
      <c r="AP32" s="19" t="s">
        <v>825</v>
      </c>
      <c r="AQ32" s="19" t="s">
        <v>826</v>
      </c>
      <c r="AR32" s="19" t="s">
        <v>970</v>
      </c>
      <c r="AS32" s="21" t="s">
        <v>971</v>
      </c>
      <c r="AT32" s="21" t="s">
        <v>971</v>
      </c>
      <c r="AU32" s="19" t="s">
        <v>972</v>
      </c>
      <c r="AV32" s="19" t="s">
        <v>973</v>
      </c>
      <c r="AW32" s="19">
        <f>LEN(SUBSTITUTE(AV32, ", "," "))</f>
        <v>59</v>
      </c>
      <c r="AX32" s="21" t="s">
        <v>831</v>
      </c>
      <c r="AY32" s="21" t="s">
        <v>832</v>
      </c>
      <c r="AZ32" s="21" t="s">
        <v>833</v>
      </c>
      <c r="BA32" s="21" t="s">
        <v>927</v>
      </c>
      <c r="BB32" s="19"/>
      <c r="BC32" s="21" t="s">
        <v>974</v>
      </c>
      <c r="BD32" s="19"/>
      <c r="BE32" s="19"/>
      <c r="BF32" s="19"/>
      <c r="BG32" s="21" t="s">
        <v>835</v>
      </c>
      <c r="BH32" s="21" t="s">
        <v>836</v>
      </c>
      <c r="BI32" s="21" t="s">
        <v>837</v>
      </c>
      <c r="BJ32" s="19"/>
      <c r="BK32" s="19"/>
      <c r="BL32" s="21" t="s">
        <v>751</v>
      </c>
      <c r="BM32" s="21" t="s">
        <v>929</v>
      </c>
      <c r="BN32" s="21" t="s">
        <v>753</v>
      </c>
      <c r="BO32" s="19"/>
      <c r="BP32" s="19"/>
      <c r="BQ32" s="19" t="s">
        <v>975</v>
      </c>
      <c r="BR32" s="19"/>
      <c r="BS32" s="19"/>
      <c r="BT32" s="19"/>
      <c r="BU32" s="19"/>
      <c r="BV32" s="19"/>
      <c r="BW32" s="19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1633</v>
      </c>
    </row>
    <row r="33" spans="1:110" ht="12" customHeight="1" x14ac:dyDescent="0.25">
      <c r="A33" s="15" t="s">
        <v>422</v>
      </c>
      <c r="B33" s="16" t="s">
        <v>40</v>
      </c>
      <c r="C33" s="16" t="s">
        <v>494</v>
      </c>
      <c r="D33" t="s">
        <v>198</v>
      </c>
      <c r="E33" s="19" t="s">
        <v>583</v>
      </c>
      <c r="F33" t="s">
        <v>198</v>
      </c>
      <c r="G33" s="19" t="s">
        <v>585</v>
      </c>
      <c r="H33" s="17" t="s">
        <v>84</v>
      </c>
      <c r="I33"/>
      <c r="J33"/>
      <c r="K33"/>
      <c r="L33"/>
      <c r="M33"/>
      <c r="N33"/>
      <c r="O33"/>
      <c r="P33"/>
      <c r="Q33"/>
      <c r="R33"/>
      <c r="S33"/>
      <c r="T33"/>
      <c r="U33">
        <v>39</v>
      </c>
      <c r="V33" s="16">
        <f>V32+1</f>
        <v>32</v>
      </c>
      <c r="W33" s="16" t="s">
        <v>67</v>
      </c>
      <c r="X33" s="16" t="s">
        <v>67</v>
      </c>
      <c r="Y33" s="19" t="s">
        <v>67</v>
      </c>
      <c r="Z33" s="18" t="s">
        <v>530</v>
      </c>
      <c r="AA33" s="16" t="s">
        <v>530</v>
      </c>
      <c r="AB33" s="20" t="s">
        <v>530</v>
      </c>
      <c r="AC33" s="19" t="s">
        <v>67</v>
      </c>
      <c r="AD33" s="20" t="s">
        <v>530</v>
      </c>
      <c r="AE33" s="20" t="s">
        <v>530</v>
      </c>
      <c r="AF33" s="19" t="s">
        <v>619</v>
      </c>
      <c r="AG33"/>
      <c r="AH33"/>
      <c r="AI33"/>
      <c r="AJ33" s="16" t="s">
        <v>138</v>
      </c>
      <c r="AK33"/>
      <c r="AL33" s="16">
        <v>4913</v>
      </c>
      <c r="AM33" s="16" t="s">
        <v>400</v>
      </c>
      <c r="AN33"/>
      <c r="AO33" s="19" t="s">
        <v>824</v>
      </c>
      <c r="AP33" s="19" t="s">
        <v>825</v>
      </c>
      <c r="AQ33" s="19" t="s">
        <v>826</v>
      </c>
      <c r="AR33" s="19" t="s">
        <v>976</v>
      </c>
      <c r="AS33" s="21" t="s">
        <v>977</v>
      </c>
      <c r="AT33" s="21" t="s">
        <v>977</v>
      </c>
      <c r="AU33" s="19" t="s">
        <v>978</v>
      </c>
      <c r="AV33" s="19" t="s">
        <v>979</v>
      </c>
      <c r="AW33" s="19">
        <f>LEN(SUBSTITUTE(AV33, ", "," "))</f>
        <v>60</v>
      </c>
      <c r="AX33" s="21" t="s">
        <v>831</v>
      </c>
      <c r="AY33" s="21" t="s">
        <v>832</v>
      </c>
      <c r="AZ33" s="21" t="s">
        <v>833</v>
      </c>
      <c r="BA33" s="21" t="s">
        <v>935</v>
      </c>
      <c r="BB33" s="19"/>
      <c r="BC33" s="21" t="s">
        <v>974</v>
      </c>
      <c r="BD33" s="19"/>
      <c r="BE33" s="19"/>
      <c r="BF33" s="19"/>
      <c r="BG33" s="21" t="s">
        <v>835</v>
      </c>
      <c r="BH33" s="21" t="s">
        <v>836</v>
      </c>
      <c r="BI33" s="21" t="s">
        <v>837</v>
      </c>
      <c r="BJ33" s="19"/>
      <c r="BK33" s="19"/>
      <c r="BL33" s="21" t="s">
        <v>751</v>
      </c>
      <c r="BM33" s="21" t="s">
        <v>929</v>
      </c>
      <c r="BN33" s="21" t="s">
        <v>753</v>
      </c>
      <c r="BO33" s="19"/>
      <c r="BP33" s="19"/>
      <c r="BQ33" s="19" t="s">
        <v>980</v>
      </c>
      <c r="BR33" s="19"/>
      <c r="BS33" s="19"/>
      <c r="BT33" s="19"/>
      <c r="BU33" s="19"/>
      <c r="BV33" s="19"/>
      <c r="BW33" s="19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1633</v>
      </c>
    </row>
    <row r="34" spans="1:110" ht="12" customHeight="1" x14ac:dyDescent="0.25">
      <c r="A34" s="15" t="s">
        <v>422</v>
      </c>
      <c r="B34" s="16" t="s">
        <v>40</v>
      </c>
      <c r="C34" s="16" t="s">
        <v>494</v>
      </c>
      <c r="D34" t="s">
        <v>198</v>
      </c>
      <c r="E34" s="19" t="s">
        <v>584</v>
      </c>
      <c r="F34" t="s">
        <v>198</v>
      </c>
      <c r="G34" s="19" t="s">
        <v>585</v>
      </c>
      <c r="H34" s="17" t="s">
        <v>84</v>
      </c>
      <c r="I34"/>
      <c r="J34"/>
      <c r="K34"/>
      <c r="L34"/>
      <c r="M34"/>
      <c r="N34"/>
      <c r="O34"/>
      <c r="P34"/>
      <c r="Q34"/>
      <c r="R34"/>
      <c r="S34"/>
      <c r="T34"/>
      <c r="U34">
        <v>40</v>
      </c>
      <c r="V34" s="16">
        <f>V33+1</f>
        <v>33</v>
      </c>
      <c r="W34" s="16" t="s">
        <v>67</v>
      </c>
      <c r="X34" s="16" t="s">
        <v>67</v>
      </c>
      <c r="Y34" s="19" t="s">
        <v>67</v>
      </c>
      <c r="Z34" s="18" t="s">
        <v>380</v>
      </c>
      <c r="AA34" s="16" t="s">
        <v>380</v>
      </c>
      <c r="AB34" s="20" t="s">
        <v>380</v>
      </c>
      <c r="AC34" s="19" t="s">
        <v>67</v>
      </c>
      <c r="AD34" s="20" t="s">
        <v>380</v>
      </c>
      <c r="AE34" s="20" t="s">
        <v>380</v>
      </c>
      <c r="AF34" s="19" t="s">
        <v>620</v>
      </c>
      <c r="AG34"/>
      <c r="AH34"/>
      <c r="AI34"/>
      <c r="AJ34" s="16" t="s">
        <v>146</v>
      </c>
      <c r="AK34"/>
      <c r="AL34" s="16">
        <v>4913</v>
      </c>
      <c r="AM34" s="16" t="s">
        <v>308</v>
      </c>
      <c r="AN34"/>
      <c r="AO34" s="19" t="s">
        <v>981</v>
      </c>
      <c r="AP34" s="19" t="s">
        <v>825</v>
      </c>
      <c r="AQ34" s="19" t="s">
        <v>826</v>
      </c>
      <c r="AR34" s="19" t="s">
        <v>982</v>
      </c>
      <c r="AS34" s="21" t="s">
        <v>983</v>
      </c>
      <c r="AT34" s="21" t="s">
        <v>983</v>
      </c>
      <c r="AU34" s="19" t="s">
        <v>984</v>
      </c>
      <c r="AV34" s="19" t="s">
        <v>984</v>
      </c>
      <c r="AW34" s="19">
        <f>LEN(SUBSTITUTE(AV34, ", "," "))</f>
        <v>45</v>
      </c>
      <c r="AX34" s="21" t="s">
        <v>985</v>
      </c>
      <c r="AY34" s="21" t="s">
        <v>902</v>
      </c>
      <c r="AZ34" s="21" t="s">
        <v>986</v>
      </c>
      <c r="BA34" s="19"/>
      <c r="BB34" s="19"/>
      <c r="BC34" s="21" t="s">
        <v>987</v>
      </c>
      <c r="BD34" s="19"/>
      <c r="BE34" s="19"/>
      <c r="BF34" s="19"/>
      <c r="BG34" s="21" t="s">
        <v>835</v>
      </c>
      <c r="BH34" s="19"/>
      <c r="BI34" s="19"/>
      <c r="BJ34" s="19"/>
      <c r="BK34" s="19"/>
      <c r="BL34" s="21" t="s">
        <v>751</v>
      </c>
      <c r="BM34" s="21" t="s">
        <v>838</v>
      </c>
      <c r="BN34" s="21" t="s">
        <v>753</v>
      </c>
      <c r="BO34" s="19"/>
      <c r="BP34" s="19"/>
      <c r="BQ34" s="19" t="s">
        <v>922</v>
      </c>
      <c r="BR34" s="19"/>
      <c r="BS34" s="19"/>
      <c r="BT34" s="19"/>
      <c r="BU34" s="19"/>
      <c r="BV34" s="19"/>
      <c r="BW34" s="19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1633</v>
      </c>
    </row>
    <row r="35" spans="1:110" ht="12" customHeight="1" x14ac:dyDescent="0.25">
      <c r="A35" s="15" t="s">
        <v>422</v>
      </c>
      <c r="B35" s="16" t="s">
        <v>40</v>
      </c>
      <c r="C35" s="16" t="s">
        <v>494</v>
      </c>
      <c r="D35" t="s">
        <v>198</v>
      </c>
      <c r="E35" s="19" t="s">
        <v>583</v>
      </c>
      <c r="F35" t="s">
        <v>198</v>
      </c>
      <c r="G35" s="19" t="s">
        <v>585</v>
      </c>
      <c r="H35" s="17" t="s">
        <v>84</v>
      </c>
      <c r="I35"/>
      <c r="J35"/>
      <c r="K35"/>
      <c r="L35"/>
      <c r="M35"/>
      <c r="N35"/>
      <c r="O35"/>
      <c r="P35"/>
      <c r="Q35"/>
      <c r="R35"/>
      <c r="S35"/>
      <c r="T35"/>
      <c r="U35">
        <v>41</v>
      </c>
      <c r="V35" s="16">
        <f>V34+1</f>
        <v>34</v>
      </c>
      <c r="W35" s="16" t="s">
        <v>67</v>
      </c>
      <c r="X35" s="16" t="s">
        <v>67</v>
      </c>
      <c r="Y35" s="19" t="s">
        <v>67</v>
      </c>
      <c r="Z35" s="18" t="s">
        <v>256</v>
      </c>
      <c r="AA35" s="16" t="s">
        <v>256</v>
      </c>
      <c r="AB35" s="20" t="s">
        <v>256</v>
      </c>
      <c r="AC35" s="19" t="s">
        <v>67</v>
      </c>
      <c r="AD35" s="20" t="s">
        <v>256</v>
      </c>
      <c r="AE35" s="20" t="s">
        <v>256</v>
      </c>
      <c r="AF35" s="19" t="s">
        <v>621</v>
      </c>
      <c r="AG35"/>
      <c r="AH35"/>
      <c r="AI35"/>
      <c r="AJ35" s="16" t="s">
        <v>97</v>
      </c>
      <c r="AK35"/>
      <c r="AL35" s="16">
        <v>4913</v>
      </c>
      <c r="AM35" s="16" t="s">
        <v>231</v>
      </c>
      <c r="AN35"/>
      <c r="AO35" s="19" t="s">
        <v>981</v>
      </c>
      <c r="AP35" s="19" t="s">
        <v>825</v>
      </c>
      <c r="AQ35" s="19" t="s">
        <v>826</v>
      </c>
      <c r="AR35" s="19" t="s">
        <v>988</v>
      </c>
      <c r="AS35" s="21" t="s">
        <v>989</v>
      </c>
      <c r="AT35" s="21" t="s">
        <v>989</v>
      </c>
      <c r="AU35" s="19" t="s">
        <v>990</v>
      </c>
      <c r="AV35" s="19" t="s">
        <v>990</v>
      </c>
      <c r="AW35" s="19">
        <f>LEN(SUBSTITUTE(AV35, ", "," "))</f>
        <v>45</v>
      </c>
      <c r="AX35" s="21" t="s">
        <v>985</v>
      </c>
      <c r="AY35" s="21" t="s">
        <v>902</v>
      </c>
      <c r="AZ35" s="21" t="s">
        <v>986</v>
      </c>
      <c r="BA35" s="19"/>
      <c r="BB35" s="19"/>
      <c r="BC35" s="21" t="s">
        <v>991</v>
      </c>
      <c r="BD35" s="19"/>
      <c r="BE35" s="19"/>
      <c r="BF35" s="19"/>
      <c r="BG35" s="21" t="s">
        <v>835</v>
      </c>
      <c r="BH35" s="19"/>
      <c r="BI35" s="19"/>
      <c r="BJ35" s="19"/>
      <c r="BK35" s="19"/>
      <c r="BL35" s="21" t="s">
        <v>751</v>
      </c>
      <c r="BM35" s="21" t="s">
        <v>838</v>
      </c>
      <c r="BN35" s="21" t="s">
        <v>753</v>
      </c>
      <c r="BO35" s="19"/>
      <c r="BP35" s="19"/>
      <c r="BQ35" s="19" t="s">
        <v>992</v>
      </c>
      <c r="BR35" s="19"/>
      <c r="BS35" s="19"/>
      <c r="BT35" s="19"/>
      <c r="BU35" s="19"/>
      <c r="BV35" s="19"/>
      <c r="BW35" s="19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1633</v>
      </c>
    </row>
    <row r="36" spans="1:110" ht="12" customHeight="1" x14ac:dyDescent="0.25">
      <c r="A36" s="15" t="s">
        <v>422</v>
      </c>
      <c r="B36" s="16" t="s">
        <v>40</v>
      </c>
      <c r="C36" s="16" t="s">
        <v>494</v>
      </c>
      <c r="D36" t="s">
        <v>198</v>
      </c>
      <c r="E36" s="19" t="s">
        <v>583</v>
      </c>
      <c r="F36" t="s">
        <v>198</v>
      </c>
      <c r="G36" s="19" t="s">
        <v>585</v>
      </c>
      <c r="H36" s="17" t="s">
        <v>84</v>
      </c>
      <c r="I36"/>
      <c r="J36"/>
      <c r="K36"/>
      <c r="L36"/>
      <c r="M36"/>
      <c r="N36"/>
      <c r="O36"/>
      <c r="P36"/>
      <c r="Q36"/>
      <c r="R36"/>
      <c r="S36"/>
      <c r="T36"/>
      <c r="U36">
        <v>42</v>
      </c>
      <c r="V36" s="16">
        <f>V35+1</f>
        <v>35</v>
      </c>
      <c r="W36" s="16" t="s">
        <v>67</v>
      </c>
      <c r="X36" s="16" t="s">
        <v>67</v>
      </c>
      <c r="Y36" s="19" t="s">
        <v>67</v>
      </c>
      <c r="Z36" s="18" t="s">
        <v>328</v>
      </c>
      <c r="AA36" s="16" t="s">
        <v>328</v>
      </c>
      <c r="AB36" s="20" t="s">
        <v>328</v>
      </c>
      <c r="AC36" s="19" t="s">
        <v>67</v>
      </c>
      <c r="AD36" s="20" t="s">
        <v>328</v>
      </c>
      <c r="AE36" s="20" t="s">
        <v>328</v>
      </c>
      <c r="AF36" s="19" t="s">
        <v>622</v>
      </c>
      <c r="AG36"/>
      <c r="AH36"/>
      <c r="AI36"/>
      <c r="AJ36" s="16" t="s">
        <v>250</v>
      </c>
      <c r="AK36"/>
      <c r="AL36" s="16">
        <v>4913</v>
      </c>
      <c r="AM36" s="16" t="s">
        <v>122</v>
      </c>
      <c r="AN36"/>
      <c r="AO36" s="19" t="s">
        <v>981</v>
      </c>
      <c r="AP36" s="19" t="s">
        <v>825</v>
      </c>
      <c r="AQ36" s="19" t="s">
        <v>826</v>
      </c>
      <c r="AR36" s="19" t="s">
        <v>993</v>
      </c>
      <c r="AS36" s="21" t="s">
        <v>994</v>
      </c>
      <c r="AT36" s="21" t="s">
        <v>994</v>
      </c>
      <c r="AU36" s="19" t="s">
        <v>995</v>
      </c>
      <c r="AV36" s="19" t="s">
        <v>995</v>
      </c>
      <c r="AW36" s="19">
        <f>LEN(SUBSTITUTE(AV36, ", "," "))</f>
        <v>45</v>
      </c>
      <c r="AX36" s="21" t="s">
        <v>985</v>
      </c>
      <c r="AY36" s="21" t="s">
        <v>902</v>
      </c>
      <c r="AZ36" s="21" t="s">
        <v>986</v>
      </c>
      <c r="BA36" s="19"/>
      <c r="BB36" s="19"/>
      <c r="BC36" s="21" t="s">
        <v>996</v>
      </c>
      <c r="BD36" s="19"/>
      <c r="BE36" s="19"/>
      <c r="BF36" s="19"/>
      <c r="BG36" s="21" t="s">
        <v>835</v>
      </c>
      <c r="BH36" s="19"/>
      <c r="BI36" s="19"/>
      <c r="BJ36" s="19"/>
      <c r="BK36" s="19"/>
      <c r="BL36" s="21" t="s">
        <v>751</v>
      </c>
      <c r="BM36" s="21" t="s">
        <v>838</v>
      </c>
      <c r="BN36" s="21" t="s">
        <v>753</v>
      </c>
      <c r="BO36" s="19"/>
      <c r="BP36" s="19"/>
      <c r="BQ36" s="19" t="s">
        <v>997</v>
      </c>
      <c r="BR36" s="19"/>
      <c r="BS36" s="19"/>
      <c r="BT36" s="19"/>
      <c r="BU36" s="19"/>
      <c r="BV36" s="19"/>
      <c r="BW36" s="19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1633</v>
      </c>
    </row>
    <row r="37" spans="1:110" ht="12" customHeight="1" x14ac:dyDescent="0.25">
      <c r="A37" s="15" t="s">
        <v>422</v>
      </c>
      <c r="B37" s="16" t="s">
        <v>40</v>
      </c>
      <c r="C37" s="16" t="s">
        <v>494</v>
      </c>
      <c r="D37" t="s">
        <v>198</v>
      </c>
      <c r="E37" s="19" t="s">
        <v>583</v>
      </c>
      <c r="F37" t="s">
        <v>198</v>
      </c>
      <c r="G37" s="19" t="s">
        <v>585</v>
      </c>
      <c r="H37" s="17" t="s">
        <v>84</v>
      </c>
      <c r="I37"/>
      <c r="J37"/>
      <c r="K37"/>
      <c r="L37"/>
      <c r="M37"/>
      <c r="N37"/>
      <c r="O37"/>
      <c r="P37"/>
      <c r="Q37"/>
      <c r="R37"/>
      <c r="S37"/>
      <c r="T37"/>
      <c r="U37">
        <v>43</v>
      </c>
      <c r="V37" s="16">
        <f>V36+1</f>
        <v>36</v>
      </c>
      <c r="W37" s="16" t="s">
        <v>67</v>
      </c>
      <c r="X37" s="16" t="s">
        <v>67</v>
      </c>
      <c r="Y37" s="19" t="s">
        <v>67</v>
      </c>
      <c r="Z37" s="18" t="s">
        <v>408</v>
      </c>
      <c r="AA37" s="16" t="s">
        <v>408</v>
      </c>
      <c r="AB37" s="20" t="s">
        <v>408</v>
      </c>
      <c r="AC37" s="19" t="s">
        <v>67</v>
      </c>
      <c r="AD37" s="20" t="s">
        <v>408</v>
      </c>
      <c r="AE37" s="20" t="s">
        <v>408</v>
      </c>
      <c r="AF37" s="19" t="s">
        <v>623</v>
      </c>
      <c r="AG37"/>
      <c r="AH37"/>
      <c r="AI37"/>
      <c r="AJ37" s="16" t="s">
        <v>447</v>
      </c>
      <c r="AK37"/>
      <c r="AL37" s="16">
        <v>4913</v>
      </c>
      <c r="AM37" s="16" t="s">
        <v>37</v>
      </c>
      <c r="AN37"/>
      <c r="AO37" s="19" t="s">
        <v>981</v>
      </c>
      <c r="AP37" s="19" t="s">
        <v>825</v>
      </c>
      <c r="AQ37" s="19" t="s">
        <v>826</v>
      </c>
      <c r="AR37" s="19" t="s">
        <v>998</v>
      </c>
      <c r="AS37" s="21" t="s">
        <v>999</v>
      </c>
      <c r="AT37" s="21" t="s">
        <v>999</v>
      </c>
      <c r="AU37" s="19" t="s">
        <v>1000</v>
      </c>
      <c r="AV37" s="19" t="s">
        <v>1000</v>
      </c>
      <c r="AW37" s="19">
        <f>LEN(SUBSTITUTE(AV37, ", "," "))</f>
        <v>45</v>
      </c>
      <c r="AX37" s="21" t="s">
        <v>985</v>
      </c>
      <c r="AY37" s="21" t="s">
        <v>902</v>
      </c>
      <c r="AZ37" s="21" t="s">
        <v>986</v>
      </c>
      <c r="BA37" s="19"/>
      <c r="BB37" s="19"/>
      <c r="BC37" s="21" t="s">
        <v>1001</v>
      </c>
      <c r="BD37" s="19"/>
      <c r="BE37" s="19"/>
      <c r="BF37" s="19"/>
      <c r="BG37" s="21" t="s">
        <v>835</v>
      </c>
      <c r="BH37" s="19"/>
      <c r="BI37" s="19"/>
      <c r="BJ37" s="19"/>
      <c r="BK37" s="19"/>
      <c r="BL37" s="21" t="s">
        <v>751</v>
      </c>
      <c r="BM37" s="21" t="s">
        <v>838</v>
      </c>
      <c r="BN37" s="21" t="s">
        <v>753</v>
      </c>
      <c r="BO37" s="19"/>
      <c r="BP37" s="19"/>
      <c r="BQ37" s="19" t="s">
        <v>1002</v>
      </c>
      <c r="BR37" s="19"/>
      <c r="BS37" s="19"/>
      <c r="BT37" s="19"/>
      <c r="BU37" s="19"/>
      <c r="BV37" s="19"/>
      <c r="BW37" s="19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1633</v>
      </c>
    </row>
    <row r="38" spans="1:110" ht="12" customHeight="1" x14ac:dyDescent="0.25">
      <c r="A38" s="15" t="s">
        <v>422</v>
      </c>
      <c r="B38" s="16" t="s">
        <v>40</v>
      </c>
      <c r="C38" s="16" t="s">
        <v>494</v>
      </c>
      <c r="D38" t="s">
        <v>198</v>
      </c>
      <c r="E38" s="19" t="s">
        <v>583</v>
      </c>
      <c r="F38" t="s">
        <v>198</v>
      </c>
      <c r="G38" s="19" t="s">
        <v>585</v>
      </c>
      <c r="H38" s="17" t="s">
        <v>84</v>
      </c>
      <c r="I38"/>
      <c r="J38"/>
      <c r="K38"/>
      <c r="L38"/>
      <c r="M38"/>
      <c r="N38"/>
      <c r="O38"/>
      <c r="P38"/>
      <c r="Q38"/>
      <c r="R38"/>
      <c r="S38"/>
      <c r="T38"/>
      <c r="U38">
        <v>44</v>
      </c>
      <c r="V38" s="16">
        <f>V37+1</f>
        <v>37</v>
      </c>
      <c r="W38" s="16" t="s">
        <v>67</v>
      </c>
      <c r="X38" s="16" t="s">
        <v>67</v>
      </c>
      <c r="Y38" s="19" t="s">
        <v>67</v>
      </c>
      <c r="Z38" s="18" t="s">
        <v>423</v>
      </c>
      <c r="AA38" s="16" t="s">
        <v>423</v>
      </c>
      <c r="AB38" s="20" t="s">
        <v>423</v>
      </c>
      <c r="AC38" s="19" t="s">
        <v>67</v>
      </c>
      <c r="AD38" s="20" t="s">
        <v>423</v>
      </c>
      <c r="AE38" s="20" t="s">
        <v>423</v>
      </c>
      <c r="AF38" s="19" t="s">
        <v>624</v>
      </c>
      <c r="AG38"/>
      <c r="AH38"/>
      <c r="AI38"/>
      <c r="AJ38" s="16" t="s">
        <v>565</v>
      </c>
      <c r="AK38"/>
      <c r="AL38" s="16">
        <v>4913</v>
      </c>
      <c r="AM38" s="16" t="s">
        <v>558</v>
      </c>
      <c r="AN38"/>
      <c r="AO38" s="19" t="s">
        <v>981</v>
      </c>
      <c r="AP38" s="19" t="s">
        <v>825</v>
      </c>
      <c r="AQ38" s="19" t="s">
        <v>826</v>
      </c>
      <c r="AR38" s="19" t="s">
        <v>1003</v>
      </c>
      <c r="AS38" s="21" t="s">
        <v>1004</v>
      </c>
      <c r="AT38" s="21" t="s">
        <v>1004</v>
      </c>
      <c r="AU38" s="19" t="s">
        <v>1005</v>
      </c>
      <c r="AV38" s="19" t="s">
        <v>1005</v>
      </c>
      <c r="AW38" s="19">
        <f>LEN(SUBSTITUTE(AV38, ", "," "))</f>
        <v>45</v>
      </c>
      <c r="AX38" s="21" t="s">
        <v>985</v>
      </c>
      <c r="AY38" s="21" t="s">
        <v>902</v>
      </c>
      <c r="AZ38" s="21" t="s">
        <v>986</v>
      </c>
      <c r="BA38" s="19"/>
      <c r="BB38" s="19"/>
      <c r="BC38" s="21" t="s">
        <v>1006</v>
      </c>
      <c r="BD38" s="19"/>
      <c r="BE38" s="19"/>
      <c r="BF38" s="19"/>
      <c r="BG38" s="21" t="s">
        <v>835</v>
      </c>
      <c r="BH38" s="19"/>
      <c r="BI38" s="19"/>
      <c r="BJ38" s="19"/>
      <c r="BK38" s="19"/>
      <c r="BL38" s="21" t="s">
        <v>751</v>
      </c>
      <c r="BM38" s="21" t="s">
        <v>838</v>
      </c>
      <c r="BN38" s="21" t="s">
        <v>753</v>
      </c>
      <c r="BO38" s="19"/>
      <c r="BP38" s="19"/>
      <c r="BQ38" s="19" t="s">
        <v>1007</v>
      </c>
      <c r="BR38" s="19"/>
      <c r="BS38" s="19"/>
      <c r="BT38" s="19"/>
      <c r="BU38" s="19"/>
      <c r="BV38" s="19"/>
      <c r="BW38" s="19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1633</v>
      </c>
    </row>
    <row r="39" spans="1:110" ht="12" customHeight="1" x14ac:dyDescent="0.25">
      <c r="A39" s="15" t="s">
        <v>422</v>
      </c>
      <c r="B39" s="16" t="s">
        <v>40</v>
      </c>
      <c r="C39" s="16" t="s">
        <v>494</v>
      </c>
      <c r="D39" t="s">
        <v>198</v>
      </c>
      <c r="E39" s="19" t="s">
        <v>583</v>
      </c>
      <c r="F39" t="s">
        <v>198</v>
      </c>
      <c r="G39" s="19" t="s">
        <v>585</v>
      </c>
      <c r="H39" s="17" t="s">
        <v>84</v>
      </c>
      <c r="I39"/>
      <c r="J39"/>
      <c r="K39"/>
      <c r="L39"/>
      <c r="M39"/>
      <c r="N39"/>
      <c r="O39"/>
      <c r="P39"/>
      <c r="Q39"/>
      <c r="R39"/>
      <c r="S39"/>
      <c r="T39"/>
      <c r="U39">
        <v>45</v>
      </c>
      <c r="V39" s="16">
        <f>V38+1</f>
        <v>38</v>
      </c>
      <c r="W39" s="16" t="s">
        <v>67</v>
      </c>
      <c r="X39" s="16" t="s">
        <v>67</v>
      </c>
      <c r="Y39" s="19" t="s">
        <v>67</v>
      </c>
      <c r="Z39" s="18" t="s">
        <v>360</v>
      </c>
      <c r="AA39" s="16" t="s">
        <v>360</v>
      </c>
      <c r="AB39" s="20" t="s">
        <v>360</v>
      </c>
      <c r="AC39" s="19" t="s">
        <v>67</v>
      </c>
      <c r="AD39" s="20" t="s">
        <v>360</v>
      </c>
      <c r="AE39" s="20" t="s">
        <v>360</v>
      </c>
      <c r="AF39" s="19" t="s">
        <v>625</v>
      </c>
      <c r="AG39"/>
      <c r="AH39"/>
      <c r="AI39"/>
      <c r="AJ39" s="16" t="s">
        <v>500</v>
      </c>
      <c r="AK39"/>
      <c r="AL39" s="16">
        <v>4913</v>
      </c>
      <c r="AM39" s="16" t="s">
        <v>466</v>
      </c>
      <c r="AN39"/>
      <c r="AO39" s="19" t="s">
        <v>981</v>
      </c>
      <c r="AP39" s="19" t="s">
        <v>825</v>
      </c>
      <c r="AQ39" s="19" t="s">
        <v>826</v>
      </c>
      <c r="AR39" s="19" t="s">
        <v>1008</v>
      </c>
      <c r="AS39" s="21" t="s">
        <v>1009</v>
      </c>
      <c r="AT39" s="21" t="s">
        <v>1009</v>
      </c>
      <c r="AU39" s="19" t="s">
        <v>1010</v>
      </c>
      <c r="AV39" s="19" t="s">
        <v>1010</v>
      </c>
      <c r="AW39" s="19">
        <f>LEN(SUBSTITUTE(AV39, ", "," "))</f>
        <v>45</v>
      </c>
      <c r="AX39" s="21" t="s">
        <v>985</v>
      </c>
      <c r="AY39" s="21" t="s">
        <v>902</v>
      </c>
      <c r="AZ39" s="21" t="s">
        <v>986</v>
      </c>
      <c r="BA39" s="19"/>
      <c r="BB39" s="19"/>
      <c r="BC39" s="21" t="s">
        <v>1011</v>
      </c>
      <c r="BD39" s="19"/>
      <c r="BE39" s="19"/>
      <c r="BF39" s="19"/>
      <c r="BG39" s="21" t="s">
        <v>835</v>
      </c>
      <c r="BH39" s="19"/>
      <c r="BI39" s="19"/>
      <c r="BJ39" s="19"/>
      <c r="BK39" s="19"/>
      <c r="BL39" s="21" t="s">
        <v>751</v>
      </c>
      <c r="BM39" s="21" t="s">
        <v>838</v>
      </c>
      <c r="BN39" s="21" t="s">
        <v>753</v>
      </c>
      <c r="BO39" s="19"/>
      <c r="BP39" s="19"/>
      <c r="BQ39" s="19" t="s">
        <v>1012</v>
      </c>
      <c r="BR39" s="19"/>
      <c r="BS39" s="19"/>
      <c r="BT39" s="19"/>
      <c r="BU39" s="19"/>
      <c r="BV39" s="19"/>
      <c r="BW39" s="1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1633</v>
      </c>
    </row>
    <row r="40" spans="1:110" ht="12" customHeight="1" x14ac:dyDescent="0.25">
      <c r="A40" s="15" t="s">
        <v>422</v>
      </c>
      <c r="B40" s="16" t="s">
        <v>40</v>
      </c>
      <c r="C40" s="16" t="s">
        <v>494</v>
      </c>
      <c r="D40" t="s">
        <v>198</v>
      </c>
      <c r="E40" s="19" t="s">
        <v>583</v>
      </c>
      <c r="F40" t="s">
        <v>198</v>
      </c>
      <c r="G40" s="19" t="s">
        <v>585</v>
      </c>
      <c r="H40" s="17" t="s">
        <v>84</v>
      </c>
      <c r="I40"/>
      <c r="J40"/>
      <c r="K40"/>
      <c r="L40"/>
      <c r="M40"/>
      <c r="N40"/>
      <c r="O40"/>
      <c r="P40"/>
      <c r="Q40"/>
      <c r="R40"/>
      <c r="S40"/>
      <c r="T40"/>
      <c r="U40">
        <v>46</v>
      </c>
      <c r="V40" s="16">
        <f>V39+1</f>
        <v>39</v>
      </c>
      <c r="W40" s="16" t="s">
        <v>67</v>
      </c>
      <c r="X40" s="16" t="s">
        <v>67</v>
      </c>
      <c r="Y40" s="19" t="s">
        <v>67</v>
      </c>
      <c r="Z40" s="18" t="s">
        <v>287</v>
      </c>
      <c r="AA40" s="16" t="s">
        <v>287</v>
      </c>
      <c r="AB40" s="20" t="s">
        <v>287</v>
      </c>
      <c r="AC40" s="19" t="s">
        <v>67</v>
      </c>
      <c r="AD40" s="20" t="s">
        <v>287</v>
      </c>
      <c r="AE40" s="20" t="s">
        <v>287</v>
      </c>
      <c r="AF40" s="19" t="s">
        <v>626</v>
      </c>
      <c r="AG40"/>
      <c r="AH40"/>
      <c r="AI40"/>
      <c r="AJ40" s="16" t="s">
        <v>71</v>
      </c>
      <c r="AK40"/>
      <c r="AL40" s="16">
        <v>4913</v>
      </c>
      <c r="AM40" s="16" t="s">
        <v>390</v>
      </c>
      <c r="AN40"/>
      <c r="AO40" s="19" t="s">
        <v>981</v>
      </c>
      <c r="AP40" s="19" t="s">
        <v>825</v>
      </c>
      <c r="AQ40" s="19" t="s">
        <v>826</v>
      </c>
      <c r="AR40" s="19" t="s">
        <v>1013</v>
      </c>
      <c r="AS40" s="21" t="s">
        <v>1014</v>
      </c>
      <c r="AT40" s="21" t="s">
        <v>1014</v>
      </c>
      <c r="AU40" s="19" t="s">
        <v>1015</v>
      </c>
      <c r="AV40" s="19" t="s">
        <v>1015</v>
      </c>
      <c r="AW40" s="19">
        <f>LEN(SUBSTITUTE(AV40, ", "," "))</f>
        <v>45</v>
      </c>
      <c r="AX40" s="21" t="s">
        <v>985</v>
      </c>
      <c r="AY40" s="21" t="s">
        <v>902</v>
      </c>
      <c r="AZ40" s="21" t="s">
        <v>986</v>
      </c>
      <c r="BA40" s="19"/>
      <c r="BB40" s="19"/>
      <c r="BC40" s="21" t="s">
        <v>1016</v>
      </c>
      <c r="BD40" s="19"/>
      <c r="BE40" s="19"/>
      <c r="BF40" s="19"/>
      <c r="BG40" s="21" t="s">
        <v>835</v>
      </c>
      <c r="BH40" s="19"/>
      <c r="BI40" s="19"/>
      <c r="BJ40" s="19"/>
      <c r="BK40" s="19"/>
      <c r="BL40" s="21" t="s">
        <v>751</v>
      </c>
      <c r="BM40" s="21" t="s">
        <v>838</v>
      </c>
      <c r="BN40" s="21" t="s">
        <v>753</v>
      </c>
      <c r="BO40" s="19"/>
      <c r="BP40" s="19"/>
      <c r="BQ40" s="19" t="s">
        <v>1017</v>
      </c>
      <c r="BR40" s="19"/>
      <c r="BS40" s="19"/>
      <c r="BT40" s="19"/>
      <c r="BU40" s="19"/>
      <c r="BV40" s="19"/>
      <c r="BW40" s="19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1633</v>
      </c>
    </row>
    <row r="41" spans="1:110" ht="12" customHeight="1" x14ac:dyDescent="0.25">
      <c r="A41" s="15" t="s">
        <v>422</v>
      </c>
      <c r="B41" s="16" t="s">
        <v>40</v>
      </c>
      <c r="C41" s="16" t="s">
        <v>494</v>
      </c>
      <c r="D41" t="s">
        <v>198</v>
      </c>
      <c r="E41" s="19" t="s">
        <v>583</v>
      </c>
      <c r="F41" t="s">
        <v>198</v>
      </c>
      <c r="G41" s="19" t="s">
        <v>585</v>
      </c>
      <c r="H41" s="17" t="s">
        <v>84</v>
      </c>
      <c r="I41"/>
      <c r="J41"/>
      <c r="K41"/>
      <c r="L41"/>
      <c r="M41"/>
      <c r="N41"/>
      <c r="O41"/>
      <c r="P41"/>
      <c r="Q41"/>
      <c r="R41"/>
      <c r="S41"/>
      <c r="T41"/>
      <c r="U41">
        <v>47</v>
      </c>
      <c r="V41" s="16">
        <f>V40+1</f>
        <v>40</v>
      </c>
      <c r="W41" s="16" t="s">
        <v>67</v>
      </c>
      <c r="X41" s="16" t="s">
        <v>67</v>
      </c>
      <c r="Y41" s="19" t="s">
        <v>67</v>
      </c>
      <c r="Z41" s="18" t="s">
        <v>160</v>
      </c>
      <c r="AA41" s="16" t="s">
        <v>160</v>
      </c>
      <c r="AB41" s="20" t="s">
        <v>160</v>
      </c>
      <c r="AC41" s="19" t="s">
        <v>67</v>
      </c>
      <c r="AD41" s="20" t="s">
        <v>160</v>
      </c>
      <c r="AE41" s="20" t="s">
        <v>160</v>
      </c>
      <c r="AF41" s="19" t="s">
        <v>627</v>
      </c>
      <c r="AG41"/>
      <c r="AH41"/>
      <c r="AI41"/>
      <c r="AJ41" s="16" t="s">
        <v>169</v>
      </c>
      <c r="AK41"/>
      <c r="AL41" s="16">
        <v>4913</v>
      </c>
      <c r="AM41" s="16" t="s">
        <v>135</v>
      </c>
      <c r="AN41"/>
      <c r="AO41" s="19" t="s">
        <v>981</v>
      </c>
      <c r="AP41" s="19" t="s">
        <v>825</v>
      </c>
      <c r="AQ41" s="19" t="s">
        <v>826</v>
      </c>
      <c r="AR41" s="19" t="s">
        <v>1018</v>
      </c>
      <c r="AS41" s="21" t="s">
        <v>1019</v>
      </c>
      <c r="AT41" s="21" t="s">
        <v>1019</v>
      </c>
      <c r="AU41" s="19" t="s">
        <v>1020</v>
      </c>
      <c r="AV41" s="19" t="s">
        <v>1020</v>
      </c>
      <c r="AW41" s="19">
        <f>LEN(SUBSTITUTE(AV41, ", "," "))</f>
        <v>45</v>
      </c>
      <c r="AX41" s="21" t="s">
        <v>985</v>
      </c>
      <c r="AY41" s="21" t="s">
        <v>902</v>
      </c>
      <c r="AZ41" s="21" t="s">
        <v>986</v>
      </c>
      <c r="BA41" s="19"/>
      <c r="BB41" s="19"/>
      <c r="BC41" s="21" t="s">
        <v>1021</v>
      </c>
      <c r="BD41" s="19"/>
      <c r="BE41" s="19"/>
      <c r="BF41" s="19"/>
      <c r="BG41" s="21" t="s">
        <v>835</v>
      </c>
      <c r="BH41" s="19"/>
      <c r="BI41" s="19"/>
      <c r="BJ41" s="19"/>
      <c r="BK41" s="19"/>
      <c r="BL41" s="21" t="s">
        <v>751</v>
      </c>
      <c r="BM41" s="21" t="s">
        <v>838</v>
      </c>
      <c r="BN41" s="21" t="s">
        <v>753</v>
      </c>
      <c r="BO41" s="19"/>
      <c r="BP41" s="19"/>
      <c r="BQ41" s="19" t="s">
        <v>1022</v>
      </c>
      <c r="BR41" s="19"/>
      <c r="BS41" s="19"/>
      <c r="BT41" s="19"/>
      <c r="BU41" s="19"/>
      <c r="BV41" s="19"/>
      <c r="BW41" s="19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1633</v>
      </c>
    </row>
    <row r="42" spans="1:110" ht="12" customHeight="1" x14ac:dyDescent="0.25">
      <c r="A42" s="15" t="s">
        <v>422</v>
      </c>
      <c r="B42" s="16" t="s">
        <v>40</v>
      </c>
      <c r="C42" s="16" t="s">
        <v>494</v>
      </c>
      <c r="D42" t="s">
        <v>198</v>
      </c>
      <c r="E42" s="19" t="s">
        <v>583</v>
      </c>
      <c r="F42" t="s">
        <v>198</v>
      </c>
      <c r="G42" s="19" t="s">
        <v>585</v>
      </c>
      <c r="H42" s="17" t="s">
        <v>84</v>
      </c>
      <c r="I42"/>
      <c r="J42"/>
      <c r="K42"/>
      <c r="L42"/>
      <c r="M42"/>
      <c r="N42"/>
      <c r="O42"/>
      <c r="P42"/>
      <c r="Q42"/>
      <c r="R42"/>
      <c r="S42"/>
      <c r="T42"/>
      <c r="U42">
        <v>48</v>
      </c>
      <c r="V42" s="16">
        <f>V41+1</f>
        <v>41</v>
      </c>
      <c r="W42" s="16" t="s">
        <v>67</v>
      </c>
      <c r="X42" s="16" t="s">
        <v>67</v>
      </c>
      <c r="Y42" s="19" t="s">
        <v>67</v>
      </c>
      <c r="Z42" s="18" t="s">
        <v>220</v>
      </c>
      <c r="AA42" s="16" t="s">
        <v>220</v>
      </c>
      <c r="AB42" s="20" t="s">
        <v>220</v>
      </c>
      <c r="AC42" s="19" t="s">
        <v>67</v>
      </c>
      <c r="AD42" s="20" t="s">
        <v>220</v>
      </c>
      <c r="AE42" s="20" t="s">
        <v>220</v>
      </c>
      <c r="AF42" s="19" t="s">
        <v>628</v>
      </c>
      <c r="AG42"/>
      <c r="AH42"/>
      <c r="AI42"/>
      <c r="AJ42" s="16" t="s">
        <v>314</v>
      </c>
      <c r="AK42"/>
      <c r="AL42" s="16">
        <v>4913</v>
      </c>
      <c r="AM42" s="16" t="s">
        <v>477</v>
      </c>
      <c r="AN42"/>
      <c r="AO42" s="19" t="s">
        <v>981</v>
      </c>
      <c r="AP42" s="19" t="s">
        <v>825</v>
      </c>
      <c r="AQ42" s="19" t="s">
        <v>826</v>
      </c>
      <c r="AR42" s="19" t="s">
        <v>1023</v>
      </c>
      <c r="AS42" s="21" t="s">
        <v>1024</v>
      </c>
      <c r="AT42" s="21" t="s">
        <v>1024</v>
      </c>
      <c r="AU42" s="19" t="s">
        <v>1025</v>
      </c>
      <c r="AV42" s="19" t="s">
        <v>1025</v>
      </c>
      <c r="AW42" s="19">
        <f>LEN(SUBSTITUTE(AV42, ", "," "))</f>
        <v>45</v>
      </c>
      <c r="AX42" s="21" t="s">
        <v>985</v>
      </c>
      <c r="AY42" s="21" t="s">
        <v>902</v>
      </c>
      <c r="AZ42" s="21" t="s">
        <v>986</v>
      </c>
      <c r="BA42" s="19"/>
      <c r="BB42" s="19"/>
      <c r="BC42" s="21" t="s">
        <v>1026</v>
      </c>
      <c r="BD42" s="19"/>
      <c r="BE42" s="19"/>
      <c r="BF42" s="19"/>
      <c r="BG42" s="21" t="s">
        <v>835</v>
      </c>
      <c r="BH42" s="19"/>
      <c r="BI42" s="19"/>
      <c r="BJ42" s="19"/>
      <c r="BK42" s="19"/>
      <c r="BL42" s="21" t="s">
        <v>751</v>
      </c>
      <c r="BM42" s="21" t="s">
        <v>838</v>
      </c>
      <c r="BN42" s="21" t="s">
        <v>753</v>
      </c>
      <c r="BO42" s="19"/>
      <c r="BP42" s="19"/>
      <c r="BQ42" s="19" t="s">
        <v>1027</v>
      </c>
      <c r="BR42" s="19"/>
      <c r="BS42" s="19"/>
      <c r="BT42" s="19"/>
      <c r="BU42" s="19"/>
      <c r="BV42" s="19"/>
      <c r="BW42" s="19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1633</v>
      </c>
    </row>
    <row r="43" spans="1:110" ht="12" customHeight="1" x14ac:dyDescent="0.25">
      <c r="A43" s="15" t="s">
        <v>422</v>
      </c>
      <c r="B43" s="16" t="s">
        <v>40</v>
      </c>
      <c r="C43" s="16" t="s">
        <v>494</v>
      </c>
      <c r="D43" t="s">
        <v>198</v>
      </c>
      <c r="E43" s="19" t="s">
        <v>583</v>
      </c>
      <c r="F43" t="s">
        <v>198</v>
      </c>
      <c r="G43" s="19" t="s">
        <v>585</v>
      </c>
      <c r="H43" s="17" t="s">
        <v>84</v>
      </c>
      <c r="I43"/>
      <c r="J43"/>
      <c r="K43"/>
      <c r="L43"/>
      <c r="M43"/>
      <c r="N43"/>
      <c r="O43"/>
      <c r="P43"/>
      <c r="Q43"/>
      <c r="R43"/>
      <c r="S43"/>
      <c r="T43"/>
      <c r="U43">
        <v>49</v>
      </c>
      <c r="V43" s="16">
        <f>V42+1</f>
        <v>42</v>
      </c>
      <c r="W43" s="16" t="s">
        <v>67</v>
      </c>
      <c r="X43" s="16" t="s">
        <v>67</v>
      </c>
      <c r="Y43" s="19" t="s">
        <v>67</v>
      </c>
      <c r="Z43" s="18" t="s">
        <v>386</v>
      </c>
      <c r="AA43" s="16" t="s">
        <v>386</v>
      </c>
      <c r="AB43" s="20" t="s">
        <v>386</v>
      </c>
      <c r="AC43" s="19" t="s">
        <v>67</v>
      </c>
      <c r="AD43" s="20" t="s">
        <v>386</v>
      </c>
      <c r="AE43" s="20" t="s">
        <v>386</v>
      </c>
      <c r="AF43" s="19" t="s">
        <v>629</v>
      </c>
      <c r="AG43"/>
      <c r="AH43"/>
      <c r="AI43"/>
      <c r="AJ43" s="16" t="s">
        <v>69</v>
      </c>
      <c r="AK43"/>
      <c r="AL43" s="16">
        <v>4913</v>
      </c>
      <c r="AM43" s="16" t="s">
        <v>401</v>
      </c>
      <c r="AN43"/>
      <c r="AO43" s="19" t="s">
        <v>981</v>
      </c>
      <c r="AP43" s="19" t="s">
        <v>825</v>
      </c>
      <c r="AQ43" s="19" t="s">
        <v>826</v>
      </c>
      <c r="AR43" s="19" t="s">
        <v>1028</v>
      </c>
      <c r="AS43" s="21" t="s">
        <v>1029</v>
      </c>
      <c r="AT43" s="21" t="s">
        <v>1029</v>
      </c>
      <c r="AU43" s="19" t="s">
        <v>1030</v>
      </c>
      <c r="AV43" s="19" t="s">
        <v>1030</v>
      </c>
      <c r="AW43" s="19">
        <f>LEN(SUBSTITUTE(AV43, ", "," "))</f>
        <v>45</v>
      </c>
      <c r="AX43" s="21" t="s">
        <v>985</v>
      </c>
      <c r="AY43" s="21" t="s">
        <v>902</v>
      </c>
      <c r="AZ43" s="21" t="s">
        <v>986</v>
      </c>
      <c r="BA43" s="19"/>
      <c r="BB43" s="19"/>
      <c r="BC43" s="21" t="s">
        <v>1031</v>
      </c>
      <c r="BD43" s="19"/>
      <c r="BE43" s="19"/>
      <c r="BF43" s="19"/>
      <c r="BG43" s="21" t="s">
        <v>835</v>
      </c>
      <c r="BH43" s="19"/>
      <c r="BI43" s="19"/>
      <c r="BJ43" s="19"/>
      <c r="BK43" s="19"/>
      <c r="BL43" s="21" t="s">
        <v>751</v>
      </c>
      <c r="BM43" s="21" t="s">
        <v>838</v>
      </c>
      <c r="BN43" s="21" t="s">
        <v>753</v>
      </c>
      <c r="BO43" s="19"/>
      <c r="BP43" s="19"/>
      <c r="BQ43" s="19" t="s">
        <v>1032</v>
      </c>
      <c r="BR43" s="19"/>
      <c r="BS43" s="19"/>
      <c r="BT43" s="19"/>
      <c r="BU43" s="19"/>
      <c r="BV43" s="19"/>
      <c r="BW43" s="19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1633</v>
      </c>
    </row>
    <row r="44" spans="1:110" ht="12" customHeight="1" x14ac:dyDescent="0.25">
      <c r="A44" s="15" t="s">
        <v>422</v>
      </c>
      <c r="B44" s="16" t="s">
        <v>40</v>
      </c>
      <c r="C44" s="16" t="s">
        <v>494</v>
      </c>
      <c r="D44" t="s">
        <v>198</v>
      </c>
      <c r="E44" s="19" t="s">
        <v>583</v>
      </c>
      <c r="F44" t="s">
        <v>198</v>
      </c>
      <c r="G44" s="19" t="s">
        <v>585</v>
      </c>
      <c r="H44" s="17" t="s">
        <v>84</v>
      </c>
      <c r="I44"/>
      <c r="J44"/>
      <c r="K44"/>
      <c r="L44"/>
      <c r="M44"/>
      <c r="N44"/>
      <c r="O44"/>
      <c r="P44"/>
      <c r="Q44"/>
      <c r="R44"/>
      <c r="S44"/>
      <c r="T44"/>
      <c r="U44">
        <v>50</v>
      </c>
      <c r="V44" s="16">
        <f>V43+1</f>
        <v>43</v>
      </c>
      <c r="W44" s="16" t="s">
        <v>67</v>
      </c>
      <c r="X44" s="16" t="s">
        <v>67</v>
      </c>
      <c r="Y44" s="19" t="s">
        <v>67</v>
      </c>
      <c r="Z44" s="18" t="s">
        <v>291</v>
      </c>
      <c r="AA44" s="16" t="s">
        <v>291</v>
      </c>
      <c r="AB44" s="20" t="s">
        <v>291</v>
      </c>
      <c r="AC44" s="19" t="s">
        <v>67</v>
      </c>
      <c r="AD44" s="20" t="s">
        <v>291</v>
      </c>
      <c r="AE44" s="20" t="s">
        <v>291</v>
      </c>
      <c r="AF44" s="19" t="s">
        <v>630</v>
      </c>
      <c r="AG44"/>
      <c r="AH44"/>
      <c r="AI44"/>
      <c r="AJ44" s="16" t="s">
        <v>517</v>
      </c>
      <c r="AK44"/>
      <c r="AL44" s="16">
        <v>4913</v>
      </c>
      <c r="AM44" s="16" t="s">
        <v>309</v>
      </c>
      <c r="AN44"/>
      <c r="AO44" s="19" t="s">
        <v>981</v>
      </c>
      <c r="AP44" s="19" t="s">
        <v>825</v>
      </c>
      <c r="AQ44" s="19" t="s">
        <v>826</v>
      </c>
      <c r="AR44" s="19" t="s">
        <v>1033</v>
      </c>
      <c r="AS44" s="21" t="s">
        <v>1034</v>
      </c>
      <c r="AT44" s="21" t="s">
        <v>1034</v>
      </c>
      <c r="AU44" s="19" t="s">
        <v>1035</v>
      </c>
      <c r="AV44" s="19" t="s">
        <v>1035</v>
      </c>
      <c r="AW44" s="19">
        <f>LEN(SUBSTITUTE(AV44, ", "," "))</f>
        <v>45</v>
      </c>
      <c r="AX44" s="21" t="s">
        <v>985</v>
      </c>
      <c r="AY44" s="21" t="s">
        <v>902</v>
      </c>
      <c r="AZ44" s="21" t="s">
        <v>986</v>
      </c>
      <c r="BA44" s="19"/>
      <c r="BB44" s="19"/>
      <c r="BC44" s="21" t="s">
        <v>1036</v>
      </c>
      <c r="BD44" s="19"/>
      <c r="BE44" s="19"/>
      <c r="BF44" s="19"/>
      <c r="BG44" s="21" t="s">
        <v>835</v>
      </c>
      <c r="BH44" s="19"/>
      <c r="BI44" s="19"/>
      <c r="BJ44" s="19"/>
      <c r="BK44" s="19"/>
      <c r="BL44" s="21" t="s">
        <v>751</v>
      </c>
      <c r="BM44" s="21" t="s">
        <v>838</v>
      </c>
      <c r="BN44" s="21" t="s">
        <v>753</v>
      </c>
      <c r="BO44" s="19"/>
      <c r="BP44" s="19"/>
      <c r="BQ44" s="19" t="s">
        <v>1037</v>
      </c>
      <c r="BR44" s="19"/>
      <c r="BS44" s="19"/>
      <c r="BT44" s="19"/>
      <c r="BU44" s="19"/>
      <c r="BV44" s="19"/>
      <c r="BW44" s="19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1633</v>
      </c>
    </row>
    <row r="45" spans="1:110" ht="12" customHeight="1" x14ac:dyDescent="0.25">
      <c r="A45" s="15" t="s">
        <v>422</v>
      </c>
      <c r="B45" s="16" t="s">
        <v>40</v>
      </c>
      <c r="C45" s="16" t="s">
        <v>494</v>
      </c>
      <c r="D45" t="s">
        <v>198</v>
      </c>
      <c r="E45" s="19" t="s">
        <v>583</v>
      </c>
      <c r="F45" t="s">
        <v>198</v>
      </c>
      <c r="G45" s="19" t="s">
        <v>585</v>
      </c>
      <c r="H45" s="17" t="s">
        <v>84</v>
      </c>
      <c r="I45"/>
      <c r="J45"/>
      <c r="K45"/>
      <c r="L45"/>
      <c r="M45"/>
      <c r="N45"/>
      <c r="O45"/>
      <c r="P45"/>
      <c r="Q45"/>
      <c r="R45"/>
      <c r="S45"/>
      <c r="T45"/>
      <c r="U45">
        <v>51</v>
      </c>
      <c r="V45" s="16">
        <f>V44+1</f>
        <v>44</v>
      </c>
      <c r="W45" s="16" t="s">
        <v>67</v>
      </c>
      <c r="X45" s="16" t="s">
        <v>67</v>
      </c>
      <c r="Y45" s="19" t="s">
        <v>67</v>
      </c>
      <c r="Z45" s="18" t="s">
        <v>456</v>
      </c>
      <c r="AA45" s="16" t="s">
        <v>456</v>
      </c>
      <c r="AB45" s="20" t="s">
        <v>456</v>
      </c>
      <c r="AC45" s="19" t="s">
        <v>67</v>
      </c>
      <c r="AD45" s="20" t="s">
        <v>456</v>
      </c>
      <c r="AE45" s="20" t="s">
        <v>456</v>
      </c>
      <c r="AF45" s="19" t="s">
        <v>631</v>
      </c>
      <c r="AG45"/>
      <c r="AH45"/>
      <c r="AI45"/>
      <c r="AJ45" s="16" t="s">
        <v>379</v>
      </c>
      <c r="AK45"/>
      <c r="AL45" s="16">
        <v>4913</v>
      </c>
      <c r="AM45" s="16" t="s">
        <v>232</v>
      </c>
      <c r="AN45"/>
      <c r="AO45" s="19" t="s">
        <v>981</v>
      </c>
      <c r="AP45" s="19" t="s">
        <v>825</v>
      </c>
      <c r="AQ45" s="19" t="s">
        <v>826</v>
      </c>
      <c r="AR45" s="19" t="s">
        <v>1038</v>
      </c>
      <c r="AS45" s="21" t="s">
        <v>1039</v>
      </c>
      <c r="AT45" s="21" t="s">
        <v>1039</v>
      </c>
      <c r="AU45" s="19" t="s">
        <v>1040</v>
      </c>
      <c r="AV45" s="19" t="s">
        <v>1040</v>
      </c>
      <c r="AW45" s="19">
        <f>LEN(SUBSTITUTE(AV45, ", "," "))</f>
        <v>45</v>
      </c>
      <c r="AX45" s="21" t="s">
        <v>985</v>
      </c>
      <c r="AY45" s="21" t="s">
        <v>902</v>
      </c>
      <c r="AZ45" s="21" t="s">
        <v>986</v>
      </c>
      <c r="BA45" s="19"/>
      <c r="BB45" s="19"/>
      <c r="BC45" s="21" t="s">
        <v>1041</v>
      </c>
      <c r="BD45" s="19"/>
      <c r="BE45" s="19"/>
      <c r="BF45" s="19"/>
      <c r="BG45" s="21" t="s">
        <v>835</v>
      </c>
      <c r="BH45" s="19"/>
      <c r="BI45" s="19"/>
      <c r="BJ45" s="19"/>
      <c r="BK45" s="19"/>
      <c r="BL45" s="21" t="s">
        <v>751</v>
      </c>
      <c r="BM45" s="21" t="s">
        <v>838</v>
      </c>
      <c r="BN45" s="21" t="s">
        <v>753</v>
      </c>
      <c r="BO45" s="19"/>
      <c r="BP45" s="19"/>
      <c r="BQ45" s="19" t="s">
        <v>1042</v>
      </c>
      <c r="BR45" s="19"/>
      <c r="BS45" s="19"/>
      <c r="BT45" s="19"/>
      <c r="BU45" s="19"/>
      <c r="BV45" s="19"/>
      <c r="BW45" s="19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1633</v>
      </c>
    </row>
    <row r="46" spans="1:110" ht="12" customHeight="1" x14ac:dyDescent="0.25">
      <c r="A46" s="15" t="s">
        <v>422</v>
      </c>
      <c r="B46" s="16" t="s">
        <v>40</v>
      </c>
      <c r="C46" s="16" t="s">
        <v>494</v>
      </c>
      <c r="D46" t="s">
        <v>198</v>
      </c>
      <c r="E46" s="19" t="s">
        <v>584</v>
      </c>
      <c r="F46" t="s">
        <v>198</v>
      </c>
      <c r="G46" s="19" t="s">
        <v>585</v>
      </c>
      <c r="H46" s="17" t="s">
        <v>84</v>
      </c>
      <c r="I46"/>
      <c r="J46"/>
      <c r="K46"/>
      <c r="L46"/>
      <c r="M46"/>
      <c r="N46"/>
      <c r="O46"/>
      <c r="P46"/>
      <c r="Q46"/>
      <c r="R46"/>
      <c r="S46"/>
      <c r="T46"/>
      <c r="U46">
        <v>52</v>
      </c>
      <c r="V46" s="16">
        <f>V45+1</f>
        <v>45</v>
      </c>
      <c r="W46" s="16" t="s">
        <v>67</v>
      </c>
      <c r="X46" s="16" t="s">
        <v>67</v>
      </c>
      <c r="Y46" s="19" t="s">
        <v>67</v>
      </c>
      <c r="Z46" s="18" t="s">
        <v>385</v>
      </c>
      <c r="AA46" s="16" t="s">
        <v>385</v>
      </c>
      <c r="AB46" s="20" t="s">
        <v>385</v>
      </c>
      <c r="AC46" s="19" t="s">
        <v>67</v>
      </c>
      <c r="AD46" s="20" t="s">
        <v>385</v>
      </c>
      <c r="AE46" s="20" t="s">
        <v>385</v>
      </c>
      <c r="AF46" s="19" t="s">
        <v>632</v>
      </c>
      <c r="AG46"/>
      <c r="AH46"/>
      <c r="AI46"/>
      <c r="AJ46" s="16" t="s">
        <v>353</v>
      </c>
      <c r="AK46"/>
      <c r="AL46" s="16">
        <v>4913</v>
      </c>
      <c r="AM46" s="16" t="s">
        <v>123</v>
      </c>
      <c r="AN46"/>
      <c r="AO46" s="19" t="s">
        <v>981</v>
      </c>
      <c r="AP46" s="19" t="s">
        <v>825</v>
      </c>
      <c r="AQ46" s="19" t="s">
        <v>826</v>
      </c>
      <c r="AR46" s="19" t="s">
        <v>1043</v>
      </c>
      <c r="AS46" s="21" t="s">
        <v>1044</v>
      </c>
      <c r="AT46" s="21" t="s">
        <v>1044</v>
      </c>
      <c r="AU46" s="19" t="s">
        <v>1045</v>
      </c>
      <c r="AV46" s="19" t="s">
        <v>1045</v>
      </c>
      <c r="AW46" s="19">
        <f>LEN(SUBSTITUTE(AV46, ", "," "))</f>
        <v>45</v>
      </c>
      <c r="AX46" s="21" t="s">
        <v>985</v>
      </c>
      <c r="AY46" s="21" t="s">
        <v>902</v>
      </c>
      <c r="AZ46" s="21" t="s">
        <v>986</v>
      </c>
      <c r="BA46" s="19"/>
      <c r="BB46" s="19"/>
      <c r="BC46" s="21" t="s">
        <v>1046</v>
      </c>
      <c r="BD46" s="19"/>
      <c r="BE46" s="19"/>
      <c r="BF46" s="19"/>
      <c r="BG46" s="21" t="s">
        <v>835</v>
      </c>
      <c r="BH46" s="19"/>
      <c r="BI46" s="19"/>
      <c r="BJ46" s="19"/>
      <c r="BK46" s="19"/>
      <c r="BL46" s="21" t="s">
        <v>751</v>
      </c>
      <c r="BM46" s="21" t="s">
        <v>838</v>
      </c>
      <c r="BN46" s="21" t="s">
        <v>753</v>
      </c>
      <c r="BO46" s="19"/>
      <c r="BP46" s="19"/>
      <c r="BQ46" s="19" t="s">
        <v>922</v>
      </c>
      <c r="BR46" s="19"/>
      <c r="BS46" s="19"/>
      <c r="BT46" s="19"/>
      <c r="BU46" s="19"/>
      <c r="BV46" s="19"/>
      <c r="BW46" s="19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1633</v>
      </c>
    </row>
    <row r="47" spans="1:110" ht="12" customHeight="1" x14ac:dyDescent="0.25">
      <c r="A47" s="15" t="s">
        <v>422</v>
      </c>
      <c r="B47" s="16" t="s">
        <v>40</v>
      </c>
      <c r="C47" s="16" t="s">
        <v>494</v>
      </c>
      <c r="D47" t="s">
        <v>198</v>
      </c>
      <c r="E47" s="19" t="s">
        <v>583</v>
      </c>
      <c r="F47" t="s">
        <v>198</v>
      </c>
      <c r="G47" s="19" t="s">
        <v>585</v>
      </c>
      <c r="H47" s="17" t="s">
        <v>84</v>
      </c>
      <c r="I47"/>
      <c r="J47"/>
      <c r="K47"/>
      <c r="L47"/>
      <c r="M47"/>
      <c r="N47"/>
      <c r="O47"/>
      <c r="P47"/>
      <c r="Q47"/>
      <c r="R47"/>
      <c r="S47"/>
      <c r="T47"/>
      <c r="U47">
        <v>53</v>
      </c>
      <c r="V47" s="16">
        <f>V46+1</f>
        <v>46</v>
      </c>
      <c r="W47" s="16" t="s">
        <v>67</v>
      </c>
      <c r="X47" s="16" t="s">
        <v>67</v>
      </c>
      <c r="Y47" s="19" t="s">
        <v>67</v>
      </c>
      <c r="Z47" s="18" t="s">
        <v>180</v>
      </c>
      <c r="AA47" s="16" t="s">
        <v>180</v>
      </c>
      <c r="AB47" s="20" t="s">
        <v>180</v>
      </c>
      <c r="AC47" s="19" t="s">
        <v>67</v>
      </c>
      <c r="AD47" s="20" t="s">
        <v>180</v>
      </c>
      <c r="AE47" s="20" t="s">
        <v>180</v>
      </c>
      <c r="AF47" s="19" t="s">
        <v>633</v>
      </c>
      <c r="AG47"/>
      <c r="AH47"/>
      <c r="AI47"/>
      <c r="AJ47" s="16" t="s">
        <v>355</v>
      </c>
      <c r="AK47"/>
      <c r="AL47" s="16">
        <v>4913</v>
      </c>
      <c r="AM47" s="16" t="s">
        <v>38</v>
      </c>
      <c r="AN47"/>
      <c r="AO47" s="19" t="s">
        <v>981</v>
      </c>
      <c r="AP47" s="19" t="s">
        <v>825</v>
      </c>
      <c r="AQ47" s="19" t="s">
        <v>826</v>
      </c>
      <c r="AR47" s="19" t="s">
        <v>1047</v>
      </c>
      <c r="AS47" s="21" t="s">
        <v>1048</v>
      </c>
      <c r="AT47" s="21" t="s">
        <v>1048</v>
      </c>
      <c r="AU47" s="19" t="s">
        <v>1049</v>
      </c>
      <c r="AV47" s="19" t="s">
        <v>1049</v>
      </c>
      <c r="AW47" s="19">
        <f>LEN(SUBSTITUTE(AV47, ", "," "))</f>
        <v>45</v>
      </c>
      <c r="AX47" s="21" t="s">
        <v>985</v>
      </c>
      <c r="AY47" s="21" t="s">
        <v>902</v>
      </c>
      <c r="AZ47" s="21" t="s">
        <v>986</v>
      </c>
      <c r="BA47" s="19"/>
      <c r="BB47" s="19"/>
      <c r="BC47" s="21" t="s">
        <v>1050</v>
      </c>
      <c r="BD47" s="19"/>
      <c r="BE47" s="19"/>
      <c r="BF47" s="19"/>
      <c r="BG47" s="21" t="s">
        <v>835</v>
      </c>
      <c r="BH47" s="19"/>
      <c r="BI47" s="19"/>
      <c r="BJ47" s="19"/>
      <c r="BK47" s="19"/>
      <c r="BL47" s="21" t="s">
        <v>751</v>
      </c>
      <c r="BM47" s="21" t="s">
        <v>838</v>
      </c>
      <c r="BN47" s="21" t="s">
        <v>753</v>
      </c>
      <c r="BO47" s="19"/>
      <c r="BP47" s="19"/>
      <c r="BQ47" s="19" t="s">
        <v>1051</v>
      </c>
      <c r="BR47" s="19"/>
      <c r="BS47" s="19"/>
      <c r="BT47" s="19"/>
      <c r="BU47" s="19"/>
      <c r="BV47" s="19"/>
      <c r="BW47" s="19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1633</v>
      </c>
    </row>
    <row r="48" spans="1:110" ht="12" customHeight="1" x14ac:dyDescent="0.25">
      <c r="A48" s="15" t="s">
        <v>422</v>
      </c>
      <c r="B48" s="16" t="s">
        <v>40</v>
      </c>
      <c r="C48" s="16" t="s">
        <v>494</v>
      </c>
      <c r="D48" t="s">
        <v>198</v>
      </c>
      <c r="E48" s="19" t="s">
        <v>583</v>
      </c>
      <c r="F48" t="s">
        <v>198</v>
      </c>
      <c r="G48" s="19" t="s">
        <v>585</v>
      </c>
      <c r="H48" s="17" t="s">
        <v>84</v>
      </c>
      <c r="I48"/>
      <c r="J48"/>
      <c r="K48"/>
      <c r="L48"/>
      <c r="M48"/>
      <c r="N48"/>
      <c r="O48"/>
      <c r="P48"/>
      <c r="Q48"/>
      <c r="R48"/>
      <c r="S48"/>
      <c r="T48"/>
      <c r="U48">
        <v>54</v>
      </c>
      <c r="V48" s="16">
        <f>V47+1</f>
        <v>47</v>
      </c>
      <c r="W48" s="16" t="s">
        <v>67</v>
      </c>
      <c r="X48" s="16" t="s">
        <v>67</v>
      </c>
      <c r="Y48" s="19" t="s">
        <v>67</v>
      </c>
      <c r="Z48" s="18" t="s">
        <v>361</v>
      </c>
      <c r="AA48" s="16" t="s">
        <v>361</v>
      </c>
      <c r="AB48" s="20" t="s">
        <v>361</v>
      </c>
      <c r="AC48" s="19" t="s">
        <v>67</v>
      </c>
      <c r="AD48" s="20" t="s">
        <v>361</v>
      </c>
      <c r="AE48" s="20" t="s">
        <v>361</v>
      </c>
      <c r="AF48" s="19" t="s">
        <v>634</v>
      </c>
      <c r="AG48"/>
      <c r="AH48"/>
      <c r="AI48"/>
      <c r="AJ48" s="16" t="s">
        <v>541</v>
      </c>
      <c r="AK48"/>
      <c r="AL48" s="16">
        <v>4913</v>
      </c>
      <c r="AM48" s="16" t="s">
        <v>559</v>
      </c>
      <c r="AN48"/>
      <c r="AO48" s="19" t="s">
        <v>981</v>
      </c>
      <c r="AP48" s="19" t="s">
        <v>825</v>
      </c>
      <c r="AQ48" s="19" t="s">
        <v>826</v>
      </c>
      <c r="AR48" s="19" t="s">
        <v>1052</v>
      </c>
      <c r="AS48" s="21" t="s">
        <v>1053</v>
      </c>
      <c r="AT48" s="21" t="s">
        <v>1053</v>
      </c>
      <c r="AU48" s="19" t="s">
        <v>1054</v>
      </c>
      <c r="AV48" s="19" t="s">
        <v>1054</v>
      </c>
      <c r="AW48" s="19">
        <f>LEN(SUBSTITUTE(AV48, ", "," "))</f>
        <v>45</v>
      </c>
      <c r="AX48" s="21" t="s">
        <v>985</v>
      </c>
      <c r="AY48" s="21" t="s">
        <v>902</v>
      </c>
      <c r="AZ48" s="21" t="s">
        <v>986</v>
      </c>
      <c r="BA48" s="19"/>
      <c r="BB48" s="19"/>
      <c r="BC48" s="21" t="s">
        <v>1055</v>
      </c>
      <c r="BD48" s="19"/>
      <c r="BE48" s="19"/>
      <c r="BF48" s="19"/>
      <c r="BG48" s="21" t="s">
        <v>835</v>
      </c>
      <c r="BH48" s="19"/>
      <c r="BI48" s="19"/>
      <c r="BJ48" s="19"/>
      <c r="BK48" s="19"/>
      <c r="BL48" s="21" t="s">
        <v>751</v>
      </c>
      <c r="BM48" s="21" t="s">
        <v>838</v>
      </c>
      <c r="BN48" s="21" t="s">
        <v>753</v>
      </c>
      <c r="BO48" s="19"/>
      <c r="BP48" s="19"/>
      <c r="BQ48" s="19" t="s">
        <v>1056</v>
      </c>
      <c r="BR48" s="19"/>
      <c r="BS48" s="19"/>
      <c r="BT48" s="19"/>
      <c r="BU48" s="19"/>
      <c r="BV48" s="19"/>
      <c r="BW48" s="19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1633</v>
      </c>
    </row>
    <row r="49" spans="1:110" ht="12" customHeight="1" x14ac:dyDescent="0.25">
      <c r="A49" s="15" t="s">
        <v>422</v>
      </c>
      <c r="B49" s="16" t="s">
        <v>40</v>
      </c>
      <c r="C49" s="16" t="s">
        <v>494</v>
      </c>
      <c r="D49" t="s">
        <v>198</v>
      </c>
      <c r="E49" s="19" t="s">
        <v>584</v>
      </c>
      <c r="F49" t="s">
        <v>198</v>
      </c>
      <c r="G49" s="19" t="s">
        <v>585</v>
      </c>
      <c r="H49" s="17" t="s">
        <v>84</v>
      </c>
      <c r="I49"/>
      <c r="J49"/>
      <c r="K49"/>
      <c r="L49"/>
      <c r="M49"/>
      <c r="N49"/>
      <c r="O49"/>
      <c r="P49"/>
      <c r="Q49"/>
      <c r="R49"/>
      <c r="S49"/>
      <c r="T49"/>
      <c r="U49">
        <v>55</v>
      </c>
      <c r="V49" s="16">
        <f>V48+1</f>
        <v>48</v>
      </c>
      <c r="W49" s="16" t="s">
        <v>67</v>
      </c>
      <c r="X49" s="16" t="s">
        <v>67</v>
      </c>
      <c r="Y49" s="19" t="s">
        <v>67</v>
      </c>
      <c r="Z49" s="18" t="s">
        <v>210</v>
      </c>
      <c r="AA49" s="16" t="s">
        <v>210</v>
      </c>
      <c r="AB49" s="20" t="s">
        <v>210</v>
      </c>
      <c r="AC49" s="19" t="s">
        <v>67</v>
      </c>
      <c r="AD49" s="20" t="s">
        <v>210</v>
      </c>
      <c r="AE49" s="20" t="s">
        <v>210</v>
      </c>
      <c r="AF49" s="19" t="s">
        <v>635</v>
      </c>
      <c r="AG49"/>
      <c r="AH49"/>
      <c r="AI49"/>
      <c r="AJ49" s="16" t="s">
        <v>451</v>
      </c>
      <c r="AK49"/>
      <c r="AL49" s="16">
        <v>4913</v>
      </c>
      <c r="AM49" s="16" t="s">
        <v>467</v>
      </c>
      <c r="AN49"/>
      <c r="AO49" s="19" t="s">
        <v>981</v>
      </c>
      <c r="AP49" s="19" t="s">
        <v>825</v>
      </c>
      <c r="AQ49" s="19" t="s">
        <v>826</v>
      </c>
      <c r="AR49" s="19" t="s">
        <v>1057</v>
      </c>
      <c r="AS49" s="21" t="s">
        <v>1058</v>
      </c>
      <c r="AT49" s="21" t="s">
        <v>1058</v>
      </c>
      <c r="AU49" s="19" t="s">
        <v>1059</v>
      </c>
      <c r="AV49" s="19" t="s">
        <v>1059</v>
      </c>
      <c r="AW49" s="19">
        <f>LEN(SUBSTITUTE(AV49, ", "," "))</f>
        <v>45</v>
      </c>
      <c r="AX49" s="21" t="s">
        <v>985</v>
      </c>
      <c r="AY49" s="21" t="s">
        <v>902</v>
      </c>
      <c r="AZ49" s="21" t="s">
        <v>986</v>
      </c>
      <c r="BA49" s="19"/>
      <c r="BB49" s="19"/>
      <c r="BC49" s="21" t="s">
        <v>1060</v>
      </c>
      <c r="BD49" s="19"/>
      <c r="BE49" s="19"/>
      <c r="BF49" s="19"/>
      <c r="BG49" s="21" t="s">
        <v>835</v>
      </c>
      <c r="BH49" s="19"/>
      <c r="BI49" s="19"/>
      <c r="BJ49" s="19"/>
      <c r="BK49" s="19"/>
      <c r="BL49" s="21" t="s">
        <v>751</v>
      </c>
      <c r="BM49" s="21" t="s">
        <v>838</v>
      </c>
      <c r="BN49" s="21" t="s">
        <v>753</v>
      </c>
      <c r="BO49" s="19"/>
      <c r="BP49" s="19"/>
      <c r="BQ49" s="19" t="s">
        <v>922</v>
      </c>
      <c r="BR49" s="19"/>
      <c r="BS49" s="19"/>
      <c r="BT49" s="19"/>
      <c r="BU49" s="19"/>
      <c r="BV49" s="19"/>
      <c r="BW49" s="1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1633</v>
      </c>
    </row>
    <row r="50" spans="1:110" ht="12" customHeight="1" x14ac:dyDescent="0.25">
      <c r="A50" s="15" t="s">
        <v>422</v>
      </c>
      <c r="B50" s="16" t="s">
        <v>40</v>
      </c>
      <c r="C50" s="16" t="s">
        <v>494</v>
      </c>
      <c r="D50" t="s">
        <v>198</v>
      </c>
      <c r="E50" s="19" t="s">
        <v>583</v>
      </c>
      <c r="F50" t="s">
        <v>198</v>
      </c>
      <c r="G50" s="19" t="s">
        <v>585</v>
      </c>
      <c r="H50" s="17" t="s">
        <v>84</v>
      </c>
      <c r="I50"/>
      <c r="J50"/>
      <c r="K50"/>
      <c r="L50"/>
      <c r="M50"/>
      <c r="N50"/>
      <c r="O50"/>
      <c r="P50"/>
      <c r="Q50"/>
      <c r="R50"/>
      <c r="S50"/>
      <c r="T50"/>
      <c r="U50">
        <v>56</v>
      </c>
      <c r="V50" s="16">
        <f>V49+1</f>
        <v>49</v>
      </c>
      <c r="W50" s="16" t="s">
        <v>67</v>
      </c>
      <c r="X50" s="16" t="s">
        <v>67</v>
      </c>
      <c r="Y50" s="19" t="s">
        <v>67</v>
      </c>
      <c r="Z50" s="18" t="s">
        <v>279</v>
      </c>
      <c r="AA50" s="16" t="s">
        <v>279</v>
      </c>
      <c r="AB50" s="20" t="s">
        <v>279</v>
      </c>
      <c r="AC50" s="19" t="s">
        <v>67</v>
      </c>
      <c r="AD50" s="20" t="s">
        <v>279</v>
      </c>
      <c r="AE50" s="20" t="s">
        <v>279</v>
      </c>
      <c r="AF50" s="19" t="s">
        <v>636</v>
      </c>
      <c r="AG50"/>
      <c r="AH50"/>
      <c r="AI50"/>
      <c r="AJ50" s="16" t="s">
        <v>251</v>
      </c>
      <c r="AK50"/>
      <c r="AL50" s="16">
        <v>4913</v>
      </c>
      <c r="AM50" s="16" t="s">
        <v>391</v>
      </c>
      <c r="AN50"/>
      <c r="AO50" s="19" t="s">
        <v>981</v>
      </c>
      <c r="AP50" s="19" t="s">
        <v>825</v>
      </c>
      <c r="AQ50" s="19" t="s">
        <v>826</v>
      </c>
      <c r="AR50" s="19" t="s">
        <v>1061</v>
      </c>
      <c r="AS50" s="21" t="s">
        <v>1062</v>
      </c>
      <c r="AT50" s="21" t="s">
        <v>1062</v>
      </c>
      <c r="AU50" s="19" t="s">
        <v>1063</v>
      </c>
      <c r="AV50" s="19" t="s">
        <v>1063</v>
      </c>
      <c r="AW50" s="19">
        <f>LEN(SUBSTITUTE(AV50, ", "," "))</f>
        <v>45</v>
      </c>
      <c r="AX50" s="21" t="s">
        <v>985</v>
      </c>
      <c r="AY50" s="21" t="s">
        <v>902</v>
      </c>
      <c r="AZ50" s="21" t="s">
        <v>986</v>
      </c>
      <c r="BA50" s="19"/>
      <c r="BB50" s="19"/>
      <c r="BC50" s="21" t="s">
        <v>1064</v>
      </c>
      <c r="BD50" s="19"/>
      <c r="BE50" s="19"/>
      <c r="BF50" s="19"/>
      <c r="BG50" s="21" t="s">
        <v>835</v>
      </c>
      <c r="BH50" s="19"/>
      <c r="BI50" s="19"/>
      <c r="BJ50" s="19"/>
      <c r="BK50" s="19"/>
      <c r="BL50" s="21" t="s">
        <v>751</v>
      </c>
      <c r="BM50" s="21" t="s">
        <v>838</v>
      </c>
      <c r="BN50" s="21" t="s">
        <v>753</v>
      </c>
      <c r="BO50" s="19"/>
      <c r="BP50" s="19"/>
      <c r="BQ50" s="19" t="s">
        <v>1065</v>
      </c>
      <c r="BR50" s="19"/>
      <c r="BS50" s="19"/>
      <c r="BT50" s="19"/>
      <c r="BU50" s="19"/>
      <c r="BV50" s="19"/>
      <c r="BW50" s="19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1633</v>
      </c>
    </row>
    <row r="51" spans="1:110" ht="12" customHeight="1" x14ac:dyDescent="0.25">
      <c r="A51" s="15" t="s">
        <v>422</v>
      </c>
      <c r="B51" s="16" t="s">
        <v>40</v>
      </c>
      <c r="C51" s="16" t="s">
        <v>494</v>
      </c>
      <c r="D51" t="s">
        <v>198</v>
      </c>
      <c r="E51" s="19" t="s">
        <v>583</v>
      </c>
      <c r="F51" t="s">
        <v>198</v>
      </c>
      <c r="G51" s="19" t="s">
        <v>585</v>
      </c>
      <c r="H51" s="17" t="s">
        <v>84</v>
      </c>
      <c r="I51"/>
      <c r="J51"/>
      <c r="K51"/>
      <c r="L51"/>
      <c r="M51"/>
      <c r="N51"/>
      <c r="O51"/>
      <c r="P51"/>
      <c r="Q51"/>
      <c r="R51"/>
      <c r="S51"/>
      <c r="T51"/>
      <c r="U51">
        <v>57</v>
      </c>
      <c r="V51" s="16">
        <f>V50+1</f>
        <v>50</v>
      </c>
      <c r="W51" s="16" t="s">
        <v>67</v>
      </c>
      <c r="X51" s="16" t="s">
        <v>67</v>
      </c>
      <c r="Y51" s="19" t="s">
        <v>67</v>
      </c>
      <c r="Z51" s="18" t="s">
        <v>150</v>
      </c>
      <c r="AA51" s="16" t="s">
        <v>150</v>
      </c>
      <c r="AB51" s="20" t="s">
        <v>150</v>
      </c>
      <c r="AC51" s="19" t="s">
        <v>67</v>
      </c>
      <c r="AD51" s="20" t="s">
        <v>150</v>
      </c>
      <c r="AE51" s="20" t="s">
        <v>150</v>
      </c>
      <c r="AF51" s="19" t="s">
        <v>637</v>
      </c>
      <c r="AG51"/>
      <c r="AH51"/>
      <c r="AI51"/>
      <c r="AJ51" s="16" t="s">
        <v>215</v>
      </c>
      <c r="AK51"/>
      <c r="AL51" s="16">
        <v>4913</v>
      </c>
      <c r="AM51" s="16" t="s">
        <v>136</v>
      </c>
      <c r="AN51"/>
      <c r="AO51" s="19" t="s">
        <v>981</v>
      </c>
      <c r="AP51" s="19" t="s">
        <v>825</v>
      </c>
      <c r="AQ51" s="19" t="s">
        <v>826</v>
      </c>
      <c r="AR51" s="19" t="s">
        <v>1066</v>
      </c>
      <c r="AS51" s="21" t="s">
        <v>1067</v>
      </c>
      <c r="AT51" s="21" t="s">
        <v>1067</v>
      </c>
      <c r="AU51" s="19" t="s">
        <v>1068</v>
      </c>
      <c r="AV51" s="19" t="s">
        <v>1068</v>
      </c>
      <c r="AW51" s="19">
        <f>LEN(SUBSTITUTE(AV51, ", "," "))</f>
        <v>45</v>
      </c>
      <c r="AX51" s="21" t="s">
        <v>985</v>
      </c>
      <c r="AY51" s="21" t="s">
        <v>902</v>
      </c>
      <c r="AZ51" s="21" t="s">
        <v>986</v>
      </c>
      <c r="BA51" s="19"/>
      <c r="BB51" s="19"/>
      <c r="BC51" s="21" t="s">
        <v>1069</v>
      </c>
      <c r="BD51" s="19"/>
      <c r="BE51" s="19"/>
      <c r="BF51" s="19"/>
      <c r="BG51" s="21" t="s">
        <v>835</v>
      </c>
      <c r="BH51" s="19"/>
      <c r="BI51" s="19"/>
      <c r="BJ51" s="19"/>
      <c r="BK51" s="19"/>
      <c r="BL51" s="21" t="s">
        <v>751</v>
      </c>
      <c r="BM51" s="21" t="s">
        <v>838</v>
      </c>
      <c r="BN51" s="21" t="s">
        <v>753</v>
      </c>
      <c r="BO51" s="19"/>
      <c r="BP51" s="19"/>
      <c r="BQ51" s="19" t="s">
        <v>1070</v>
      </c>
      <c r="BR51" s="19"/>
      <c r="BS51" s="19"/>
      <c r="BT51" s="19"/>
      <c r="BU51" s="19"/>
      <c r="BV51" s="19"/>
      <c r="BW51" s="19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1633</v>
      </c>
    </row>
    <row r="52" spans="1:110" ht="12" customHeight="1" x14ac:dyDescent="0.25">
      <c r="A52" s="15" t="s">
        <v>422</v>
      </c>
      <c r="B52" s="16" t="s">
        <v>40</v>
      </c>
      <c r="C52" s="16" t="s">
        <v>494</v>
      </c>
      <c r="D52" t="s">
        <v>198</v>
      </c>
      <c r="E52" s="19" t="s">
        <v>583</v>
      </c>
      <c r="F52" t="s">
        <v>198</v>
      </c>
      <c r="G52" s="19" t="s">
        <v>585</v>
      </c>
      <c r="H52" s="17" t="s">
        <v>84</v>
      </c>
      <c r="I52"/>
      <c r="J52"/>
      <c r="K52"/>
      <c r="L52"/>
      <c r="M52"/>
      <c r="N52"/>
      <c r="O52"/>
      <c r="P52"/>
      <c r="Q52"/>
      <c r="R52"/>
      <c r="S52"/>
      <c r="T52"/>
      <c r="U52">
        <v>58</v>
      </c>
      <c r="V52" s="16">
        <f>V51+1</f>
        <v>51</v>
      </c>
      <c r="W52" s="16" t="s">
        <v>67</v>
      </c>
      <c r="X52" s="16" t="s">
        <v>67</v>
      </c>
      <c r="Y52" s="19" t="s">
        <v>67</v>
      </c>
      <c r="Z52" s="18" t="s">
        <v>563</v>
      </c>
      <c r="AA52" s="16" t="s">
        <v>563</v>
      </c>
      <c r="AB52" s="20" t="s">
        <v>563</v>
      </c>
      <c r="AC52" s="19" t="s">
        <v>67</v>
      </c>
      <c r="AD52" s="20" t="s">
        <v>563</v>
      </c>
      <c r="AE52" s="20" t="s">
        <v>563</v>
      </c>
      <c r="AF52" s="19" t="s">
        <v>638</v>
      </c>
      <c r="AG52"/>
      <c r="AH52"/>
      <c r="AI52"/>
      <c r="AJ52" s="16" t="s">
        <v>260</v>
      </c>
      <c r="AK52"/>
      <c r="AL52" s="16">
        <v>4913</v>
      </c>
      <c r="AM52" s="16" t="s">
        <v>254</v>
      </c>
      <c r="AN52"/>
      <c r="AO52" s="19" t="s">
        <v>981</v>
      </c>
      <c r="AP52" s="19" t="s">
        <v>825</v>
      </c>
      <c r="AQ52" s="19" t="s">
        <v>826</v>
      </c>
      <c r="AR52" s="19" t="s">
        <v>1071</v>
      </c>
      <c r="AS52" s="21" t="s">
        <v>1072</v>
      </c>
      <c r="AT52" s="21" t="s">
        <v>1072</v>
      </c>
      <c r="AU52" s="19" t="s">
        <v>1073</v>
      </c>
      <c r="AV52" s="19" t="s">
        <v>1073</v>
      </c>
      <c r="AW52" s="19">
        <f>LEN(SUBSTITUTE(AV52, ", "," "))</f>
        <v>45</v>
      </c>
      <c r="AX52" s="21" t="s">
        <v>985</v>
      </c>
      <c r="AY52" s="21" t="s">
        <v>902</v>
      </c>
      <c r="AZ52" s="21" t="s">
        <v>986</v>
      </c>
      <c r="BA52" s="19"/>
      <c r="BB52" s="19"/>
      <c r="BC52" s="21" t="s">
        <v>1074</v>
      </c>
      <c r="BD52" s="19"/>
      <c r="BE52" s="19"/>
      <c r="BF52" s="19"/>
      <c r="BG52" s="21" t="s">
        <v>835</v>
      </c>
      <c r="BH52" s="19"/>
      <c r="BI52" s="19"/>
      <c r="BJ52" s="19"/>
      <c r="BK52" s="19"/>
      <c r="BL52" s="21" t="s">
        <v>751</v>
      </c>
      <c r="BM52" s="21" t="s">
        <v>838</v>
      </c>
      <c r="BN52" s="21" t="s">
        <v>753</v>
      </c>
      <c r="BO52" s="19"/>
      <c r="BP52" s="19"/>
      <c r="BQ52" s="19" t="s">
        <v>1075</v>
      </c>
      <c r="BR52" s="19"/>
      <c r="BS52" s="19"/>
      <c r="BT52" s="19"/>
      <c r="BU52" s="19"/>
      <c r="BV52" s="19"/>
      <c r="BW52" s="19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1633</v>
      </c>
    </row>
    <row r="53" spans="1:110" ht="12" customHeight="1" x14ac:dyDescent="0.25">
      <c r="A53" s="15" t="s">
        <v>422</v>
      </c>
      <c r="B53" s="16" t="s">
        <v>40</v>
      </c>
      <c r="C53" s="16" t="s">
        <v>494</v>
      </c>
      <c r="D53" t="s">
        <v>198</v>
      </c>
      <c r="E53" s="19" t="s">
        <v>584</v>
      </c>
      <c r="F53" t="s">
        <v>198</v>
      </c>
      <c r="G53" s="19" t="s">
        <v>585</v>
      </c>
      <c r="H53" s="17" t="s">
        <v>84</v>
      </c>
      <c r="I53"/>
      <c r="J53"/>
      <c r="K53"/>
      <c r="L53"/>
      <c r="M53"/>
      <c r="N53"/>
      <c r="O53"/>
      <c r="P53"/>
      <c r="Q53"/>
      <c r="R53"/>
      <c r="S53"/>
      <c r="T53"/>
      <c r="U53">
        <v>59</v>
      </c>
      <c r="V53" s="16">
        <f>V52+1</f>
        <v>52</v>
      </c>
      <c r="W53" s="16" t="s">
        <v>67</v>
      </c>
      <c r="X53" s="16" t="s">
        <v>67</v>
      </c>
      <c r="Y53" s="19" t="s">
        <v>67</v>
      </c>
      <c r="Z53" s="18" t="s">
        <v>51</v>
      </c>
      <c r="AA53" s="16" t="s">
        <v>51</v>
      </c>
      <c r="AB53" s="20" t="s">
        <v>51</v>
      </c>
      <c r="AC53" s="19" t="s">
        <v>67</v>
      </c>
      <c r="AD53" s="20" t="s">
        <v>51</v>
      </c>
      <c r="AE53" s="20" t="s">
        <v>51</v>
      </c>
      <c r="AF53" s="19" t="s">
        <v>639</v>
      </c>
      <c r="AG53"/>
      <c r="AH53"/>
      <c r="AI53"/>
      <c r="AJ53" s="16" t="s">
        <v>238</v>
      </c>
      <c r="AK53"/>
      <c r="AL53" s="16">
        <v>4913</v>
      </c>
      <c r="AM53" s="16" t="s">
        <v>402</v>
      </c>
      <c r="AN53"/>
      <c r="AO53" s="19" t="s">
        <v>981</v>
      </c>
      <c r="AP53" s="19" t="s">
        <v>825</v>
      </c>
      <c r="AQ53" s="19" t="s">
        <v>826</v>
      </c>
      <c r="AR53" s="19" t="s">
        <v>1076</v>
      </c>
      <c r="AS53" s="21" t="s">
        <v>1077</v>
      </c>
      <c r="AT53" s="21" t="s">
        <v>1077</v>
      </c>
      <c r="AU53" s="19" t="s">
        <v>1078</v>
      </c>
      <c r="AV53" s="19" t="s">
        <v>1078</v>
      </c>
      <c r="AW53" s="19">
        <f>LEN(SUBSTITUTE(AV53, ", "," "))</f>
        <v>45</v>
      </c>
      <c r="AX53" s="21" t="s">
        <v>985</v>
      </c>
      <c r="AY53" s="21" t="s">
        <v>902</v>
      </c>
      <c r="AZ53" s="21" t="s">
        <v>986</v>
      </c>
      <c r="BA53" s="19"/>
      <c r="BB53" s="19"/>
      <c r="BC53" s="21" t="s">
        <v>1079</v>
      </c>
      <c r="BD53" s="19"/>
      <c r="BE53" s="19"/>
      <c r="BF53" s="19"/>
      <c r="BG53" s="21" t="s">
        <v>835</v>
      </c>
      <c r="BH53" s="19"/>
      <c r="BI53" s="19"/>
      <c r="BJ53" s="19"/>
      <c r="BK53" s="19"/>
      <c r="BL53" s="21" t="s">
        <v>751</v>
      </c>
      <c r="BM53" s="21" t="s">
        <v>838</v>
      </c>
      <c r="BN53" s="21" t="s">
        <v>753</v>
      </c>
      <c r="BO53" s="19"/>
      <c r="BP53" s="19"/>
      <c r="BQ53" s="19" t="s">
        <v>922</v>
      </c>
      <c r="BR53" s="19"/>
      <c r="BS53" s="19"/>
      <c r="BT53" s="19"/>
      <c r="BU53" s="19"/>
      <c r="BV53" s="19"/>
      <c r="BW53" s="19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1633</v>
      </c>
    </row>
    <row r="54" spans="1:110" ht="12" customHeight="1" x14ac:dyDescent="0.25">
      <c r="A54" s="15" t="s">
        <v>422</v>
      </c>
      <c r="B54" s="16" t="s">
        <v>40</v>
      </c>
      <c r="C54" s="16" t="s">
        <v>494</v>
      </c>
      <c r="D54" t="s">
        <v>198</v>
      </c>
      <c r="E54" s="19" t="s">
        <v>583</v>
      </c>
      <c r="F54" t="s">
        <v>198</v>
      </c>
      <c r="G54" s="19" t="s">
        <v>585</v>
      </c>
      <c r="H54" s="17" t="s">
        <v>84</v>
      </c>
      <c r="I54"/>
      <c r="J54"/>
      <c r="K54"/>
      <c r="L54"/>
      <c r="M54"/>
      <c r="N54"/>
      <c r="O54"/>
      <c r="P54"/>
      <c r="Q54"/>
      <c r="R54"/>
      <c r="S54"/>
      <c r="T54"/>
      <c r="U54">
        <v>60</v>
      </c>
      <c r="V54" s="16">
        <f>V53+1</f>
        <v>53</v>
      </c>
      <c r="W54" s="16" t="s">
        <v>67</v>
      </c>
      <c r="X54" s="16" t="s">
        <v>67</v>
      </c>
      <c r="Y54" s="19" t="s">
        <v>67</v>
      </c>
      <c r="Z54" s="18" t="s">
        <v>448</v>
      </c>
      <c r="AA54" s="16" t="s">
        <v>448</v>
      </c>
      <c r="AB54" s="20" t="s">
        <v>448</v>
      </c>
      <c r="AC54" s="19" t="s">
        <v>67</v>
      </c>
      <c r="AD54" s="20" t="s">
        <v>448</v>
      </c>
      <c r="AE54" s="20" t="s">
        <v>448</v>
      </c>
      <c r="AF54" s="19" t="s">
        <v>640</v>
      </c>
      <c r="AG54"/>
      <c r="AH54"/>
      <c r="AI54"/>
      <c r="AJ54" s="16" t="s">
        <v>292</v>
      </c>
      <c r="AK54"/>
      <c r="AL54" s="16">
        <v>4913</v>
      </c>
      <c r="AM54" s="16" t="s">
        <v>310</v>
      </c>
      <c r="AN54"/>
      <c r="AO54" s="19" t="s">
        <v>1080</v>
      </c>
      <c r="AP54" s="19" t="s">
        <v>825</v>
      </c>
      <c r="AQ54" s="19" t="s">
        <v>826</v>
      </c>
      <c r="AR54" s="19" t="s">
        <v>1081</v>
      </c>
      <c r="AS54" s="21" t="s">
        <v>1082</v>
      </c>
      <c r="AT54" s="21" t="s">
        <v>1082</v>
      </c>
      <c r="AU54" s="19" t="s">
        <v>1083</v>
      </c>
      <c r="AV54" s="19" t="s">
        <v>1083</v>
      </c>
      <c r="AW54" s="19">
        <f>LEN(SUBSTITUTE(AV54, ", "," "))</f>
        <v>56</v>
      </c>
      <c r="AX54" s="21" t="s">
        <v>1084</v>
      </c>
      <c r="AY54" s="21" t="s">
        <v>902</v>
      </c>
      <c r="AZ54" s="19"/>
      <c r="BA54" s="22" t="s">
        <v>1085</v>
      </c>
      <c r="BB54" s="19"/>
      <c r="BC54" s="21" t="s">
        <v>904</v>
      </c>
      <c r="BD54" s="21" t="s">
        <v>1086</v>
      </c>
      <c r="BE54" s="19"/>
      <c r="BF54" s="19"/>
      <c r="BG54" s="21" t="s">
        <v>835</v>
      </c>
      <c r="BH54" s="19"/>
      <c r="BI54" s="21" t="s">
        <v>905</v>
      </c>
      <c r="BJ54" s="19"/>
      <c r="BK54" s="19"/>
      <c r="BL54" s="21" t="s">
        <v>751</v>
      </c>
      <c r="BM54" s="21" t="s">
        <v>838</v>
      </c>
      <c r="BN54" s="21" t="s">
        <v>753</v>
      </c>
      <c r="BO54" s="19"/>
      <c r="BP54" s="19"/>
      <c r="BQ54" s="19" t="s">
        <v>1087</v>
      </c>
      <c r="BR54" s="19"/>
      <c r="BS54" s="19"/>
      <c r="BT54" s="19"/>
      <c r="BU54" s="19"/>
      <c r="BV54" s="19"/>
      <c r="BW54" s="19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1633</v>
      </c>
    </row>
    <row r="55" spans="1:110" ht="12" customHeight="1" x14ac:dyDescent="0.25">
      <c r="A55" s="15" t="s">
        <v>422</v>
      </c>
      <c r="B55" s="16" t="s">
        <v>40</v>
      </c>
      <c r="C55" s="16" t="s">
        <v>494</v>
      </c>
      <c r="D55" t="s">
        <v>198</v>
      </c>
      <c r="E55" s="19" t="s">
        <v>583</v>
      </c>
      <c r="F55" t="s">
        <v>198</v>
      </c>
      <c r="G55" s="19" t="s">
        <v>585</v>
      </c>
      <c r="H55" s="17" t="s">
        <v>84</v>
      </c>
      <c r="I55"/>
      <c r="J55"/>
      <c r="K55"/>
      <c r="L55"/>
      <c r="M55"/>
      <c r="N55"/>
      <c r="O55"/>
      <c r="P55"/>
      <c r="Q55"/>
      <c r="R55"/>
      <c r="S55"/>
      <c r="T55"/>
      <c r="U55">
        <v>61</v>
      </c>
      <c r="V55" s="16">
        <f>V54+1</f>
        <v>54</v>
      </c>
      <c r="W55" s="16" t="s">
        <v>67</v>
      </c>
      <c r="X55" s="16" t="s">
        <v>67</v>
      </c>
      <c r="Y55" s="19" t="s">
        <v>67</v>
      </c>
      <c r="Z55" s="18" t="s">
        <v>367</v>
      </c>
      <c r="AA55" s="16" t="s">
        <v>367</v>
      </c>
      <c r="AB55" s="20" t="s">
        <v>367</v>
      </c>
      <c r="AC55" s="19" t="s">
        <v>67</v>
      </c>
      <c r="AD55" s="20" t="s">
        <v>367</v>
      </c>
      <c r="AE55" s="20" t="s">
        <v>367</v>
      </c>
      <c r="AF55" s="19" t="s">
        <v>641</v>
      </c>
      <c r="AG55"/>
      <c r="AH55"/>
      <c r="AI55"/>
      <c r="AJ55" s="16" t="s">
        <v>430</v>
      </c>
      <c r="AK55"/>
      <c r="AL55" s="16">
        <v>4913</v>
      </c>
      <c r="AM55" s="16" t="s">
        <v>233</v>
      </c>
      <c r="AN55"/>
      <c r="AO55" s="19" t="s">
        <v>1080</v>
      </c>
      <c r="AP55" s="19" t="s">
        <v>825</v>
      </c>
      <c r="AQ55" s="19" t="s">
        <v>826</v>
      </c>
      <c r="AR55" s="19" t="s">
        <v>1088</v>
      </c>
      <c r="AS55" s="21" t="s">
        <v>1089</v>
      </c>
      <c r="AT55" s="21" t="s">
        <v>1089</v>
      </c>
      <c r="AU55" s="19" t="s">
        <v>1090</v>
      </c>
      <c r="AV55" s="19" t="s">
        <v>1090</v>
      </c>
      <c r="AW55" s="19">
        <f>LEN(SUBSTITUTE(AV55, ", "," "))</f>
        <v>56</v>
      </c>
      <c r="AX55" s="21" t="s">
        <v>1084</v>
      </c>
      <c r="AY55" s="21" t="s">
        <v>902</v>
      </c>
      <c r="AZ55" s="19"/>
      <c r="BA55" s="21" t="s">
        <v>1091</v>
      </c>
      <c r="BB55" s="19"/>
      <c r="BC55" s="21" t="s">
        <v>911</v>
      </c>
      <c r="BD55" s="21" t="s">
        <v>1086</v>
      </c>
      <c r="BE55" s="19"/>
      <c r="BF55" s="19"/>
      <c r="BG55" s="21" t="s">
        <v>835</v>
      </c>
      <c r="BH55" s="19"/>
      <c r="BI55" s="21" t="s">
        <v>905</v>
      </c>
      <c r="BJ55" s="19"/>
      <c r="BK55" s="19"/>
      <c r="BL55" s="21" t="s">
        <v>751</v>
      </c>
      <c r="BM55" s="21" t="s">
        <v>838</v>
      </c>
      <c r="BN55" s="21" t="s">
        <v>753</v>
      </c>
      <c r="BO55" s="19"/>
      <c r="BP55" s="19"/>
      <c r="BQ55" s="19" t="s">
        <v>1092</v>
      </c>
      <c r="BR55" s="19"/>
      <c r="BS55" s="19"/>
      <c r="BT55" s="19"/>
      <c r="BU55" s="19"/>
      <c r="BV55" s="19"/>
      <c r="BW55" s="19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1633</v>
      </c>
    </row>
    <row r="56" spans="1:110" ht="12" customHeight="1" x14ac:dyDescent="0.25">
      <c r="A56" s="15" t="s">
        <v>422</v>
      </c>
      <c r="B56" s="16" t="s">
        <v>40</v>
      </c>
      <c r="C56" s="16" t="s">
        <v>494</v>
      </c>
      <c r="D56" t="s">
        <v>198</v>
      </c>
      <c r="E56" s="19" t="s">
        <v>583</v>
      </c>
      <c r="F56" t="s">
        <v>198</v>
      </c>
      <c r="G56" s="19" t="s">
        <v>585</v>
      </c>
      <c r="H56" s="17" t="s">
        <v>84</v>
      </c>
      <c r="I56"/>
      <c r="J56"/>
      <c r="K56"/>
      <c r="L56"/>
      <c r="M56"/>
      <c r="N56"/>
      <c r="O56"/>
      <c r="P56"/>
      <c r="Q56"/>
      <c r="R56"/>
      <c r="S56"/>
      <c r="T56"/>
      <c r="U56">
        <v>62</v>
      </c>
      <c r="V56" s="16">
        <f>V55+1</f>
        <v>55</v>
      </c>
      <c r="W56" s="16" t="s">
        <v>67</v>
      </c>
      <c r="X56" s="16" t="s">
        <v>67</v>
      </c>
      <c r="Y56" s="19" t="s">
        <v>67</v>
      </c>
      <c r="Z56" s="18" t="s">
        <v>375</v>
      </c>
      <c r="AA56" s="16" t="s">
        <v>375</v>
      </c>
      <c r="AB56" s="20" t="s">
        <v>375</v>
      </c>
      <c r="AC56" s="19" t="s">
        <v>67</v>
      </c>
      <c r="AD56" s="20" t="s">
        <v>375</v>
      </c>
      <c r="AE56" s="20" t="s">
        <v>375</v>
      </c>
      <c r="AF56" s="19" t="s">
        <v>642</v>
      </c>
      <c r="AG56"/>
      <c r="AH56"/>
      <c r="AI56"/>
      <c r="AJ56" s="16" t="s">
        <v>221</v>
      </c>
      <c r="AK56"/>
      <c r="AL56" s="16">
        <v>4913</v>
      </c>
      <c r="AM56" s="16" t="s">
        <v>124</v>
      </c>
      <c r="AN56"/>
      <c r="AO56" s="19" t="s">
        <v>1080</v>
      </c>
      <c r="AP56" s="19" t="s">
        <v>825</v>
      </c>
      <c r="AQ56" s="19" t="s">
        <v>826</v>
      </c>
      <c r="AR56" s="19" t="s">
        <v>1093</v>
      </c>
      <c r="AS56" s="21" t="s">
        <v>1094</v>
      </c>
      <c r="AT56" s="21" t="s">
        <v>1094</v>
      </c>
      <c r="AU56" s="19" t="s">
        <v>1095</v>
      </c>
      <c r="AV56" s="19" t="s">
        <v>1095</v>
      </c>
      <c r="AW56" s="19">
        <f>LEN(SUBSTITUTE(AV56, ", "," "))</f>
        <v>56</v>
      </c>
      <c r="AX56" s="21" t="s">
        <v>1084</v>
      </c>
      <c r="AY56" s="21" t="s">
        <v>902</v>
      </c>
      <c r="AZ56" s="19"/>
      <c r="BA56" s="21" t="s">
        <v>1096</v>
      </c>
      <c r="BB56" s="19"/>
      <c r="BC56" s="21" t="s">
        <v>1097</v>
      </c>
      <c r="BD56" s="21" t="s">
        <v>1086</v>
      </c>
      <c r="BE56" s="19"/>
      <c r="BF56" s="19"/>
      <c r="BG56" s="21" t="s">
        <v>835</v>
      </c>
      <c r="BH56" s="19"/>
      <c r="BI56" s="21" t="s">
        <v>905</v>
      </c>
      <c r="BJ56" s="19"/>
      <c r="BK56" s="19"/>
      <c r="BL56" s="21" t="s">
        <v>751</v>
      </c>
      <c r="BM56" s="21" t="s">
        <v>838</v>
      </c>
      <c r="BN56" s="21" t="s">
        <v>753</v>
      </c>
      <c r="BO56" s="19"/>
      <c r="BP56" s="19"/>
      <c r="BQ56" s="19" t="s">
        <v>1098</v>
      </c>
      <c r="BR56" s="19"/>
      <c r="BS56" s="19"/>
      <c r="BT56" s="19"/>
      <c r="BU56" s="19"/>
      <c r="BV56" s="19"/>
      <c r="BW56" s="19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1633</v>
      </c>
    </row>
    <row r="57" spans="1:110" ht="12" customHeight="1" x14ac:dyDescent="0.25">
      <c r="A57" s="15" t="s">
        <v>422</v>
      </c>
      <c r="B57" s="16" t="s">
        <v>40</v>
      </c>
      <c r="C57" s="16" t="s">
        <v>494</v>
      </c>
      <c r="D57" t="s">
        <v>198</v>
      </c>
      <c r="E57" s="19" t="s">
        <v>583</v>
      </c>
      <c r="F57" t="s">
        <v>198</v>
      </c>
      <c r="G57" s="19" t="s">
        <v>585</v>
      </c>
      <c r="H57" s="17" t="s">
        <v>84</v>
      </c>
      <c r="I57"/>
      <c r="J57"/>
      <c r="K57"/>
      <c r="L57"/>
      <c r="M57"/>
      <c r="N57"/>
      <c r="O57"/>
      <c r="P57"/>
      <c r="Q57"/>
      <c r="R57"/>
      <c r="S57"/>
      <c r="T57"/>
      <c r="U57">
        <v>63</v>
      </c>
      <c r="V57" s="16">
        <f>V56+1</f>
        <v>56</v>
      </c>
      <c r="W57" s="16" t="s">
        <v>67</v>
      </c>
      <c r="X57" s="16" t="s">
        <v>67</v>
      </c>
      <c r="Y57" s="19" t="s">
        <v>67</v>
      </c>
      <c r="Z57" s="18" t="s">
        <v>492</v>
      </c>
      <c r="AA57" s="16" t="s">
        <v>492</v>
      </c>
      <c r="AB57" s="20" t="s">
        <v>492</v>
      </c>
      <c r="AC57" s="19" t="s">
        <v>67</v>
      </c>
      <c r="AD57" s="20" t="s">
        <v>492</v>
      </c>
      <c r="AE57" s="20" t="s">
        <v>492</v>
      </c>
      <c r="AF57" s="19" t="s">
        <v>643</v>
      </c>
      <c r="AG57"/>
      <c r="AH57"/>
      <c r="AI57"/>
      <c r="AJ57" s="16" t="s">
        <v>75</v>
      </c>
      <c r="AK57"/>
      <c r="AL57" s="16">
        <v>4913</v>
      </c>
      <c r="AM57" s="16" t="s">
        <v>39</v>
      </c>
      <c r="AN57"/>
      <c r="AO57" s="19" t="s">
        <v>1080</v>
      </c>
      <c r="AP57" s="19" t="s">
        <v>825</v>
      </c>
      <c r="AQ57" s="19" t="s">
        <v>826</v>
      </c>
      <c r="AR57" s="19" t="s">
        <v>1099</v>
      </c>
      <c r="AS57" s="21" t="s">
        <v>1100</v>
      </c>
      <c r="AT57" s="21" t="s">
        <v>1100</v>
      </c>
      <c r="AU57" s="19" t="s">
        <v>1101</v>
      </c>
      <c r="AV57" s="19" t="s">
        <v>1101</v>
      </c>
      <c r="AW57" s="19">
        <f>LEN(SUBSTITUTE(AV57, ", "," "))</f>
        <v>56</v>
      </c>
      <c r="AX57" s="21" t="s">
        <v>1084</v>
      </c>
      <c r="AY57" s="21" t="s">
        <v>902</v>
      </c>
      <c r="AZ57" s="19"/>
      <c r="BA57" s="21" t="s">
        <v>1102</v>
      </c>
      <c r="BB57" s="19"/>
      <c r="BC57" s="21" t="s">
        <v>1103</v>
      </c>
      <c r="BD57" s="21" t="s">
        <v>1086</v>
      </c>
      <c r="BE57" s="19"/>
      <c r="BF57" s="19"/>
      <c r="BG57" s="21" t="s">
        <v>835</v>
      </c>
      <c r="BH57" s="19"/>
      <c r="BI57" s="21" t="s">
        <v>905</v>
      </c>
      <c r="BJ57" s="19"/>
      <c r="BK57" s="19"/>
      <c r="BL57" s="21" t="s">
        <v>751</v>
      </c>
      <c r="BM57" s="21" t="s">
        <v>838</v>
      </c>
      <c r="BN57" s="21" t="s">
        <v>753</v>
      </c>
      <c r="BO57" s="19"/>
      <c r="BP57" s="19"/>
      <c r="BQ57" s="19" t="s">
        <v>1104</v>
      </c>
      <c r="BR57" s="19"/>
      <c r="BS57" s="19"/>
      <c r="BT57" s="19"/>
      <c r="BU57" s="19"/>
      <c r="BV57" s="19"/>
      <c r="BW57" s="19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1633</v>
      </c>
    </row>
    <row r="58" spans="1:110" ht="12" customHeight="1" x14ac:dyDescent="0.25">
      <c r="A58" s="15" t="s">
        <v>422</v>
      </c>
      <c r="B58" s="16" t="s">
        <v>40</v>
      </c>
      <c r="C58" s="16" t="s">
        <v>494</v>
      </c>
      <c r="D58" t="s">
        <v>198</v>
      </c>
      <c r="E58" s="19" t="s">
        <v>583</v>
      </c>
      <c r="F58" t="s">
        <v>198</v>
      </c>
      <c r="G58" s="19" t="s">
        <v>585</v>
      </c>
      <c r="H58" s="17" t="s">
        <v>84</v>
      </c>
      <c r="I58"/>
      <c r="J58"/>
      <c r="K58"/>
      <c r="L58"/>
      <c r="M58"/>
      <c r="N58"/>
      <c r="O58"/>
      <c r="P58"/>
      <c r="Q58"/>
      <c r="R58"/>
      <c r="S58"/>
      <c r="T58"/>
      <c r="U58">
        <v>64</v>
      </c>
      <c r="V58" s="16">
        <f>V57+1</f>
        <v>57</v>
      </c>
      <c r="W58" s="16" t="s">
        <v>67</v>
      </c>
      <c r="X58" s="16" t="s">
        <v>67</v>
      </c>
      <c r="Y58" s="19" t="s">
        <v>67</v>
      </c>
      <c r="Z58" s="18" t="s">
        <v>426</v>
      </c>
      <c r="AA58" s="16" t="s">
        <v>426</v>
      </c>
      <c r="AB58" s="20" t="s">
        <v>426</v>
      </c>
      <c r="AC58" s="19" t="s">
        <v>67</v>
      </c>
      <c r="AD58" s="20" t="s">
        <v>426</v>
      </c>
      <c r="AE58" s="20" t="s">
        <v>426</v>
      </c>
      <c r="AF58" s="19" t="s">
        <v>644</v>
      </c>
      <c r="AG58"/>
      <c r="AH58"/>
      <c r="AI58"/>
      <c r="AJ58" s="16" t="s">
        <v>113</v>
      </c>
      <c r="AK58"/>
      <c r="AL58" s="16">
        <v>4913</v>
      </c>
      <c r="AM58" s="16" t="s">
        <v>560</v>
      </c>
      <c r="AN58"/>
      <c r="AO58" s="19" t="s">
        <v>1105</v>
      </c>
      <c r="AP58" s="19" t="s">
        <v>888</v>
      </c>
      <c r="AQ58" s="19" t="s">
        <v>889</v>
      </c>
      <c r="AR58" s="19" t="s">
        <v>1106</v>
      </c>
      <c r="AS58" s="21" t="s">
        <v>1107</v>
      </c>
      <c r="AT58" s="21" t="s">
        <v>1107</v>
      </c>
      <c r="AU58" s="19" t="s">
        <v>1108</v>
      </c>
      <c r="AV58" s="19" t="s">
        <v>1109</v>
      </c>
      <c r="AW58" s="19">
        <f>LEN(SUBSTITUTE(AV58, ", "," "))</f>
        <v>59</v>
      </c>
      <c r="AX58" s="21" t="s">
        <v>1110</v>
      </c>
      <c r="AY58" s="21" t="s">
        <v>1111</v>
      </c>
      <c r="AZ58" s="21" t="s">
        <v>1112</v>
      </c>
      <c r="BA58" s="21" t="s">
        <v>1113</v>
      </c>
      <c r="BB58" s="19"/>
      <c r="BC58" s="22" t="s">
        <v>1114</v>
      </c>
      <c r="BD58" s="19"/>
      <c r="BE58" s="19"/>
      <c r="BF58" s="19"/>
      <c r="BG58" s="21" t="s">
        <v>835</v>
      </c>
      <c r="BH58" s="21" t="s">
        <v>1115</v>
      </c>
      <c r="BI58" s="19"/>
      <c r="BJ58" s="19"/>
      <c r="BK58" s="19"/>
      <c r="BL58" s="21" t="s">
        <v>751</v>
      </c>
      <c r="BM58" s="21" t="s">
        <v>838</v>
      </c>
      <c r="BN58" s="21" t="s">
        <v>753</v>
      </c>
      <c r="BO58" s="19"/>
      <c r="BP58" s="19"/>
      <c r="BQ58" s="19" t="s">
        <v>1116</v>
      </c>
      <c r="BR58" s="19"/>
      <c r="BS58" s="19"/>
      <c r="BT58" s="19"/>
      <c r="BU58" s="19"/>
      <c r="BV58" s="19"/>
      <c r="BW58" s="19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1633</v>
      </c>
    </row>
    <row r="59" spans="1:110" ht="12" customHeight="1" x14ac:dyDescent="0.25">
      <c r="A59" s="15" t="s">
        <v>422</v>
      </c>
      <c r="B59" s="16" t="s">
        <v>40</v>
      </c>
      <c r="C59" s="16" t="s">
        <v>494</v>
      </c>
      <c r="D59" t="s">
        <v>198</v>
      </c>
      <c r="E59" s="19" t="s">
        <v>583</v>
      </c>
      <c r="F59" t="s">
        <v>198</v>
      </c>
      <c r="G59" s="19" t="s">
        <v>585</v>
      </c>
      <c r="H59" s="17" t="s">
        <v>84</v>
      </c>
      <c r="I59"/>
      <c r="J59"/>
      <c r="K59"/>
      <c r="L59"/>
      <c r="M59"/>
      <c r="N59"/>
      <c r="O59"/>
      <c r="P59"/>
      <c r="Q59"/>
      <c r="R59"/>
      <c r="S59"/>
      <c r="T59"/>
      <c r="U59">
        <v>65</v>
      </c>
      <c r="V59" s="16">
        <f>V58+1</f>
        <v>58</v>
      </c>
      <c r="W59" s="16" t="s">
        <v>67</v>
      </c>
      <c r="X59" s="16" t="s">
        <v>67</v>
      </c>
      <c r="Y59" s="19" t="s">
        <v>67</v>
      </c>
      <c r="Z59" s="18" t="s">
        <v>261</v>
      </c>
      <c r="AA59" s="16" t="s">
        <v>261</v>
      </c>
      <c r="AB59" s="20" t="s">
        <v>261</v>
      </c>
      <c r="AC59" s="19" t="s">
        <v>67</v>
      </c>
      <c r="AD59" s="20" t="s">
        <v>261</v>
      </c>
      <c r="AE59" s="20" t="s">
        <v>261</v>
      </c>
      <c r="AF59" s="19" t="s">
        <v>645</v>
      </c>
      <c r="AG59"/>
      <c r="AH59"/>
      <c r="AI59"/>
      <c r="AJ59" s="16" t="s">
        <v>186</v>
      </c>
      <c r="AK59"/>
      <c r="AL59" s="16">
        <v>4913</v>
      </c>
      <c r="AM59" s="16" t="s">
        <v>468</v>
      </c>
      <c r="AN59"/>
      <c r="AO59" s="19" t="s">
        <v>1105</v>
      </c>
      <c r="AP59" s="19" t="s">
        <v>888</v>
      </c>
      <c r="AQ59" s="19" t="s">
        <v>889</v>
      </c>
      <c r="AR59" s="19" t="s">
        <v>1117</v>
      </c>
      <c r="AS59" s="21" t="s">
        <v>1118</v>
      </c>
      <c r="AT59" s="21" t="s">
        <v>1118</v>
      </c>
      <c r="AU59" s="19" t="s">
        <v>1119</v>
      </c>
      <c r="AV59" s="19" t="s">
        <v>1120</v>
      </c>
      <c r="AW59" s="19">
        <f>LEN(SUBSTITUTE(AV59, ", "," "))</f>
        <v>59</v>
      </c>
      <c r="AX59" s="21" t="s">
        <v>1110</v>
      </c>
      <c r="AY59" s="21" t="s">
        <v>1111</v>
      </c>
      <c r="AZ59" s="21" t="s">
        <v>1112</v>
      </c>
      <c r="BA59" s="21" t="s">
        <v>1121</v>
      </c>
      <c r="BB59" s="19"/>
      <c r="BC59" s="22" t="s">
        <v>1122</v>
      </c>
      <c r="BD59" s="19"/>
      <c r="BE59" s="19"/>
      <c r="BF59" s="19"/>
      <c r="BG59" s="21" t="s">
        <v>835</v>
      </c>
      <c r="BH59" s="21" t="s">
        <v>1115</v>
      </c>
      <c r="BI59" s="19"/>
      <c r="BJ59" s="19"/>
      <c r="BK59" s="19"/>
      <c r="BL59" s="21" t="s">
        <v>751</v>
      </c>
      <c r="BM59" s="21" t="s">
        <v>838</v>
      </c>
      <c r="BN59" s="21" t="s">
        <v>753</v>
      </c>
      <c r="BO59" s="19"/>
      <c r="BP59" s="19"/>
      <c r="BQ59" s="19" t="s">
        <v>1123</v>
      </c>
      <c r="BR59" s="19"/>
      <c r="BS59" s="19"/>
      <c r="BT59" s="19"/>
      <c r="BU59" s="19"/>
      <c r="BV59" s="19"/>
      <c r="BW59" s="1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1633</v>
      </c>
    </row>
    <row r="60" spans="1:110" ht="12" customHeight="1" x14ac:dyDescent="0.25">
      <c r="A60" s="15" t="s">
        <v>422</v>
      </c>
      <c r="B60" s="16" t="s">
        <v>40</v>
      </c>
      <c r="C60" s="16" t="s">
        <v>494</v>
      </c>
      <c r="D60" t="s">
        <v>198</v>
      </c>
      <c r="E60" s="19" t="s">
        <v>584</v>
      </c>
      <c r="F60" t="s">
        <v>198</v>
      </c>
      <c r="G60" s="19" t="s">
        <v>585</v>
      </c>
      <c r="H60" s="17" t="s">
        <v>84</v>
      </c>
      <c r="I60"/>
      <c r="J60"/>
      <c r="K60"/>
      <c r="L60"/>
      <c r="M60"/>
      <c r="N60"/>
      <c r="O60"/>
      <c r="P60"/>
      <c r="Q60"/>
      <c r="R60"/>
      <c r="S60"/>
      <c r="T60"/>
      <c r="U60">
        <v>66</v>
      </c>
      <c r="V60" s="16">
        <f>V59+1</f>
        <v>59</v>
      </c>
      <c r="W60" s="16" t="s">
        <v>67</v>
      </c>
      <c r="X60" s="16" t="s">
        <v>67</v>
      </c>
      <c r="Y60" s="19" t="s">
        <v>67</v>
      </c>
      <c r="Z60" s="18" t="s">
        <v>73</v>
      </c>
      <c r="AA60" s="16" t="s">
        <v>73</v>
      </c>
      <c r="AB60" s="20" t="s">
        <v>73</v>
      </c>
      <c r="AC60" s="19" t="s">
        <v>67</v>
      </c>
      <c r="AD60" s="20" t="s">
        <v>73</v>
      </c>
      <c r="AE60" s="20" t="s">
        <v>73</v>
      </c>
      <c r="AF60" s="19" t="s">
        <v>646</v>
      </c>
      <c r="AG60"/>
      <c r="AH60"/>
      <c r="AI60"/>
      <c r="AJ60" s="16" t="s">
        <v>532</v>
      </c>
      <c r="AK60"/>
      <c r="AL60" s="16">
        <v>4913</v>
      </c>
      <c r="AM60" s="16" t="s">
        <v>392</v>
      </c>
      <c r="AN60"/>
      <c r="AO60" s="19" t="s">
        <v>1124</v>
      </c>
      <c r="AP60" s="19" t="s">
        <v>825</v>
      </c>
      <c r="AQ60" s="19" t="s">
        <v>826</v>
      </c>
      <c r="AR60" s="19" t="s">
        <v>532</v>
      </c>
      <c r="AS60" s="21" t="s">
        <v>1125</v>
      </c>
      <c r="AT60" s="21" t="s">
        <v>1125</v>
      </c>
      <c r="AU60" s="19" t="s">
        <v>1126</v>
      </c>
      <c r="AV60" s="19" t="s">
        <v>1126</v>
      </c>
      <c r="AW60" s="19">
        <f>LEN(SUBSTITUTE(AV60, ", "," "))</f>
        <v>57</v>
      </c>
      <c r="AX60" s="21" t="s">
        <v>1127</v>
      </c>
      <c r="AY60" s="21" t="s">
        <v>832</v>
      </c>
      <c r="AZ60" s="21" t="s">
        <v>1128</v>
      </c>
      <c r="BA60" s="22" t="s">
        <v>1129</v>
      </c>
      <c r="BB60" s="19"/>
      <c r="BC60" s="21" t="s">
        <v>1130</v>
      </c>
      <c r="BD60" s="19"/>
      <c r="BE60" s="19"/>
      <c r="BF60" s="19"/>
      <c r="BG60" s="21" t="s">
        <v>835</v>
      </c>
      <c r="BH60" s="19"/>
      <c r="BI60" s="21" t="s">
        <v>1131</v>
      </c>
      <c r="BJ60" s="19"/>
      <c r="BK60" s="19"/>
      <c r="BL60" s="21" t="s">
        <v>751</v>
      </c>
      <c r="BM60" s="21" t="s">
        <v>838</v>
      </c>
      <c r="BN60" s="21" t="s">
        <v>753</v>
      </c>
      <c r="BO60" s="19"/>
      <c r="BP60" s="19"/>
      <c r="BQ60" s="19" t="s">
        <v>922</v>
      </c>
      <c r="BR60" s="19"/>
      <c r="BS60" s="19"/>
      <c r="BT60" s="19"/>
      <c r="BU60" s="19"/>
      <c r="BV60" s="19"/>
      <c r="BW60" s="19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1633</v>
      </c>
    </row>
    <row r="61" spans="1:110" ht="12" customHeight="1" x14ac:dyDescent="0.25">
      <c r="A61" s="15" t="s">
        <v>422</v>
      </c>
      <c r="B61" s="16" t="s">
        <v>40</v>
      </c>
      <c r="C61" s="16" t="s">
        <v>494</v>
      </c>
      <c r="D61" t="s">
        <v>198</v>
      </c>
      <c r="E61" s="19" t="s">
        <v>584</v>
      </c>
      <c r="F61" t="s">
        <v>198</v>
      </c>
      <c r="G61" s="19" t="s">
        <v>585</v>
      </c>
      <c r="H61" s="17" t="s">
        <v>84</v>
      </c>
      <c r="I61"/>
      <c r="J61"/>
      <c r="K61"/>
      <c r="L61"/>
      <c r="M61"/>
      <c r="N61"/>
      <c r="O61"/>
      <c r="P61"/>
      <c r="Q61"/>
      <c r="R61"/>
      <c r="S61"/>
      <c r="T61"/>
      <c r="U61">
        <v>67</v>
      </c>
      <c r="V61" s="16">
        <f>V60+1</f>
        <v>60</v>
      </c>
      <c r="W61" s="16" t="s">
        <v>67</v>
      </c>
      <c r="X61" s="16" t="s">
        <v>67</v>
      </c>
      <c r="Y61" s="19" t="s">
        <v>67</v>
      </c>
      <c r="Z61" s="18" t="s">
        <v>85</v>
      </c>
      <c r="AA61" s="16" t="s">
        <v>85</v>
      </c>
      <c r="AB61" s="20" t="s">
        <v>85</v>
      </c>
      <c r="AC61" s="19" t="s">
        <v>67</v>
      </c>
      <c r="AD61" s="20" t="s">
        <v>85</v>
      </c>
      <c r="AE61" s="20" t="s">
        <v>85</v>
      </c>
      <c r="AF61" s="19" t="s">
        <v>647</v>
      </c>
      <c r="AG61"/>
      <c r="AH61"/>
      <c r="AI61"/>
      <c r="AJ61" s="16" t="s">
        <v>197</v>
      </c>
      <c r="AK61"/>
      <c r="AL61" s="16">
        <v>4913</v>
      </c>
      <c r="AM61" s="16" t="s">
        <v>137</v>
      </c>
      <c r="AN61"/>
      <c r="AO61" s="19" t="s">
        <v>1124</v>
      </c>
      <c r="AP61" s="19" t="s">
        <v>825</v>
      </c>
      <c r="AQ61" s="19" t="s">
        <v>826</v>
      </c>
      <c r="AR61" s="19" t="s">
        <v>197</v>
      </c>
      <c r="AS61" s="21" t="s">
        <v>1132</v>
      </c>
      <c r="AT61" s="21" t="s">
        <v>1132</v>
      </c>
      <c r="AU61" s="19" t="s">
        <v>1133</v>
      </c>
      <c r="AV61" s="19" t="s">
        <v>1133</v>
      </c>
      <c r="AW61" s="19">
        <f>LEN(SUBSTITUTE(AV61, ", "," "))</f>
        <v>57</v>
      </c>
      <c r="AX61" s="21" t="s">
        <v>1127</v>
      </c>
      <c r="AY61" s="21" t="s">
        <v>832</v>
      </c>
      <c r="AZ61" s="21" t="s">
        <v>1128</v>
      </c>
      <c r="BA61" s="22" t="s">
        <v>1134</v>
      </c>
      <c r="BB61" s="19"/>
      <c r="BC61" s="21" t="s">
        <v>1135</v>
      </c>
      <c r="BD61" s="19"/>
      <c r="BE61" s="19"/>
      <c r="BF61" s="19"/>
      <c r="BG61" s="21" t="s">
        <v>835</v>
      </c>
      <c r="BH61" s="19"/>
      <c r="BI61" s="21" t="s">
        <v>1131</v>
      </c>
      <c r="BJ61" s="19"/>
      <c r="BK61" s="19"/>
      <c r="BL61" s="21" t="s">
        <v>751</v>
      </c>
      <c r="BM61" s="21" t="s">
        <v>838</v>
      </c>
      <c r="BN61" s="21" t="s">
        <v>753</v>
      </c>
      <c r="BO61" s="19"/>
      <c r="BP61" s="19"/>
      <c r="BQ61" s="19" t="s">
        <v>922</v>
      </c>
      <c r="BR61" s="19"/>
      <c r="BS61" s="19"/>
      <c r="BT61" s="19"/>
      <c r="BU61" s="19"/>
      <c r="BV61" s="19"/>
      <c r="BW61" s="19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1633</v>
      </c>
    </row>
    <row r="62" spans="1:110" ht="12" customHeight="1" x14ac:dyDescent="0.25">
      <c r="A62" s="15" t="s">
        <v>422</v>
      </c>
      <c r="B62" s="16" t="s">
        <v>40</v>
      </c>
      <c r="C62" s="16" t="s">
        <v>494</v>
      </c>
      <c r="D62" t="s">
        <v>198</v>
      </c>
      <c r="E62" s="19" t="s">
        <v>584</v>
      </c>
      <c r="F62" t="s">
        <v>198</v>
      </c>
      <c r="G62" s="19" t="s">
        <v>585</v>
      </c>
      <c r="H62" s="17" t="s">
        <v>84</v>
      </c>
      <c r="I62"/>
      <c r="J62"/>
      <c r="K62"/>
      <c r="L62"/>
      <c r="M62"/>
      <c r="N62"/>
      <c r="O62"/>
      <c r="P62"/>
      <c r="Q62"/>
      <c r="R62"/>
      <c r="S62"/>
      <c r="T62"/>
      <c r="U62">
        <v>68</v>
      </c>
      <c r="V62" s="16">
        <f>V61+1</f>
        <v>61</v>
      </c>
      <c r="W62" s="16" t="s">
        <v>67</v>
      </c>
      <c r="X62" s="16" t="s">
        <v>67</v>
      </c>
      <c r="Y62" s="19" t="s">
        <v>67</v>
      </c>
      <c r="Z62" s="18" t="s">
        <v>502</v>
      </c>
      <c r="AA62" s="16" t="s">
        <v>502</v>
      </c>
      <c r="AB62" s="20" t="s">
        <v>502</v>
      </c>
      <c r="AC62" s="19" t="s">
        <v>67</v>
      </c>
      <c r="AD62" s="20" t="s">
        <v>502</v>
      </c>
      <c r="AE62" s="20" t="s">
        <v>502</v>
      </c>
      <c r="AF62" s="19" t="s">
        <v>648</v>
      </c>
      <c r="AG62"/>
      <c r="AH62"/>
      <c r="AI62"/>
      <c r="AJ62" s="16" t="s">
        <v>224</v>
      </c>
      <c r="AK62"/>
      <c r="AL62" s="16">
        <v>4913</v>
      </c>
      <c r="AM62" s="16" t="s">
        <v>479</v>
      </c>
      <c r="AN62"/>
      <c r="AO62" s="19" t="s">
        <v>1124</v>
      </c>
      <c r="AP62" s="19" t="s">
        <v>825</v>
      </c>
      <c r="AQ62" s="19" t="s">
        <v>826</v>
      </c>
      <c r="AR62" s="19" t="s">
        <v>224</v>
      </c>
      <c r="AS62" s="21" t="s">
        <v>1136</v>
      </c>
      <c r="AT62" s="21" t="s">
        <v>1136</v>
      </c>
      <c r="AU62" s="19" t="s">
        <v>1137</v>
      </c>
      <c r="AV62" s="19" t="s">
        <v>1137</v>
      </c>
      <c r="AW62" s="19">
        <f>LEN(SUBSTITUTE(AV62, ", "," "))</f>
        <v>57</v>
      </c>
      <c r="AX62" s="21" t="s">
        <v>1127</v>
      </c>
      <c r="AY62" s="21" t="s">
        <v>832</v>
      </c>
      <c r="AZ62" s="21" t="s">
        <v>1128</v>
      </c>
      <c r="BA62" s="22" t="s">
        <v>1138</v>
      </c>
      <c r="BB62" s="19"/>
      <c r="BC62" s="21" t="s">
        <v>1139</v>
      </c>
      <c r="BD62" s="19"/>
      <c r="BE62" s="19"/>
      <c r="BF62" s="19"/>
      <c r="BG62" s="21" t="s">
        <v>835</v>
      </c>
      <c r="BH62" s="19"/>
      <c r="BI62" s="21" t="s">
        <v>1131</v>
      </c>
      <c r="BJ62" s="19"/>
      <c r="BK62" s="19"/>
      <c r="BL62" s="21" t="s">
        <v>751</v>
      </c>
      <c r="BM62" s="21" t="s">
        <v>838</v>
      </c>
      <c r="BN62" s="21" t="s">
        <v>753</v>
      </c>
      <c r="BO62" s="19"/>
      <c r="BP62" s="19"/>
      <c r="BQ62" s="19" t="s">
        <v>922</v>
      </c>
      <c r="BR62" s="19"/>
      <c r="BS62" s="19"/>
      <c r="BT62" s="19"/>
      <c r="BU62" s="19"/>
      <c r="BV62" s="19"/>
      <c r="BW62" s="19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1633</v>
      </c>
    </row>
    <row r="63" spans="1:110" ht="12" customHeight="1" x14ac:dyDescent="0.25">
      <c r="A63" s="15" t="s">
        <v>422</v>
      </c>
      <c r="B63" s="16" t="s">
        <v>40</v>
      </c>
      <c r="C63" s="16" t="s">
        <v>494</v>
      </c>
      <c r="D63" t="s">
        <v>198</v>
      </c>
      <c r="E63" s="19" t="s">
        <v>583</v>
      </c>
      <c r="F63" t="s">
        <v>198</v>
      </c>
      <c r="G63" s="19" t="s">
        <v>585</v>
      </c>
      <c r="H63" s="17" t="s">
        <v>84</v>
      </c>
      <c r="I63"/>
      <c r="J63"/>
      <c r="K63"/>
      <c r="L63"/>
      <c r="M63"/>
      <c r="N63"/>
      <c r="O63"/>
      <c r="P63"/>
      <c r="Q63"/>
      <c r="R63"/>
      <c r="S63"/>
      <c r="T63"/>
      <c r="U63">
        <v>69</v>
      </c>
      <c r="V63" s="16">
        <f>V62+1</f>
        <v>62</v>
      </c>
      <c r="W63" s="16" t="s">
        <v>67</v>
      </c>
      <c r="X63" s="16" t="s">
        <v>67</v>
      </c>
      <c r="Y63" s="19" t="s">
        <v>67</v>
      </c>
      <c r="Z63" s="18" t="s">
        <v>159</v>
      </c>
      <c r="AA63" s="16" t="s">
        <v>159</v>
      </c>
      <c r="AB63" s="20" t="s">
        <v>159</v>
      </c>
      <c r="AC63" s="19" t="s">
        <v>67</v>
      </c>
      <c r="AD63" s="20" t="s">
        <v>159</v>
      </c>
      <c r="AE63" s="20" t="s">
        <v>159</v>
      </c>
      <c r="AF63" s="19" t="s">
        <v>649</v>
      </c>
      <c r="AG63"/>
      <c r="AH63"/>
      <c r="AI63"/>
      <c r="AJ63" s="16" t="s">
        <v>79</v>
      </c>
      <c r="AK63"/>
      <c r="AL63" s="16">
        <v>4913</v>
      </c>
      <c r="AM63" s="16" t="s">
        <v>403</v>
      </c>
      <c r="AN63"/>
      <c r="AO63" s="19" t="s">
        <v>1124</v>
      </c>
      <c r="AP63" s="19" t="s">
        <v>825</v>
      </c>
      <c r="AQ63" s="19" t="s">
        <v>826</v>
      </c>
      <c r="AR63" s="19" t="s">
        <v>1140</v>
      </c>
      <c r="AS63" s="21" t="s">
        <v>1141</v>
      </c>
      <c r="AT63" s="21" t="s">
        <v>1141</v>
      </c>
      <c r="AU63" s="19" t="s">
        <v>1142</v>
      </c>
      <c r="AV63" s="19" t="s">
        <v>1143</v>
      </c>
      <c r="AW63" s="19">
        <f>LEN(SUBSTITUTE(AV63, ", "," "))</f>
        <v>57</v>
      </c>
      <c r="AX63" s="21" t="s">
        <v>1127</v>
      </c>
      <c r="AY63" s="21" t="s">
        <v>832</v>
      </c>
      <c r="AZ63" s="21" t="s">
        <v>986</v>
      </c>
      <c r="BA63" s="21" t="s">
        <v>1144</v>
      </c>
      <c r="BB63" s="19"/>
      <c r="BC63" s="21" t="s">
        <v>1145</v>
      </c>
      <c r="BD63" s="19"/>
      <c r="BE63" s="19"/>
      <c r="BF63" s="19"/>
      <c r="BG63" s="21" t="s">
        <v>835</v>
      </c>
      <c r="BH63" s="19"/>
      <c r="BI63" s="21" t="s">
        <v>1131</v>
      </c>
      <c r="BJ63" s="19"/>
      <c r="BK63" s="19"/>
      <c r="BL63" s="21" t="s">
        <v>751</v>
      </c>
      <c r="BM63" s="21" t="s">
        <v>838</v>
      </c>
      <c r="BN63" s="21" t="s">
        <v>753</v>
      </c>
      <c r="BO63" s="19"/>
      <c r="BP63" s="19"/>
      <c r="BQ63" s="19" t="s">
        <v>1146</v>
      </c>
      <c r="BR63" s="19"/>
      <c r="BS63" s="19"/>
      <c r="BT63" s="19"/>
      <c r="BU63" s="19"/>
      <c r="BV63" s="19"/>
      <c r="BW63" s="19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1633</v>
      </c>
    </row>
    <row r="64" spans="1:110" ht="12" customHeight="1" x14ac:dyDescent="0.25">
      <c r="A64" s="15" t="s">
        <v>422</v>
      </c>
      <c r="B64" s="16" t="s">
        <v>40</v>
      </c>
      <c r="C64" s="16" t="s">
        <v>494</v>
      </c>
      <c r="D64" t="s">
        <v>198</v>
      </c>
      <c r="E64" s="19" t="s">
        <v>583</v>
      </c>
      <c r="F64" t="s">
        <v>198</v>
      </c>
      <c r="G64" s="19" t="s">
        <v>585</v>
      </c>
      <c r="H64" s="17" t="s">
        <v>84</v>
      </c>
      <c r="I64"/>
      <c r="J64"/>
      <c r="K64"/>
      <c r="L64"/>
      <c r="M64"/>
      <c r="N64"/>
      <c r="O64"/>
      <c r="P64"/>
      <c r="Q64"/>
      <c r="R64"/>
      <c r="S64"/>
      <c r="T64"/>
      <c r="U64">
        <v>70</v>
      </c>
      <c r="V64" s="16">
        <f>V63+1</f>
        <v>63</v>
      </c>
      <c r="W64" s="16" t="s">
        <v>67</v>
      </c>
      <c r="X64" s="16" t="s">
        <v>67</v>
      </c>
      <c r="Y64" s="19" t="s">
        <v>67</v>
      </c>
      <c r="Z64" s="18" t="s">
        <v>417</v>
      </c>
      <c r="AA64" s="16" t="s">
        <v>417</v>
      </c>
      <c r="AB64" s="20" t="s">
        <v>417</v>
      </c>
      <c r="AC64" s="19" t="s">
        <v>67</v>
      </c>
      <c r="AD64" s="20" t="s">
        <v>417</v>
      </c>
      <c r="AE64" s="20" t="s">
        <v>417</v>
      </c>
      <c r="AF64" s="19" t="s">
        <v>650</v>
      </c>
      <c r="AG64"/>
      <c r="AH64"/>
      <c r="AI64"/>
      <c r="AJ64" s="16" t="s">
        <v>63</v>
      </c>
      <c r="AK64"/>
      <c r="AL64" s="16">
        <v>4913</v>
      </c>
      <c r="AM64" s="16" t="s">
        <v>579</v>
      </c>
      <c r="AN64"/>
      <c r="AO64" s="19" t="s">
        <v>1124</v>
      </c>
      <c r="AP64" s="19" t="s">
        <v>825</v>
      </c>
      <c r="AQ64" s="19" t="s">
        <v>826</v>
      </c>
      <c r="AR64" s="19" t="s">
        <v>1147</v>
      </c>
      <c r="AS64" s="21" t="s">
        <v>1148</v>
      </c>
      <c r="AT64" s="21" t="s">
        <v>1148</v>
      </c>
      <c r="AU64" s="19" t="s">
        <v>1149</v>
      </c>
      <c r="AV64" s="19" t="s">
        <v>1150</v>
      </c>
      <c r="AW64" s="19">
        <f>LEN(SUBSTITUTE(AV64, ", "," "))</f>
        <v>57</v>
      </c>
      <c r="AX64" s="21" t="s">
        <v>1127</v>
      </c>
      <c r="AY64" s="21" t="s">
        <v>832</v>
      </c>
      <c r="AZ64" s="21" t="s">
        <v>986</v>
      </c>
      <c r="BA64" s="21" t="s">
        <v>1144</v>
      </c>
      <c r="BB64" s="19"/>
      <c r="BC64" s="21" t="s">
        <v>1130</v>
      </c>
      <c r="BD64" s="19"/>
      <c r="BE64" s="19"/>
      <c r="BF64" s="19"/>
      <c r="BG64" s="21" t="s">
        <v>835</v>
      </c>
      <c r="BH64" s="19"/>
      <c r="BI64" s="21" t="s">
        <v>1131</v>
      </c>
      <c r="BJ64" s="19"/>
      <c r="BK64" s="19"/>
      <c r="BL64" s="21" t="s">
        <v>751</v>
      </c>
      <c r="BM64" s="21" t="s">
        <v>838</v>
      </c>
      <c r="BN64" s="21" t="s">
        <v>753</v>
      </c>
      <c r="BO64" s="19"/>
      <c r="BP64" s="19"/>
      <c r="BQ64" s="19" t="s">
        <v>1151</v>
      </c>
      <c r="BR64" s="19"/>
      <c r="BS64" s="19"/>
      <c r="BT64" s="19"/>
      <c r="BU64" s="19"/>
      <c r="BV64" s="19"/>
      <c r="BW64" s="19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1633</v>
      </c>
    </row>
    <row r="65" spans="1:110" ht="12" customHeight="1" x14ac:dyDescent="0.25">
      <c r="A65" s="15" t="s">
        <v>422</v>
      </c>
      <c r="B65" s="16" t="s">
        <v>40</v>
      </c>
      <c r="C65" s="16" t="s">
        <v>494</v>
      </c>
      <c r="D65" t="s">
        <v>198</v>
      </c>
      <c r="E65" s="19" t="s">
        <v>583</v>
      </c>
      <c r="F65" t="s">
        <v>198</v>
      </c>
      <c r="G65" s="19" t="s">
        <v>585</v>
      </c>
      <c r="H65" s="17" t="s">
        <v>84</v>
      </c>
      <c r="I65"/>
      <c r="J65"/>
      <c r="K65"/>
      <c r="L65"/>
      <c r="M65"/>
      <c r="N65"/>
      <c r="O65"/>
      <c r="P65"/>
      <c r="Q65"/>
      <c r="R65"/>
      <c r="S65"/>
      <c r="T65"/>
      <c r="U65">
        <v>71</v>
      </c>
      <c r="V65" s="16">
        <f>V64+1</f>
        <v>64</v>
      </c>
      <c r="W65" s="16" t="s">
        <v>67</v>
      </c>
      <c r="X65" s="16" t="s">
        <v>67</v>
      </c>
      <c r="Y65" s="19" t="s">
        <v>67</v>
      </c>
      <c r="Z65" s="18" t="s">
        <v>573</v>
      </c>
      <c r="AA65" s="16" t="s">
        <v>573</v>
      </c>
      <c r="AB65" s="20" t="s">
        <v>573</v>
      </c>
      <c r="AC65" s="19" t="s">
        <v>67</v>
      </c>
      <c r="AD65" s="20" t="s">
        <v>573</v>
      </c>
      <c r="AE65" s="20" t="s">
        <v>573</v>
      </c>
      <c r="AF65" s="19" t="s">
        <v>651</v>
      </c>
      <c r="AG65"/>
      <c r="AH65"/>
      <c r="AI65"/>
      <c r="AJ65" s="16" t="s">
        <v>374</v>
      </c>
      <c r="AK65"/>
      <c r="AL65" s="16">
        <v>4913</v>
      </c>
      <c r="AM65" s="16" t="s">
        <v>148</v>
      </c>
      <c r="AN65"/>
      <c r="AO65" s="19" t="s">
        <v>1124</v>
      </c>
      <c r="AP65" s="19" t="s">
        <v>825</v>
      </c>
      <c r="AQ65" s="19" t="s">
        <v>826</v>
      </c>
      <c r="AR65" s="19" t="s">
        <v>1152</v>
      </c>
      <c r="AS65" s="21" t="s">
        <v>1153</v>
      </c>
      <c r="AT65" s="21" t="s">
        <v>1153</v>
      </c>
      <c r="AU65" s="19" t="s">
        <v>1154</v>
      </c>
      <c r="AV65" s="19" t="s">
        <v>1155</v>
      </c>
      <c r="AW65" s="19">
        <f>LEN(SUBSTITUTE(AV65, ", "," "))</f>
        <v>57</v>
      </c>
      <c r="AX65" s="21" t="s">
        <v>1127</v>
      </c>
      <c r="AY65" s="21" t="s">
        <v>832</v>
      </c>
      <c r="AZ65" s="21" t="s">
        <v>986</v>
      </c>
      <c r="BA65" s="21" t="s">
        <v>1144</v>
      </c>
      <c r="BB65" s="19"/>
      <c r="BC65" s="21" t="s">
        <v>1135</v>
      </c>
      <c r="BD65" s="19"/>
      <c r="BE65" s="19"/>
      <c r="BF65" s="19"/>
      <c r="BG65" s="21" t="s">
        <v>835</v>
      </c>
      <c r="BH65" s="19"/>
      <c r="BI65" s="21" t="s">
        <v>1131</v>
      </c>
      <c r="BJ65" s="19"/>
      <c r="BK65" s="19"/>
      <c r="BL65" s="21" t="s">
        <v>751</v>
      </c>
      <c r="BM65" s="21" t="s">
        <v>838</v>
      </c>
      <c r="BN65" s="21" t="s">
        <v>753</v>
      </c>
      <c r="BO65" s="19"/>
      <c r="BP65" s="19"/>
      <c r="BQ65" s="19" t="s">
        <v>1156</v>
      </c>
      <c r="BR65" s="19"/>
      <c r="BS65" s="19"/>
      <c r="BT65" s="19"/>
      <c r="BU65" s="19"/>
      <c r="BV65" s="19"/>
      <c r="BW65" s="19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1633</v>
      </c>
    </row>
    <row r="66" spans="1:110" ht="12" customHeight="1" x14ac:dyDescent="0.25">
      <c r="A66" s="15" t="s">
        <v>422</v>
      </c>
      <c r="B66" s="16" t="s">
        <v>40</v>
      </c>
      <c r="C66" s="16" t="s">
        <v>494</v>
      </c>
      <c r="D66" t="s">
        <v>198</v>
      </c>
      <c r="E66" s="19" t="s">
        <v>583</v>
      </c>
      <c r="F66" t="s">
        <v>198</v>
      </c>
      <c r="G66" s="19" t="s">
        <v>585</v>
      </c>
      <c r="H66" s="17" t="s">
        <v>84</v>
      </c>
      <c r="I66"/>
      <c r="J66"/>
      <c r="K66"/>
      <c r="L66"/>
      <c r="M66"/>
      <c r="N66"/>
      <c r="O66"/>
      <c r="P66"/>
      <c r="Q66"/>
      <c r="R66"/>
      <c r="S66"/>
      <c r="T66"/>
      <c r="U66">
        <v>72</v>
      </c>
      <c r="V66" s="16">
        <f>V65+1</f>
        <v>65</v>
      </c>
      <c r="W66" s="16" t="s">
        <v>67</v>
      </c>
      <c r="X66" s="16" t="s">
        <v>67</v>
      </c>
      <c r="Y66" s="19" t="s">
        <v>67</v>
      </c>
      <c r="Z66" s="18" t="s">
        <v>247</v>
      </c>
      <c r="AA66" s="16" t="s">
        <v>247</v>
      </c>
      <c r="AB66" s="20" t="s">
        <v>247</v>
      </c>
      <c r="AC66" s="19" t="s">
        <v>67</v>
      </c>
      <c r="AD66" s="20" t="s">
        <v>247</v>
      </c>
      <c r="AE66" s="20" t="s">
        <v>247</v>
      </c>
      <c r="AF66" s="19" t="s">
        <v>652</v>
      </c>
      <c r="AG66"/>
      <c r="AH66"/>
      <c r="AI66"/>
      <c r="AJ66" s="16" t="s">
        <v>444</v>
      </c>
      <c r="AK66"/>
      <c r="AL66" s="16">
        <v>4913</v>
      </c>
      <c r="AM66" s="16" t="s">
        <v>125</v>
      </c>
      <c r="AN66"/>
      <c r="AO66" s="19" t="s">
        <v>1124</v>
      </c>
      <c r="AP66" s="19" t="s">
        <v>825</v>
      </c>
      <c r="AQ66" s="19" t="s">
        <v>826</v>
      </c>
      <c r="AR66" s="19" t="s">
        <v>1157</v>
      </c>
      <c r="AS66" s="21" t="s">
        <v>1158</v>
      </c>
      <c r="AT66" s="21" t="s">
        <v>1158</v>
      </c>
      <c r="AU66" s="19" t="s">
        <v>1159</v>
      </c>
      <c r="AV66" s="19" t="s">
        <v>1160</v>
      </c>
      <c r="AW66" s="19">
        <f>LEN(SUBSTITUTE(AV66, ", "," "))</f>
        <v>57</v>
      </c>
      <c r="AX66" s="21" t="s">
        <v>1127</v>
      </c>
      <c r="AY66" s="21" t="s">
        <v>832</v>
      </c>
      <c r="AZ66" s="21" t="s">
        <v>986</v>
      </c>
      <c r="BA66" s="21" t="s">
        <v>1144</v>
      </c>
      <c r="BB66" s="19"/>
      <c r="BC66" s="21" t="s">
        <v>1139</v>
      </c>
      <c r="BD66" s="19"/>
      <c r="BE66" s="19"/>
      <c r="BF66" s="19"/>
      <c r="BG66" s="21" t="s">
        <v>835</v>
      </c>
      <c r="BH66" s="19"/>
      <c r="BI66" s="21" t="s">
        <v>1131</v>
      </c>
      <c r="BJ66" s="19"/>
      <c r="BK66" s="19"/>
      <c r="BL66" s="21" t="s">
        <v>751</v>
      </c>
      <c r="BM66" s="21" t="s">
        <v>838</v>
      </c>
      <c r="BN66" s="21" t="s">
        <v>753</v>
      </c>
      <c r="BO66" s="19"/>
      <c r="BP66" s="19"/>
      <c r="BQ66" s="19" t="s">
        <v>1161</v>
      </c>
      <c r="BR66" s="19"/>
      <c r="BS66" s="19"/>
      <c r="BT66" s="19"/>
      <c r="BU66" s="19"/>
      <c r="BV66" s="19"/>
      <c r="BW66" s="19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1633</v>
      </c>
    </row>
    <row r="67" spans="1:110" ht="12" customHeight="1" x14ac:dyDescent="0.25">
      <c r="A67" s="15" t="s">
        <v>422</v>
      </c>
      <c r="B67" s="16" t="s">
        <v>40</v>
      </c>
      <c r="C67" s="16" t="s">
        <v>494</v>
      </c>
      <c r="D67" t="s">
        <v>198</v>
      </c>
      <c r="E67" s="19" t="s">
        <v>584</v>
      </c>
      <c r="F67" t="s">
        <v>198</v>
      </c>
      <c r="G67" s="19" t="s">
        <v>585</v>
      </c>
      <c r="H67" s="17" t="s">
        <v>84</v>
      </c>
      <c r="I67"/>
      <c r="J67"/>
      <c r="K67"/>
      <c r="L67"/>
      <c r="M67"/>
      <c r="N67"/>
      <c r="O67"/>
      <c r="P67"/>
      <c r="Q67"/>
      <c r="R67"/>
      <c r="S67"/>
      <c r="T67"/>
      <c r="U67">
        <v>73</v>
      </c>
      <c r="V67" s="16">
        <f>V66+1</f>
        <v>66</v>
      </c>
      <c r="W67" s="16" t="s">
        <v>67</v>
      </c>
      <c r="X67" s="16" t="s">
        <v>67</v>
      </c>
      <c r="Y67" s="19" t="s">
        <v>67</v>
      </c>
      <c r="Z67" s="18" t="s">
        <v>240</v>
      </c>
      <c r="AA67" s="16" t="s">
        <v>240</v>
      </c>
      <c r="AB67" s="20" t="s">
        <v>240</v>
      </c>
      <c r="AC67" s="19" t="s">
        <v>67</v>
      </c>
      <c r="AD67" s="20" t="s">
        <v>240</v>
      </c>
      <c r="AE67" s="20" t="s">
        <v>240</v>
      </c>
      <c r="AF67" s="19" t="s">
        <v>653</v>
      </c>
      <c r="AG67"/>
      <c r="AH67"/>
      <c r="AI67"/>
      <c r="AJ67" s="16" t="s">
        <v>213</v>
      </c>
      <c r="AK67"/>
      <c r="AL67" s="16">
        <v>4913</v>
      </c>
      <c r="AM67" s="16" t="s">
        <v>347</v>
      </c>
      <c r="AN67"/>
      <c r="AO67" s="19" t="s">
        <v>1124</v>
      </c>
      <c r="AP67" s="19" t="s">
        <v>825</v>
      </c>
      <c r="AQ67" s="19" t="s">
        <v>826</v>
      </c>
      <c r="AR67" s="19" t="s">
        <v>1162</v>
      </c>
      <c r="AS67" s="21" t="s">
        <v>1163</v>
      </c>
      <c r="AT67" s="21" t="s">
        <v>1163</v>
      </c>
      <c r="AU67" s="19" t="s">
        <v>1164</v>
      </c>
      <c r="AV67" s="19" t="s">
        <v>1165</v>
      </c>
      <c r="AW67" s="19">
        <f>LEN(SUBSTITUTE(AV67, ", "," "))</f>
        <v>57</v>
      </c>
      <c r="AX67" s="21" t="s">
        <v>1127</v>
      </c>
      <c r="AY67" s="21" t="s">
        <v>832</v>
      </c>
      <c r="AZ67" s="21" t="s">
        <v>986</v>
      </c>
      <c r="BA67" s="21" t="s">
        <v>1166</v>
      </c>
      <c r="BB67" s="19"/>
      <c r="BC67" s="21" t="s">
        <v>1145</v>
      </c>
      <c r="BD67" s="19"/>
      <c r="BE67" s="19"/>
      <c r="BF67" s="19"/>
      <c r="BG67" s="21" t="s">
        <v>835</v>
      </c>
      <c r="BH67" s="19"/>
      <c r="BI67" s="21" t="s">
        <v>1131</v>
      </c>
      <c r="BJ67" s="19"/>
      <c r="BK67" s="19"/>
      <c r="BL67" s="21" t="s">
        <v>751</v>
      </c>
      <c r="BM67" s="21" t="s">
        <v>838</v>
      </c>
      <c r="BN67" s="21" t="s">
        <v>753</v>
      </c>
      <c r="BO67" s="19"/>
      <c r="BP67" s="19"/>
      <c r="BQ67" s="19" t="s">
        <v>922</v>
      </c>
      <c r="BR67" s="19"/>
      <c r="BS67" s="19"/>
      <c r="BT67" s="19"/>
      <c r="BU67" s="19"/>
      <c r="BV67" s="19"/>
      <c r="BW67" s="19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1633</v>
      </c>
    </row>
    <row r="68" spans="1:110" ht="12" customHeight="1" x14ac:dyDescent="0.25">
      <c r="A68" s="15" t="s">
        <v>422</v>
      </c>
      <c r="B68" s="16" t="s">
        <v>40</v>
      </c>
      <c r="C68" s="16" t="s">
        <v>494</v>
      </c>
      <c r="D68" t="s">
        <v>198</v>
      </c>
      <c r="E68" s="19" t="s">
        <v>583</v>
      </c>
      <c r="F68" t="s">
        <v>198</v>
      </c>
      <c r="G68" s="19" t="s">
        <v>585</v>
      </c>
      <c r="H68" s="17" t="s">
        <v>84</v>
      </c>
      <c r="I68"/>
      <c r="J68"/>
      <c r="K68"/>
      <c r="L68"/>
      <c r="M68"/>
      <c r="N68"/>
      <c r="O68"/>
      <c r="P68"/>
      <c r="Q68"/>
      <c r="R68"/>
      <c r="S68"/>
      <c r="T68"/>
      <c r="U68">
        <v>74</v>
      </c>
      <c r="V68" s="16">
        <f>V67+1</f>
        <v>67</v>
      </c>
      <c r="W68" s="16" t="s">
        <v>67</v>
      </c>
      <c r="X68" s="16" t="s">
        <v>67</v>
      </c>
      <c r="Y68" s="19" t="s">
        <v>67</v>
      </c>
      <c r="Z68" s="18" t="s">
        <v>278</v>
      </c>
      <c r="AA68" s="16" t="s">
        <v>278</v>
      </c>
      <c r="AB68" s="20" t="s">
        <v>278</v>
      </c>
      <c r="AC68" s="19" t="s">
        <v>67</v>
      </c>
      <c r="AD68" s="20" t="s">
        <v>278</v>
      </c>
      <c r="AE68" s="20" t="s">
        <v>278</v>
      </c>
      <c r="AF68" s="19" t="s">
        <v>654</v>
      </c>
      <c r="AG68"/>
      <c r="AH68"/>
      <c r="AI68"/>
      <c r="AJ68" s="16" t="s">
        <v>493</v>
      </c>
      <c r="AK68"/>
      <c r="AL68" s="16">
        <v>4913</v>
      </c>
      <c r="AM68" s="16" t="s">
        <v>561</v>
      </c>
      <c r="AN68"/>
      <c r="AO68" s="19" t="s">
        <v>1124</v>
      </c>
      <c r="AP68" s="19" t="s">
        <v>825</v>
      </c>
      <c r="AQ68" s="19" t="s">
        <v>826</v>
      </c>
      <c r="AR68" s="19" t="s">
        <v>1167</v>
      </c>
      <c r="AS68" s="21" t="s">
        <v>1168</v>
      </c>
      <c r="AT68" s="21" t="s">
        <v>1168</v>
      </c>
      <c r="AU68" s="19" t="s">
        <v>1169</v>
      </c>
      <c r="AV68" s="19" t="s">
        <v>1170</v>
      </c>
      <c r="AW68" s="19">
        <f>LEN(SUBSTITUTE(AV68, ", "," "))</f>
        <v>57</v>
      </c>
      <c r="AX68" s="21" t="s">
        <v>1127</v>
      </c>
      <c r="AY68" s="21" t="s">
        <v>832</v>
      </c>
      <c r="AZ68" s="21" t="s">
        <v>986</v>
      </c>
      <c r="BA68" s="21" t="s">
        <v>1166</v>
      </c>
      <c r="BB68" s="19"/>
      <c r="BC68" s="21" t="s">
        <v>1130</v>
      </c>
      <c r="BD68" s="19"/>
      <c r="BE68" s="19"/>
      <c r="BF68" s="19"/>
      <c r="BG68" s="21" t="s">
        <v>835</v>
      </c>
      <c r="BH68" s="19"/>
      <c r="BI68" s="21" t="s">
        <v>1131</v>
      </c>
      <c r="BJ68" s="19"/>
      <c r="BK68" s="19"/>
      <c r="BL68" s="21" t="s">
        <v>751</v>
      </c>
      <c r="BM68" s="21" t="s">
        <v>838</v>
      </c>
      <c r="BN68" s="21" t="s">
        <v>753</v>
      </c>
      <c r="BO68" s="19"/>
      <c r="BP68" s="19"/>
      <c r="BQ68" s="19" t="s">
        <v>1171</v>
      </c>
      <c r="BR68" s="19"/>
      <c r="BS68" s="19"/>
      <c r="BT68" s="19"/>
      <c r="BU68" s="19"/>
      <c r="BV68" s="19"/>
      <c r="BW68" s="19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1633</v>
      </c>
    </row>
    <row r="69" spans="1:110" ht="12" customHeight="1" x14ac:dyDescent="0.25">
      <c r="A69" s="15" t="s">
        <v>422</v>
      </c>
      <c r="B69" s="16" t="s">
        <v>40</v>
      </c>
      <c r="C69" s="16" t="s">
        <v>494</v>
      </c>
      <c r="D69" t="s">
        <v>198</v>
      </c>
      <c r="E69" s="19" t="s">
        <v>583</v>
      </c>
      <c r="F69" t="s">
        <v>198</v>
      </c>
      <c r="G69" s="19" t="s">
        <v>585</v>
      </c>
      <c r="H69" s="17" t="s">
        <v>84</v>
      </c>
      <c r="I69"/>
      <c r="J69"/>
      <c r="K69"/>
      <c r="L69"/>
      <c r="M69"/>
      <c r="N69"/>
      <c r="O69"/>
      <c r="P69"/>
      <c r="Q69"/>
      <c r="R69"/>
      <c r="S69"/>
      <c r="T69"/>
      <c r="U69">
        <v>75</v>
      </c>
      <c r="V69" s="16">
        <f>V68+1</f>
        <v>68</v>
      </c>
      <c r="W69" s="16" t="s">
        <v>67</v>
      </c>
      <c r="X69" s="16" t="s">
        <v>67</v>
      </c>
      <c r="Y69" s="19" t="s">
        <v>67</v>
      </c>
      <c r="Z69" s="18" t="s">
        <v>343</v>
      </c>
      <c r="AA69" s="16" t="s">
        <v>343</v>
      </c>
      <c r="AB69" s="20" t="s">
        <v>343</v>
      </c>
      <c r="AC69" s="19" t="s">
        <v>67</v>
      </c>
      <c r="AD69" s="20" t="s">
        <v>343</v>
      </c>
      <c r="AE69" s="20" t="s">
        <v>343</v>
      </c>
      <c r="AF69" s="19" t="s">
        <v>655</v>
      </c>
      <c r="AG69"/>
      <c r="AH69"/>
      <c r="AI69"/>
      <c r="AJ69" s="16" t="s">
        <v>225</v>
      </c>
      <c r="AK69"/>
      <c r="AL69" s="16">
        <v>4913</v>
      </c>
      <c r="AM69" s="16" t="s">
        <v>469</v>
      </c>
      <c r="AN69"/>
      <c r="AO69" s="19" t="s">
        <v>1124</v>
      </c>
      <c r="AP69" s="19" t="s">
        <v>825</v>
      </c>
      <c r="AQ69" s="19" t="s">
        <v>826</v>
      </c>
      <c r="AR69" s="19" t="s">
        <v>1172</v>
      </c>
      <c r="AS69" s="21" t="s">
        <v>1173</v>
      </c>
      <c r="AT69" s="21" t="s">
        <v>1173</v>
      </c>
      <c r="AU69" s="19" t="s">
        <v>1174</v>
      </c>
      <c r="AV69" s="19" t="s">
        <v>1175</v>
      </c>
      <c r="AW69" s="19">
        <f>LEN(SUBSTITUTE(AV69, ", "," "))</f>
        <v>57</v>
      </c>
      <c r="AX69" s="21" t="s">
        <v>1127</v>
      </c>
      <c r="AY69" s="21" t="s">
        <v>832</v>
      </c>
      <c r="AZ69" s="21" t="s">
        <v>986</v>
      </c>
      <c r="BA69" s="21" t="s">
        <v>1166</v>
      </c>
      <c r="BB69" s="19"/>
      <c r="BC69" s="21" t="s">
        <v>1135</v>
      </c>
      <c r="BD69" s="19"/>
      <c r="BE69" s="19"/>
      <c r="BF69" s="19"/>
      <c r="BG69" s="21" t="s">
        <v>835</v>
      </c>
      <c r="BH69" s="19"/>
      <c r="BI69" s="21" t="s">
        <v>1131</v>
      </c>
      <c r="BJ69" s="19"/>
      <c r="BK69" s="19"/>
      <c r="BL69" s="21" t="s">
        <v>751</v>
      </c>
      <c r="BM69" s="21" t="s">
        <v>838</v>
      </c>
      <c r="BN69" s="21" t="s">
        <v>753</v>
      </c>
      <c r="BO69" s="19"/>
      <c r="BP69" s="19"/>
      <c r="BQ69" s="19" t="s">
        <v>1176</v>
      </c>
      <c r="BR69" s="19"/>
      <c r="BS69" s="19"/>
      <c r="BT69" s="19"/>
      <c r="BU69" s="19"/>
      <c r="BV69" s="19"/>
      <c r="BW69" s="1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1633</v>
      </c>
    </row>
    <row r="70" spans="1:110" ht="12" customHeight="1" x14ac:dyDescent="0.25">
      <c r="A70" s="15" t="s">
        <v>422</v>
      </c>
      <c r="B70" s="16" t="s">
        <v>40</v>
      </c>
      <c r="C70" s="16" t="s">
        <v>494</v>
      </c>
      <c r="D70" t="s">
        <v>198</v>
      </c>
      <c r="E70" s="19" t="s">
        <v>583</v>
      </c>
      <c r="F70" t="s">
        <v>198</v>
      </c>
      <c r="G70" s="19" t="s">
        <v>585</v>
      </c>
      <c r="H70" s="17" t="s">
        <v>84</v>
      </c>
      <c r="I70"/>
      <c r="J70"/>
      <c r="K70"/>
      <c r="L70"/>
      <c r="M70"/>
      <c r="N70"/>
      <c r="O70"/>
      <c r="P70"/>
      <c r="Q70"/>
      <c r="R70"/>
      <c r="S70"/>
      <c r="T70"/>
      <c r="U70">
        <v>76</v>
      </c>
      <c r="V70" s="16">
        <f>V69+1</f>
        <v>69</v>
      </c>
      <c r="W70" s="16" t="s">
        <v>67</v>
      </c>
      <c r="X70" s="16" t="s">
        <v>67</v>
      </c>
      <c r="Y70" s="19" t="s">
        <v>67</v>
      </c>
      <c r="Z70" s="18" t="s">
        <v>350</v>
      </c>
      <c r="AA70" s="16" t="s">
        <v>350</v>
      </c>
      <c r="AB70" s="20" t="s">
        <v>350</v>
      </c>
      <c r="AC70" s="19" t="s">
        <v>67</v>
      </c>
      <c r="AD70" s="20" t="s">
        <v>350</v>
      </c>
      <c r="AE70" s="20" t="s">
        <v>350</v>
      </c>
      <c r="AF70" s="19" t="s">
        <v>656</v>
      </c>
      <c r="AG70"/>
      <c r="AH70"/>
      <c r="AI70"/>
      <c r="AJ70" s="16" t="s">
        <v>243</v>
      </c>
      <c r="AK70"/>
      <c r="AL70" s="16">
        <v>4913</v>
      </c>
      <c r="AM70" s="16" t="s">
        <v>393</v>
      </c>
      <c r="AN70"/>
      <c r="AO70" s="19" t="s">
        <v>1124</v>
      </c>
      <c r="AP70" s="19" t="s">
        <v>825</v>
      </c>
      <c r="AQ70" s="19" t="s">
        <v>826</v>
      </c>
      <c r="AR70" s="19" t="s">
        <v>1177</v>
      </c>
      <c r="AS70" s="21" t="s">
        <v>1178</v>
      </c>
      <c r="AT70" s="21" t="s">
        <v>1178</v>
      </c>
      <c r="AU70" s="19" t="s">
        <v>1179</v>
      </c>
      <c r="AV70" s="19" t="s">
        <v>1180</v>
      </c>
      <c r="AW70" s="19">
        <f>LEN(SUBSTITUTE(AV70, ", "," "))</f>
        <v>57</v>
      </c>
      <c r="AX70" s="21" t="s">
        <v>1127</v>
      </c>
      <c r="AY70" s="21" t="s">
        <v>832</v>
      </c>
      <c r="AZ70" s="21" t="s">
        <v>986</v>
      </c>
      <c r="BA70" s="21" t="s">
        <v>1166</v>
      </c>
      <c r="BB70" s="19"/>
      <c r="BC70" s="21" t="s">
        <v>1139</v>
      </c>
      <c r="BD70" s="19"/>
      <c r="BE70" s="19"/>
      <c r="BF70" s="19"/>
      <c r="BG70" s="21" t="s">
        <v>835</v>
      </c>
      <c r="BH70" s="19"/>
      <c r="BI70" s="21" t="s">
        <v>1131</v>
      </c>
      <c r="BJ70" s="19"/>
      <c r="BK70" s="19"/>
      <c r="BL70" s="21" t="s">
        <v>751</v>
      </c>
      <c r="BM70" s="21" t="s">
        <v>838</v>
      </c>
      <c r="BN70" s="21" t="s">
        <v>753</v>
      </c>
      <c r="BO70" s="19"/>
      <c r="BP70" s="19"/>
      <c r="BQ70" s="19" t="s">
        <v>1181</v>
      </c>
      <c r="BR70" s="19"/>
      <c r="BS70" s="19"/>
      <c r="BT70" s="19"/>
      <c r="BU70" s="19"/>
      <c r="BV70" s="19"/>
      <c r="BW70" s="19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1633</v>
      </c>
    </row>
    <row r="71" spans="1:110" ht="12" customHeight="1" x14ac:dyDescent="0.25">
      <c r="A71" s="15" t="s">
        <v>422</v>
      </c>
      <c r="B71" s="16" t="s">
        <v>40</v>
      </c>
      <c r="C71" s="16" t="s">
        <v>494</v>
      </c>
      <c r="D71" t="s">
        <v>198</v>
      </c>
      <c r="E71" s="19" t="s">
        <v>583</v>
      </c>
      <c r="F71" t="s">
        <v>198</v>
      </c>
      <c r="G71" s="19" t="s">
        <v>585</v>
      </c>
      <c r="H71" s="17" t="s">
        <v>84</v>
      </c>
      <c r="I71"/>
      <c r="J71"/>
      <c r="K71"/>
      <c r="L71"/>
      <c r="M71"/>
      <c r="N71"/>
      <c r="O71"/>
      <c r="P71"/>
      <c r="Q71"/>
      <c r="R71"/>
      <c r="S71"/>
      <c r="T71"/>
      <c r="U71">
        <v>77</v>
      </c>
      <c r="V71" s="16">
        <f>V70+1</f>
        <v>70</v>
      </c>
      <c r="W71" s="16" t="s">
        <v>67</v>
      </c>
      <c r="X71" s="16" t="s">
        <v>67</v>
      </c>
      <c r="Y71" s="19" t="s">
        <v>67</v>
      </c>
      <c r="Z71" s="18" t="s">
        <v>267</v>
      </c>
      <c r="AA71" s="16" t="s">
        <v>267</v>
      </c>
      <c r="AB71" s="20" t="s">
        <v>267</v>
      </c>
      <c r="AC71" s="19" t="s">
        <v>67</v>
      </c>
      <c r="AD71" s="20" t="s">
        <v>267</v>
      </c>
      <c r="AE71" s="20" t="s">
        <v>267</v>
      </c>
      <c r="AF71" s="19" t="s">
        <v>657</v>
      </c>
      <c r="AG71"/>
      <c r="AH71"/>
      <c r="AI71"/>
      <c r="AJ71" s="16" t="s">
        <v>257</v>
      </c>
      <c r="AK71"/>
      <c r="AL71" s="16">
        <v>4913</v>
      </c>
      <c r="AM71" s="16" t="s">
        <v>179</v>
      </c>
      <c r="AN71"/>
      <c r="AO71" s="19" t="s">
        <v>1182</v>
      </c>
      <c r="AP71" s="19" t="s">
        <v>888</v>
      </c>
      <c r="AQ71" s="19" t="s">
        <v>889</v>
      </c>
      <c r="AR71" s="19" t="s">
        <v>1183</v>
      </c>
      <c r="AS71" s="21" t="s">
        <v>1184</v>
      </c>
      <c r="AT71" s="21" t="s">
        <v>1184</v>
      </c>
      <c r="AU71" s="19" t="s">
        <v>1185</v>
      </c>
      <c r="AV71" s="19" t="s">
        <v>1186</v>
      </c>
      <c r="AW71" s="19">
        <f>LEN(SUBSTITUTE(AV71, ", "," "))</f>
        <v>60</v>
      </c>
      <c r="AX71" s="21" t="s">
        <v>1187</v>
      </c>
      <c r="AY71" s="21" t="s">
        <v>1111</v>
      </c>
      <c r="AZ71" s="21" t="s">
        <v>1112</v>
      </c>
      <c r="BA71" s="21" t="s">
        <v>1188</v>
      </c>
      <c r="BB71" s="19"/>
      <c r="BC71" s="21" t="s">
        <v>1189</v>
      </c>
      <c r="BD71" s="19"/>
      <c r="BE71" s="19"/>
      <c r="BF71" s="19"/>
      <c r="BG71" s="21" t="s">
        <v>835</v>
      </c>
      <c r="BH71" s="21" t="s">
        <v>1190</v>
      </c>
      <c r="BI71" s="19"/>
      <c r="BJ71" s="19"/>
      <c r="BK71" s="19"/>
      <c r="BL71" s="21" t="s">
        <v>751</v>
      </c>
      <c r="BM71" s="21" t="s">
        <v>838</v>
      </c>
      <c r="BN71" s="21" t="s">
        <v>753</v>
      </c>
      <c r="BO71" s="19"/>
      <c r="BP71" s="19"/>
      <c r="BQ71" s="19" t="s">
        <v>1191</v>
      </c>
      <c r="BR71" s="19"/>
      <c r="BS71" s="19"/>
      <c r="BT71" s="19"/>
      <c r="BU71" s="19"/>
      <c r="BV71" s="19"/>
      <c r="BW71" s="19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1633</v>
      </c>
    </row>
    <row r="72" spans="1:110" ht="12" customHeight="1" x14ac:dyDescent="0.25">
      <c r="A72" s="15" t="s">
        <v>422</v>
      </c>
      <c r="B72" s="16" t="s">
        <v>40</v>
      </c>
      <c r="C72" s="16" t="s">
        <v>494</v>
      </c>
      <c r="D72" t="s">
        <v>198</v>
      </c>
      <c r="E72" s="19" t="s">
        <v>583</v>
      </c>
      <c r="F72" t="s">
        <v>198</v>
      </c>
      <c r="G72" s="19" t="s">
        <v>585</v>
      </c>
      <c r="H72" s="17" t="s">
        <v>84</v>
      </c>
      <c r="I72"/>
      <c r="J72"/>
      <c r="K72"/>
      <c r="L72"/>
      <c r="M72"/>
      <c r="N72"/>
      <c r="O72"/>
      <c r="P72"/>
      <c r="Q72"/>
      <c r="R72"/>
      <c r="S72"/>
      <c r="T72"/>
      <c r="U72">
        <v>78</v>
      </c>
      <c r="V72" s="16">
        <f>V71+1</f>
        <v>71</v>
      </c>
      <c r="W72" s="16" t="s">
        <v>67</v>
      </c>
      <c r="X72" s="16" t="s">
        <v>67</v>
      </c>
      <c r="Y72" s="19" t="s">
        <v>67</v>
      </c>
      <c r="Z72" s="18" t="s">
        <v>288</v>
      </c>
      <c r="AA72" s="16" t="s">
        <v>288</v>
      </c>
      <c r="AB72" s="20" t="s">
        <v>288</v>
      </c>
      <c r="AC72" s="19" t="s">
        <v>67</v>
      </c>
      <c r="AD72" s="20" t="s">
        <v>288</v>
      </c>
      <c r="AE72" s="20" t="s">
        <v>288</v>
      </c>
      <c r="AF72" s="19" t="s">
        <v>658</v>
      </c>
      <c r="AG72"/>
      <c r="AH72"/>
      <c r="AI72"/>
      <c r="AJ72" s="16" t="s">
        <v>115</v>
      </c>
      <c r="AK72"/>
      <c r="AL72" s="16">
        <v>4913</v>
      </c>
      <c r="AM72" s="16" t="s">
        <v>480</v>
      </c>
      <c r="AN72"/>
      <c r="AO72" s="19" t="s">
        <v>1182</v>
      </c>
      <c r="AP72" s="19" t="s">
        <v>888</v>
      </c>
      <c r="AQ72" s="19" t="s">
        <v>889</v>
      </c>
      <c r="AR72" s="19" t="s">
        <v>1192</v>
      </c>
      <c r="AS72" s="21" t="s">
        <v>1193</v>
      </c>
      <c r="AT72" s="21" t="s">
        <v>1193</v>
      </c>
      <c r="AU72" s="19" t="s">
        <v>1194</v>
      </c>
      <c r="AV72" s="19" t="s">
        <v>1195</v>
      </c>
      <c r="AW72" s="19">
        <f>LEN(SUBSTITUTE(AV72, ", "," "))</f>
        <v>58</v>
      </c>
      <c r="AX72" s="21" t="s">
        <v>1187</v>
      </c>
      <c r="AY72" s="21" t="s">
        <v>1111</v>
      </c>
      <c r="AZ72" s="21" t="s">
        <v>1112</v>
      </c>
      <c r="BA72" s="21" t="s">
        <v>1196</v>
      </c>
      <c r="BB72" s="19"/>
      <c r="BC72" s="21" t="s">
        <v>1197</v>
      </c>
      <c r="BD72" s="19"/>
      <c r="BE72" s="19"/>
      <c r="BF72" s="19"/>
      <c r="BG72" s="21" t="s">
        <v>835</v>
      </c>
      <c r="BH72" s="21" t="s">
        <v>1190</v>
      </c>
      <c r="BI72" s="19"/>
      <c r="BJ72" s="19"/>
      <c r="BK72" s="19"/>
      <c r="BL72" s="21" t="s">
        <v>751</v>
      </c>
      <c r="BM72" s="21" t="s">
        <v>838</v>
      </c>
      <c r="BN72" s="21" t="s">
        <v>753</v>
      </c>
      <c r="BO72" s="19"/>
      <c r="BP72" s="19"/>
      <c r="BQ72" s="19" t="s">
        <v>1198</v>
      </c>
      <c r="BR72" s="19"/>
      <c r="BS72" s="19"/>
      <c r="BT72" s="19"/>
      <c r="BU72" s="19"/>
      <c r="BV72" s="19"/>
      <c r="BW72" s="19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1633</v>
      </c>
    </row>
    <row r="73" spans="1:110" ht="12" customHeight="1" x14ac:dyDescent="0.25">
      <c r="A73" s="15" t="s">
        <v>422</v>
      </c>
      <c r="B73" s="16" t="s">
        <v>40</v>
      </c>
      <c r="C73" s="16" t="s">
        <v>494</v>
      </c>
      <c r="D73" t="s">
        <v>198</v>
      </c>
      <c r="E73" s="19" t="s">
        <v>583</v>
      </c>
      <c r="F73" t="s">
        <v>198</v>
      </c>
      <c r="G73" s="19" t="s">
        <v>585</v>
      </c>
      <c r="H73" s="17" t="s">
        <v>84</v>
      </c>
      <c r="I73"/>
      <c r="J73"/>
      <c r="K73"/>
      <c r="L73"/>
      <c r="M73"/>
      <c r="N73"/>
      <c r="O73"/>
      <c r="P73"/>
      <c r="Q73"/>
      <c r="R73"/>
      <c r="S73"/>
      <c r="T73"/>
      <c r="U73">
        <v>79</v>
      </c>
      <c r="V73" s="16">
        <f>V72+1</f>
        <v>72</v>
      </c>
      <c r="W73" s="16" t="s">
        <v>67</v>
      </c>
      <c r="X73" s="16" t="s">
        <v>67</v>
      </c>
      <c r="Y73" s="19" t="s">
        <v>67</v>
      </c>
      <c r="Z73" s="18" t="s">
        <v>434</v>
      </c>
      <c r="AA73" s="16" t="s">
        <v>434</v>
      </c>
      <c r="AB73" s="20" t="s">
        <v>434</v>
      </c>
      <c r="AC73" s="19" t="s">
        <v>67</v>
      </c>
      <c r="AD73" s="20" t="s">
        <v>434</v>
      </c>
      <c r="AE73" s="20" t="s">
        <v>434</v>
      </c>
      <c r="AF73" s="19" t="s">
        <v>659</v>
      </c>
      <c r="AG73"/>
      <c r="AH73"/>
      <c r="AI73"/>
      <c r="AJ73" s="16" t="s">
        <v>349</v>
      </c>
      <c r="AK73"/>
      <c r="AL73" s="16">
        <v>4913</v>
      </c>
      <c r="AM73" s="16" t="s">
        <v>404</v>
      </c>
      <c r="AN73"/>
      <c r="AO73" s="19" t="s">
        <v>1182</v>
      </c>
      <c r="AP73" s="19" t="s">
        <v>888</v>
      </c>
      <c r="AQ73" s="19" t="s">
        <v>889</v>
      </c>
      <c r="AR73" s="19" t="s">
        <v>1199</v>
      </c>
      <c r="AS73" s="21" t="s">
        <v>1200</v>
      </c>
      <c r="AT73" s="21" t="s">
        <v>1200</v>
      </c>
      <c r="AU73" s="19" t="s">
        <v>1201</v>
      </c>
      <c r="AV73" s="19" t="s">
        <v>1202</v>
      </c>
      <c r="AW73" s="19">
        <f>LEN(SUBSTITUTE(AV73, ", "," "))</f>
        <v>59</v>
      </c>
      <c r="AX73" s="21" t="s">
        <v>1187</v>
      </c>
      <c r="AY73" s="21" t="s">
        <v>1111</v>
      </c>
      <c r="AZ73" s="21" t="s">
        <v>1112</v>
      </c>
      <c r="BA73" s="21" t="s">
        <v>1203</v>
      </c>
      <c r="BB73" s="19"/>
      <c r="BC73" s="21" t="s">
        <v>1204</v>
      </c>
      <c r="BD73" s="19"/>
      <c r="BE73" s="19"/>
      <c r="BF73" s="19"/>
      <c r="BG73" s="21" t="s">
        <v>835</v>
      </c>
      <c r="BH73" s="21" t="s">
        <v>1205</v>
      </c>
      <c r="BI73" s="19"/>
      <c r="BJ73" s="19"/>
      <c r="BK73" s="19"/>
      <c r="BL73" s="21" t="s">
        <v>751</v>
      </c>
      <c r="BM73" s="21" t="s">
        <v>838</v>
      </c>
      <c r="BN73" s="21" t="s">
        <v>753</v>
      </c>
      <c r="BO73" s="19"/>
      <c r="BP73" s="19"/>
      <c r="BQ73" s="19" t="s">
        <v>1206</v>
      </c>
      <c r="BR73" s="19"/>
      <c r="BS73" s="19"/>
      <c r="BT73" s="19"/>
      <c r="BU73" s="19"/>
      <c r="BV73" s="19"/>
      <c r="BW73" s="19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1633</v>
      </c>
    </row>
    <row r="74" spans="1:110" ht="12" customHeight="1" x14ac:dyDescent="0.25">
      <c r="A74" s="15" t="s">
        <v>422</v>
      </c>
      <c r="B74" s="16" t="s">
        <v>40</v>
      </c>
      <c r="C74" s="16" t="s">
        <v>494</v>
      </c>
      <c r="D74" t="s">
        <v>198</v>
      </c>
      <c r="E74" s="19" t="s">
        <v>583</v>
      </c>
      <c r="F74" t="s">
        <v>198</v>
      </c>
      <c r="G74" s="19" t="s">
        <v>585</v>
      </c>
      <c r="H74" s="17" t="s">
        <v>84</v>
      </c>
      <c r="I74"/>
      <c r="J74"/>
      <c r="K74"/>
      <c r="L74"/>
      <c r="M74"/>
      <c r="N74"/>
      <c r="O74"/>
      <c r="P74"/>
      <c r="Q74"/>
      <c r="R74"/>
      <c r="S74"/>
      <c r="T74"/>
      <c r="U74">
        <v>80</v>
      </c>
      <c r="V74" s="16">
        <f>V73+1</f>
        <v>73</v>
      </c>
      <c r="W74" s="16" t="s">
        <v>67</v>
      </c>
      <c r="X74" s="16" t="s">
        <v>67</v>
      </c>
      <c r="Y74" s="19" t="s">
        <v>67</v>
      </c>
      <c r="Z74" s="18" t="s">
        <v>356</v>
      </c>
      <c r="AA74" s="16" t="s">
        <v>356</v>
      </c>
      <c r="AB74" s="20" t="s">
        <v>356</v>
      </c>
      <c r="AC74" s="19" t="s">
        <v>67</v>
      </c>
      <c r="AD74" s="20" t="s">
        <v>356</v>
      </c>
      <c r="AE74" s="20" t="s">
        <v>356</v>
      </c>
      <c r="AF74" s="19" t="s">
        <v>660</v>
      </c>
      <c r="AG74"/>
      <c r="AH74"/>
      <c r="AI74"/>
      <c r="AJ74" s="16" t="s">
        <v>87</v>
      </c>
      <c r="AK74"/>
      <c r="AL74" s="16">
        <v>4913</v>
      </c>
      <c r="AM74" s="16" t="s">
        <v>312</v>
      </c>
      <c r="AN74"/>
      <c r="AO74" s="19" t="s">
        <v>1182</v>
      </c>
      <c r="AP74" s="19" t="s">
        <v>888</v>
      </c>
      <c r="AQ74" s="19" t="s">
        <v>889</v>
      </c>
      <c r="AR74" s="19" t="s">
        <v>1207</v>
      </c>
      <c r="AS74" s="21" t="s">
        <v>1208</v>
      </c>
      <c r="AT74" s="21" t="s">
        <v>1208</v>
      </c>
      <c r="AU74" s="19" t="s">
        <v>1209</v>
      </c>
      <c r="AV74" s="19" t="s">
        <v>1210</v>
      </c>
      <c r="AW74" s="19">
        <f>LEN(SUBSTITUTE(AV74, ", "," "))</f>
        <v>60</v>
      </c>
      <c r="AX74" s="21" t="s">
        <v>1187</v>
      </c>
      <c r="AY74" s="21" t="s">
        <v>1111</v>
      </c>
      <c r="AZ74" s="21" t="s">
        <v>1112</v>
      </c>
      <c r="BA74" s="21" t="s">
        <v>1211</v>
      </c>
      <c r="BB74" s="19"/>
      <c r="BC74" s="21" t="s">
        <v>1212</v>
      </c>
      <c r="BD74" s="19"/>
      <c r="BE74" s="19"/>
      <c r="BF74" s="19"/>
      <c r="BG74" s="21" t="s">
        <v>835</v>
      </c>
      <c r="BH74" s="21" t="s">
        <v>1213</v>
      </c>
      <c r="BI74" s="19"/>
      <c r="BJ74" s="19"/>
      <c r="BK74" s="19"/>
      <c r="BL74" s="21" t="s">
        <v>751</v>
      </c>
      <c r="BM74" s="21" t="s">
        <v>838</v>
      </c>
      <c r="BN74" s="21" t="s">
        <v>753</v>
      </c>
      <c r="BO74" s="19"/>
      <c r="BP74" s="19"/>
      <c r="BQ74" s="19" t="s">
        <v>1214</v>
      </c>
      <c r="BR74" s="19"/>
      <c r="BS74" s="19"/>
      <c r="BT74" s="19"/>
      <c r="BU74" s="19"/>
      <c r="BV74" s="19"/>
      <c r="BW74" s="19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1633</v>
      </c>
    </row>
    <row r="75" spans="1:110" ht="12" customHeight="1" x14ac:dyDescent="0.25">
      <c r="A75" s="15" t="s">
        <v>422</v>
      </c>
      <c r="B75" s="16" t="s">
        <v>40</v>
      </c>
      <c r="C75" s="16" t="s">
        <v>494</v>
      </c>
      <c r="D75" t="s">
        <v>198</v>
      </c>
      <c r="E75" s="19" t="s">
        <v>583</v>
      </c>
      <c r="F75" t="s">
        <v>198</v>
      </c>
      <c r="G75" s="19" t="s">
        <v>585</v>
      </c>
      <c r="H75" s="17" t="s">
        <v>84</v>
      </c>
      <c r="I75"/>
      <c r="J75"/>
      <c r="K75"/>
      <c r="L75"/>
      <c r="M75"/>
      <c r="N75"/>
      <c r="O75"/>
      <c r="P75"/>
      <c r="Q75"/>
      <c r="R75"/>
      <c r="S75"/>
      <c r="T75"/>
      <c r="U75">
        <v>81</v>
      </c>
      <c r="V75" s="16">
        <f>V74+1</f>
        <v>74</v>
      </c>
      <c r="W75" s="16" t="s">
        <v>67</v>
      </c>
      <c r="X75" s="16" t="s">
        <v>67</v>
      </c>
      <c r="Y75" s="19" t="s">
        <v>67</v>
      </c>
      <c r="Z75" s="18" t="s">
        <v>151</v>
      </c>
      <c r="AA75" s="16" t="s">
        <v>151</v>
      </c>
      <c r="AB75" s="20" t="s">
        <v>151</v>
      </c>
      <c r="AC75" s="19" t="s">
        <v>67</v>
      </c>
      <c r="AD75" s="20" t="s">
        <v>151</v>
      </c>
      <c r="AE75" s="20" t="s">
        <v>151</v>
      </c>
      <c r="AF75" s="19" t="s">
        <v>661</v>
      </c>
      <c r="AG75"/>
      <c r="AH75"/>
      <c r="AI75"/>
      <c r="AJ75" s="16" t="s">
        <v>196</v>
      </c>
      <c r="AK75"/>
      <c r="AL75" s="16">
        <v>4913</v>
      </c>
      <c r="AM75" s="16" t="s">
        <v>249</v>
      </c>
      <c r="AN75"/>
      <c r="AO75" s="19" t="s">
        <v>1124</v>
      </c>
      <c r="AP75" s="19" t="s">
        <v>825</v>
      </c>
      <c r="AQ75" s="19" t="s">
        <v>826</v>
      </c>
      <c r="AR75" s="19" t="s">
        <v>1215</v>
      </c>
      <c r="AS75" s="21" t="s">
        <v>1216</v>
      </c>
      <c r="AT75" s="21" t="s">
        <v>1216</v>
      </c>
      <c r="AU75" s="19" t="s">
        <v>1217</v>
      </c>
      <c r="AV75" s="19" t="s">
        <v>1217</v>
      </c>
      <c r="AW75" s="19">
        <f>LEN(SUBSTITUTE(AV75, ", "," "))</f>
        <v>57</v>
      </c>
      <c r="AX75" s="21" t="s">
        <v>1127</v>
      </c>
      <c r="AY75" s="21" t="s">
        <v>832</v>
      </c>
      <c r="AZ75" s="19"/>
      <c r="BA75" s="21" t="s">
        <v>1218</v>
      </c>
      <c r="BB75" s="19"/>
      <c r="BC75" s="21" t="s">
        <v>1145</v>
      </c>
      <c r="BD75" s="19"/>
      <c r="BE75" s="19"/>
      <c r="BF75" s="19"/>
      <c r="BG75" s="21" t="s">
        <v>835</v>
      </c>
      <c r="BH75" s="19"/>
      <c r="BI75" s="21" t="s">
        <v>1131</v>
      </c>
      <c r="BJ75" s="19"/>
      <c r="BK75" s="19"/>
      <c r="BL75" s="21" t="s">
        <v>751</v>
      </c>
      <c r="BM75" s="21" t="s">
        <v>838</v>
      </c>
      <c r="BN75" s="21" t="s">
        <v>753</v>
      </c>
      <c r="BO75" s="19"/>
      <c r="BP75" s="19"/>
      <c r="BQ75" s="19" t="s">
        <v>1219</v>
      </c>
      <c r="BR75" s="19"/>
      <c r="BS75" s="19"/>
      <c r="BT75" s="19"/>
      <c r="BU75" s="19"/>
      <c r="BV75" s="19"/>
      <c r="BW75" s="19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1633</v>
      </c>
    </row>
    <row r="76" spans="1:110" ht="12" customHeight="1" x14ac:dyDescent="0.25">
      <c r="A76" s="15" t="s">
        <v>422</v>
      </c>
      <c r="B76" s="16" t="s">
        <v>40</v>
      </c>
      <c r="C76" s="16" t="s">
        <v>494</v>
      </c>
      <c r="D76" t="s">
        <v>198</v>
      </c>
      <c r="E76" s="19" t="s">
        <v>583</v>
      </c>
      <c r="F76" t="s">
        <v>198</v>
      </c>
      <c r="G76" s="19" t="s">
        <v>585</v>
      </c>
      <c r="H76" s="17" t="s">
        <v>84</v>
      </c>
      <c r="I76"/>
      <c r="J76"/>
      <c r="K76"/>
      <c r="L76"/>
      <c r="M76"/>
      <c r="N76"/>
      <c r="O76"/>
      <c r="P76"/>
      <c r="Q76"/>
      <c r="R76"/>
      <c r="S76"/>
      <c r="T76"/>
      <c r="U76">
        <v>82</v>
      </c>
      <c r="V76" s="16">
        <f>V75+1</f>
        <v>75</v>
      </c>
      <c r="W76" s="16" t="s">
        <v>67</v>
      </c>
      <c r="X76" s="16" t="s">
        <v>67</v>
      </c>
      <c r="Y76" s="19" t="s">
        <v>67</v>
      </c>
      <c r="Z76" s="18" t="s">
        <v>531</v>
      </c>
      <c r="AA76" s="16" t="s">
        <v>531</v>
      </c>
      <c r="AB76" s="20" t="s">
        <v>531</v>
      </c>
      <c r="AC76" s="19" t="s">
        <v>67</v>
      </c>
      <c r="AD76" s="20" t="s">
        <v>531</v>
      </c>
      <c r="AE76" s="20" t="s">
        <v>531</v>
      </c>
      <c r="AF76" s="19" t="s">
        <v>662</v>
      </c>
      <c r="AG76"/>
      <c r="AH76"/>
      <c r="AI76"/>
      <c r="AJ76" s="16" t="s">
        <v>170</v>
      </c>
      <c r="AK76"/>
      <c r="AL76" s="16">
        <v>4913</v>
      </c>
      <c r="AM76" s="16" t="s">
        <v>126</v>
      </c>
      <c r="AN76"/>
      <c r="AO76" s="19" t="s">
        <v>1124</v>
      </c>
      <c r="AP76" s="19" t="s">
        <v>825</v>
      </c>
      <c r="AQ76" s="19" t="s">
        <v>826</v>
      </c>
      <c r="AR76" s="19" t="s">
        <v>1220</v>
      </c>
      <c r="AS76" s="21" t="s">
        <v>1221</v>
      </c>
      <c r="AT76" s="21" t="s">
        <v>1221</v>
      </c>
      <c r="AU76" s="19" t="s">
        <v>1222</v>
      </c>
      <c r="AV76" s="19" t="s">
        <v>1222</v>
      </c>
      <c r="AW76" s="19">
        <f>LEN(SUBSTITUTE(AV76, ", "," "))</f>
        <v>57</v>
      </c>
      <c r="AX76" s="21" t="s">
        <v>1127</v>
      </c>
      <c r="AY76" s="21" t="s">
        <v>832</v>
      </c>
      <c r="AZ76" s="19"/>
      <c r="BA76" s="21" t="s">
        <v>1218</v>
      </c>
      <c r="BB76" s="19"/>
      <c r="BC76" s="21" t="s">
        <v>1130</v>
      </c>
      <c r="BD76" s="19"/>
      <c r="BE76" s="19"/>
      <c r="BF76" s="19"/>
      <c r="BG76" s="21" t="s">
        <v>835</v>
      </c>
      <c r="BH76" s="19"/>
      <c r="BI76" s="21" t="s">
        <v>1131</v>
      </c>
      <c r="BJ76" s="19"/>
      <c r="BK76" s="19"/>
      <c r="BL76" s="21" t="s">
        <v>751</v>
      </c>
      <c r="BM76" s="21" t="s">
        <v>838</v>
      </c>
      <c r="BN76" s="21" t="s">
        <v>753</v>
      </c>
      <c r="BO76" s="19"/>
      <c r="BP76" s="19"/>
      <c r="BQ76" s="19" t="s">
        <v>1223</v>
      </c>
      <c r="BR76" s="19"/>
      <c r="BS76" s="19"/>
      <c r="BT76" s="19"/>
      <c r="BU76" s="19"/>
      <c r="BV76" s="19"/>
      <c r="BW76" s="19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1633</v>
      </c>
    </row>
    <row r="77" spans="1:110" ht="12" customHeight="1" x14ac:dyDescent="0.25">
      <c r="A77" s="15" t="s">
        <v>422</v>
      </c>
      <c r="B77" s="16" t="s">
        <v>40</v>
      </c>
      <c r="C77" s="16" t="s">
        <v>494</v>
      </c>
      <c r="D77" t="s">
        <v>198</v>
      </c>
      <c r="E77" s="19" t="s">
        <v>583</v>
      </c>
      <c r="F77" t="s">
        <v>198</v>
      </c>
      <c r="G77" s="19" t="s">
        <v>585</v>
      </c>
      <c r="H77" s="17" t="s">
        <v>84</v>
      </c>
      <c r="I77"/>
      <c r="J77"/>
      <c r="K77"/>
      <c r="L77"/>
      <c r="M77"/>
      <c r="N77"/>
      <c r="O77"/>
      <c r="P77"/>
      <c r="Q77"/>
      <c r="R77"/>
      <c r="S77"/>
      <c r="T77"/>
      <c r="U77">
        <v>83</v>
      </c>
      <c r="V77" s="16">
        <f>V76+1</f>
        <v>76</v>
      </c>
      <c r="W77" s="16" t="s">
        <v>67</v>
      </c>
      <c r="X77" s="16" t="s">
        <v>67</v>
      </c>
      <c r="Y77" s="19" t="s">
        <v>67</v>
      </c>
      <c r="Z77" s="18" t="s">
        <v>175</v>
      </c>
      <c r="AA77" s="16" t="s">
        <v>175</v>
      </c>
      <c r="AB77" s="20" t="s">
        <v>175</v>
      </c>
      <c r="AC77" s="19" t="s">
        <v>67</v>
      </c>
      <c r="AD77" s="20" t="s">
        <v>175</v>
      </c>
      <c r="AE77" s="20" t="s">
        <v>175</v>
      </c>
      <c r="AF77" s="19" t="s">
        <v>663</v>
      </c>
      <c r="AG77"/>
      <c r="AH77"/>
      <c r="AI77"/>
      <c r="AJ77" s="16" t="s">
        <v>80</v>
      </c>
      <c r="AK77"/>
      <c r="AL77" s="16">
        <v>4913</v>
      </c>
      <c r="AM77" s="16" t="s">
        <v>41</v>
      </c>
      <c r="AN77"/>
      <c r="AO77" s="19" t="s">
        <v>1124</v>
      </c>
      <c r="AP77" s="19" t="s">
        <v>825</v>
      </c>
      <c r="AQ77" s="19" t="s">
        <v>826</v>
      </c>
      <c r="AR77" s="19" t="s">
        <v>1224</v>
      </c>
      <c r="AS77" s="21" t="s">
        <v>1225</v>
      </c>
      <c r="AT77" s="21" t="s">
        <v>1225</v>
      </c>
      <c r="AU77" s="19" t="s">
        <v>1226</v>
      </c>
      <c r="AV77" s="19" t="s">
        <v>1226</v>
      </c>
      <c r="AW77" s="19">
        <f>LEN(SUBSTITUTE(AV77, ", "," "))</f>
        <v>57</v>
      </c>
      <c r="AX77" s="21" t="s">
        <v>1127</v>
      </c>
      <c r="AY77" s="21" t="s">
        <v>832</v>
      </c>
      <c r="AZ77" s="19"/>
      <c r="BA77" s="21" t="s">
        <v>1218</v>
      </c>
      <c r="BB77" s="19"/>
      <c r="BC77" s="21" t="s">
        <v>1135</v>
      </c>
      <c r="BD77" s="19"/>
      <c r="BE77" s="19"/>
      <c r="BF77" s="19"/>
      <c r="BG77" s="21" t="s">
        <v>835</v>
      </c>
      <c r="BH77" s="19"/>
      <c r="BI77" s="21" t="s">
        <v>1131</v>
      </c>
      <c r="BJ77" s="19"/>
      <c r="BK77" s="19"/>
      <c r="BL77" s="21" t="s">
        <v>751</v>
      </c>
      <c r="BM77" s="21" t="s">
        <v>838</v>
      </c>
      <c r="BN77" s="21" t="s">
        <v>753</v>
      </c>
      <c r="BO77" s="19"/>
      <c r="BP77" s="19"/>
      <c r="BQ77" s="19" t="s">
        <v>1227</v>
      </c>
      <c r="BR77" s="19"/>
      <c r="BS77" s="19"/>
      <c r="BT77" s="19"/>
      <c r="BU77" s="19"/>
      <c r="BV77" s="19"/>
      <c r="BW77" s="19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1633</v>
      </c>
    </row>
    <row r="78" spans="1:110" ht="12" customHeight="1" x14ac:dyDescent="0.25">
      <c r="A78" s="15" t="s">
        <v>422</v>
      </c>
      <c r="B78" s="16" t="s">
        <v>40</v>
      </c>
      <c r="C78" s="16" t="s">
        <v>494</v>
      </c>
      <c r="D78" t="s">
        <v>198</v>
      </c>
      <c r="E78" s="19" t="s">
        <v>583</v>
      </c>
      <c r="F78" t="s">
        <v>198</v>
      </c>
      <c r="G78" s="19" t="s">
        <v>585</v>
      </c>
      <c r="H78" s="17" t="s">
        <v>84</v>
      </c>
      <c r="I78"/>
      <c r="J78"/>
      <c r="K78"/>
      <c r="L78"/>
      <c r="M78"/>
      <c r="N78"/>
      <c r="O78"/>
      <c r="P78"/>
      <c r="Q78"/>
      <c r="R78"/>
      <c r="S78"/>
      <c r="T78"/>
      <c r="U78">
        <v>84</v>
      </c>
      <c r="V78" s="16">
        <f>V77+1</f>
        <v>77</v>
      </c>
      <c r="W78" s="16" t="s">
        <v>67</v>
      </c>
      <c r="X78" s="16" t="s">
        <v>67</v>
      </c>
      <c r="Y78" s="19" t="s">
        <v>67</v>
      </c>
      <c r="Z78" s="18" t="s">
        <v>99</v>
      </c>
      <c r="AA78" s="16" t="s">
        <v>99</v>
      </c>
      <c r="AB78" s="20" t="s">
        <v>99</v>
      </c>
      <c r="AC78" s="19" t="s">
        <v>67</v>
      </c>
      <c r="AD78" s="20" t="s">
        <v>99</v>
      </c>
      <c r="AE78" s="20" t="s">
        <v>99</v>
      </c>
      <c r="AF78" s="19" t="s">
        <v>664</v>
      </c>
      <c r="AG78"/>
      <c r="AH78"/>
      <c r="AI78"/>
      <c r="AJ78" s="16" t="s">
        <v>173</v>
      </c>
      <c r="AK78"/>
      <c r="AL78" s="16">
        <v>4913</v>
      </c>
      <c r="AM78" s="16" t="s">
        <v>562</v>
      </c>
      <c r="AN78"/>
      <c r="AO78" s="19" t="s">
        <v>1124</v>
      </c>
      <c r="AP78" s="19" t="s">
        <v>825</v>
      </c>
      <c r="AQ78" s="19" t="s">
        <v>826</v>
      </c>
      <c r="AR78" s="19" t="s">
        <v>1228</v>
      </c>
      <c r="AS78" s="21" t="s">
        <v>1229</v>
      </c>
      <c r="AT78" s="21" t="s">
        <v>1229</v>
      </c>
      <c r="AU78" s="19" t="s">
        <v>1230</v>
      </c>
      <c r="AV78" s="19" t="s">
        <v>1230</v>
      </c>
      <c r="AW78" s="19">
        <f>LEN(SUBSTITUTE(AV78, ", "," "))</f>
        <v>57</v>
      </c>
      <c r="AX78" s="21" t="s">
        <v>1127</v>
      </c>
      <c r="AY78" s="21" t="s">
        <v>832</v>
      </c>
      <c r="AZ78" s="19"/>
      <c r="BA78" s="21" t="s">
        <v>1218</v>
      </c>
      <c r="BB78" s="19"/>
      <c r="BC78" s="21" t="s">
        <v>1139</v>
      </c>
      <c r="BD78" s="19"/>
      <c r="BE78" s="19"/>
      <c r="BF78" s="19"/>
      <c r="BG78" s="21" t="s">
        <v>835</v>
      </c>
      <c r="BH78" s="19"/>
      <c r="BI78" s="21" t="s">
        <v>1131</v>
      </c>
      <c r="BJ78" s="19"/>
      <c r="BK78" s="19"/>
      <c r="BL78" s="21" t="s">
        <v>751</v>
      </c>
      <c r="BM78" s="21" t="s">
        <v>838</v>
      </c>
      <c r="BN78" s="21" t="s">
        <v>753</v>
      </c>
      <c r="BO78" s="19"/>
      <c r="BP78" s="19"/>
      <c r="BQ78" s="19" t="s">
        <v>1231</v>
      </c>
      <c r="BR78" s="19"/>
      <c r="BS78" s="19"/>
      <c r="BT78" s="19"/>
      <c r="BU78" s="19"/>
      <c r="BV78" s="19"/>
      <c r="BW78" s="19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1633</v>
      </c>
    </row>
    <row r="79" spans="1:110" ht="12" customHeight="1" x14ac:dyDescent="0.25">
      <c r="A79" s="15" t="s">
        <v>422</v>
      </c>
      <c r="B79" s="16" t="s">
        <v>40</v>
      </c>
      <c r="C79" s="16" t="s">
        <v>494</v>
      </c>
      <c r="D79" t="s">
        <v>198</v>
      </c>
      <c r="E79" s="19" t="s">
        <v>583</v>
      </c>
      <c r="F79" t="s">
        <v>198</v>
      </c>
      <c r="G79" s="19" t="s">
        <v>585</v>
      </c>
      <c r="H79" s="17" t="s">
        <v>84</v>
      </c>
      <c r="I79"/>
      <c r="J79"/>
      <c r="K79"/>
      <c r="L79"/>
      <c r="M79"/>
      <c r="N79"/>
      <c r="O79"/>
      <c r="P79"/>
      <c r="Q79"/>
      <c r="R79"/>
      <c r="S79"/>
      <c r="T79"/>
      <c r="U79">
        <v>85</v>
      </c>
      <c r="V79" s="16">
        <f>V78+1</f>
        <v>78</v>
      </c>
      <c r="W79" s="16" t="s">
        <v>67</v>
      </c>
      <c r="X79" s="16" t="s">
        <v>67</v>
      </c>
      <c r="Y79" s="19" t="s">
        <v>67</v>
      </c>
      <c r="Z79" s="18" t="s">
        <v>323</v>
      </c>
      <c r="AA79" s="16" t="s">
        <v>323</v>
      </c>
      <c r="AB79" s="20" t="s">
        <v>323</v>
      </c>
      <c r="AC79" s="19" t="s">
        <v>67</v>
      </c>
      <c r="AD79" s="20" t="s">
        <v>323</v>
      </c>
      <c r="AE79" s="20" t="s">
        <v>323</v>
      </c>
      <c r="AF79" s="19" t="s">
        <v>665</v>
      </c>
      <c r="AG79"/>
      <c r="AH79"/>
      <c r="AI79"/>
      <c r="AJ79" s="16" t="s">
        <v>222</v>
      </c>
      <c r="AK79"/>
      <c r="AL79" s="16">
        <v>4913</v>
      </c>
      <c r="AM79" s="16" t="s">
        <v>470</v>
      </c>
      <c r="AN79"/>
      <c r="AO79" s="19" t="s">
        <v>897</v>
      </c>
      <c r="AP79" s="19" t="s">
        <v>825</v>
      </c>
      <c r="AQ79" s="19" t="s">
        <v>826</v>
      </c>
      <c r="AR79" s="19" t="s">
        <v>1232</v>
      </c>
      <c r="AS79" s="21" t="s">
        <v>1233</v>
      </c>
      <c r="AT79" s="21" t="s">
        <v>1233</v>
      </c>
      <c r="AU79" s="19" t="s">
        <v>1234</v>
      </c>
      <c r="AV79" s="19" t="s">
        <v>1234</v>
      </c>
      <c r="AW79" s="19">
        <f>LEN(SUBSTITUTE(AV79, ", "," "))</f>
        <v>56</v>
      </c>
      <c r="AX79" s="21" t="s">
        <v>831</v>
      </c>
      <c r="AY79" s="21" t="s">
        <v>1235</v>
      </c>
      <c r="AZ79" s="19"/>
      <c r="BA79" s="21" t="s">
        <v>1236</v>
      </c>
      <c r="BB79" s="19"/>
      <c r="BC79" s="21" t="s">
        <v>1097</v>
      </c>
      <c r="BD79" s="19"/>
      <c r="BE79" s="19"/>
      <c r="BF79" s="19"/>
      <c r="BG79" s="21" t="s">
        <v>835</v>
      </c>
      <c r="BH79" s="21" t="s">
        <v>1237</v>
      </c>
      <c r="BI79" s="19"/>
      <c r="BJ79" s="19"/>
      <c r="BK79" s="19"/>
      <c r="BL79" s="21" t="s">
        <v>751</v>
      </c>
      <c r="BM79" s="21" t="s">
        <v>838</v>
      </c>
      <c r="BN79" s="21" t="s">
        <v>753</v>
      </c>
      <c r="BO79" s="19"/>
      <c r="BP79" s="19"/>
      <c r="BQ79" s="19" t="s">
        <v>1238</v>
      </c>
      <c r="BR79" s="19"/>
      <c r="BS79" s="19"/>
      <c r="BT79" s="19"/>
      <c r="BU79" s="19"/>
      <c r="BV79" s="19" t="s">
        <v>1239</v>
      </c>
      <c r="BW79" s="1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1633</v>
      </c>
    </row>
    <row r="80" spans="1:110" ht="12" customHeight="1" x14ac:dyDescent="0.25">
      <c r="A80" s="15" t="s">
        <v>422</v>
      </c>
      <c r="B80" s="16" t="s">
        <v>40</v>
      </c>
      <c r="C80" s="16" t="s">
        <v>494</v>
      </c>
      <c r="D80" t="s">
        <v>198</v>
      </c>
      <c r="E80" s="19" t="s">
        <v>583</v>
      </c>
      <c r="F80" t="s">
        <v>198</v>
      </c>
      <c r="G80" s="19" t="s">
        <v>585</v>
      </c>
      <c r="H80" s="17" t="s">
        <v>84</v>
      </c>
      <c r="I80"/>
      <c r="J80"/>
      <c r="K80"/>
      <c r="L80"/>
      <c r="M80"/>
      <c r="N80"/>
      <c r="O80"/>
      <c r="P80"/>
      <c r="Q80"/>
      <c r="R80"/>
      <c r="S80"/>
      <c r="T80"/>
      <c r="U80">
        <v>86</v>
      </c>
      <c r="V80" s="16">
        <f>V79+1</f>
        <v>79</v>
      </c>
      <c r="W80" s="16" t="s">
        <v>67</v>
      </c>
      <c r="X80" s="16" t="s">
        <v>67</v>
      </c>
      <c r="Y80" s="19" t="s">
        <v>67</v>
      </c>
      <c r="Z80" s="18" t="s">
        <v>372</v>
      </c>
      <c r="AA80" s="16" t="s">
        <v>372</v>
      </c>
      <c r="AB80" s="20" t="s">
        <v>372</v>
      </c>
      <c r="AC80" s="19" t="s">
        <v>67</v>
      </c>
      <c r="AD80" s="20" t="s">
        <v>372</v>
      </c>
      <c r="AE80" s="20" t="s">
        <v>372</v>
      </c>
      <c r="AF80" s="19" t="s">
        <v>666</v>
      </c>
      <c r="AG80"/>
      <c r="AH80"/>
      <c r="AI80"/>
      <c r="AJ80" s="16" t="s">
        <v>192</v>
      </c>
      <c r="AK80"/>
      <c r="AL80" s="16">
        <v>4913</v>
      </c>
      <c r="AM80" s="16" t="s">
        <v>120</v>
      </c>
      <c r="AN80"/>
      <c r="AO80" s="19" t="s">
        <v>897</v>
      </c>
      <c r="AP80" s="19" t="s">
        <v>825</v>
      </c>
      <c r="AQ80" s="19" t="s">
        <v>826</v>
      </c>
      <c r="AR80" s="19" t="s">
        <v>1240</v>
      </c>
      <c r="AS80" s="21" t="s">
        <v>1241</v>
      </c>
      <c r="AT80" s="21" t="s">
        <v>1241</v>
      </c>
      <c r="AU80" s="19" t="s">
        <v>1242</v>
      </c>
      <c r="AV80" s="19" t="s">
        <v>1242</v>
      </c>
      <c r="AW80" s="19">
        <f>LEN(SUBSTITUTE(AV80, ", "," "))</f>
        <v>56</v>
      </c>
      <c r="AX80" s="21" t="s">
        <v>831</v>
      </c>
      <c r="AY80" s="21" t="s">
        <v>1235</v>
      </c>
      <c r="AZ80" s="19"/>
      <c r="BA80" s="21" t="s">
        <v>1243</v>
      </c>
      <c r="BB80" s="19"/>
      <c r="BC80" s="21" t="s">
        <v>1097</v>
      </c>
      <c r="BD80" s="19"/>
      <c r="BE80" s="19"/>
      <c r="BF80" s="19"/>
      <c r="BG80" s="21" t="s">
        <v>835</v>
      </c>
      <c r="BH80" s="21" t="s">
        <v>1237</v>
      </c>
      <c r="BI80" s="19"/>
      <c r="BJ80" s="19"/>
      <c r="BK80" s="19"/>
      <c r="BL80" s="21" t="s">
        <v>751</v>
      </c>
      <c r="BM80" s="21" t="s">
        <v>838</v>
      </c>
      <c r="BN80" s="21" t="s">
        <v>753</v>
      </c>
      <c r="BO80" s="19"/>
      <c r="BP80" s="19"/>
      <c r="BQ80" s="19" t="s">
        <v>1244</v>
      </c>
      <c r="BR80" s="19"/>
      <c r="BS80" s="19"/>
      <c r="BT80" s="19"/>
      <c r="BU80" s="19"/>
      <c r="BV80" s="19" t="s">
        <v>1239</v>
      </c>
      <c r="BW80" s="19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1633</v>
      </c>
    </row>
    <row r="81" spans="1:110" ht="12" customHeight="1" x14ac:dyDescent="0.25">
      <c r="A81" s="15" t="s">
        <v>422</v>
      </c>
      <c r="B81" s="16" t="s">
        <v>40</v>
      </c>
      <c r="C81" s="16" t="s">
        <v>494</v>
      </c>
      <c r="D81" t="s">
        <v>198</v>
      </c>
      <c r="E81" s="19" t="s">
        <v>583</v>
      </c>
      <c r="F81" t="s">
        <v>198</v>
      </c>
      <c r="G81" s="19" t="s">
        <v>585</v>
      </c>
      <c r="H81" s="17" t="s">
        <v>84</v>
      </c>
      <c r="I81"/>
      <c r="J81"/>
      <c r="K81"/>
      <c r="L81"/>
      <c r="M81"/>
      <c r="N81"/>
      <c r="O81"/>
      <c r="P81"/>
      <c r="Q81"/>
      <c r="R81"/>
      <c r="S81"/>
      <c r="T81"/>
      <c r="U81">
        <v>87</v>
      </c>
      <c r="V81" s="16">
        <f>V80+1</f>
        <v>80</v>
      </c>
      <c r="W81" s="16" t="s">
        <v>67</v>
      </c>
      <c r="X81" s="16" t="s">
        <v>67</v>
      </c>
      <c r="Y81" s="19" t="s">
        <v>67</v>
      </c>
      <c r="Z81" s="18" t="s">
        <v>142</v>
      </c>
      <c r="AA81" s="16" t="s">
        <v>142</v>
      </c>
      <c r="AB81" s="20" t="s">
        <v>142</v>
      </c>
      <c r="AC81" s="19" t="s">
        <v>67</v>
      </c>
      <c r="AD81" s="20" t="s">
        <v>142</v>
      </c>
      <c r="AE81" s="20" t="s">
        <v>142</v>
      </c>
      <c r="AF81" s="19" t="s">
        <v>667</v>
      </c>
      <c r="AG81"/>
      <c r="AH81"/>
      <c r="AI81"/>
      <c r="AJ81" s="16" t="s">
        <v>132</v>
      </c>
      <c r="AK81"/>
      <c r="AL81" s="16">
        <v>4913</v>
      </c>
      <c r="AM81" s="16" t="s">
        <v>341</v>
      </c>
      <c r="AN81"/>
      <c r="AO81" s="19" t="s">
        <v>897</v>
      </c>
      <c r="AP81" s="19" t="s">
        <v>825</v>
      </c>
      <c r="AQ81" s="19" t="s">
        <v>826</v>
      </c>
      <c r="AR81" s="19" t="s">
        <v>1245</v>
      </c>
      <c r="AS81" s="21" t="s">
        <v>1246</v>
      </c>
      <c r="AT81" s="21" t="s">
        <v>1246</v>
      </c>
      <c r="AU81" s="19" t="s">
        <v>1247</v>
      </c>
      <c r="AV81" s="19" t="s">
        <v>1248</v>
      </c>
      <c r="AW81" s="19">
        <f>LEN(SUBSTITUTE(AV81, ", "," "))</f>
        <v>60</v>
      </c>
      <c r="AX81" s="21" t="s">
        <v>1249</v>
      </c>
      <c r="AY81" s="21" t="s">
        <v>902</v>
      </c>
      <c r="AZ81" s="21" t="s">
        <v>1237</v>
      </c>
      <c r="BA81" s="21" t="s">
        <v>1250</v>
      </c>
      <c r="BB81" s="19"/>
      <c r="BC81" s="21" t="s">
        <v>1145</v>
      </c>
      <c r="BD81" s="19"/>
      <c r="BE81" s="19"/>
      <c r="BF81" s="19"/>
      <c r="BG81" s="21" t="s">
        <v>835</v>
      </c>
      <c r="BH81" s="21" t="s">
        <v>1251</v>
      </c>
      <c r="BI81" s="21" t="s">
        <v>1252</v>
      </c>
      <c r="BJ81" s="19"/>
      <c r="BK81" s="19"/>
      <c r="BL81" s="21" t="s">
        <v>751</v>
      </c>
      <c r="BM81" s="21" t="s">
        <v>838</v>
      </c>
      <c r="BN81" s="21" t="s">
        <v>753</v>
      </c>
      <c r="BO81" s="19"/>
      <c r="BP81" s="19"/>
      <c r="BQ81" s="19" t="s">
        <v>1253</v>
      </c>
      <c r="BR81" s="19"/>
      <c r="BS81" s="19"/>
      <c r="BT81" s="19"/>
      <c r="BU81" s="19"/>
      <c r="BV81" s="19" t="s">
        <v>1239</v>
      </c>
      <c r="BW81" s="19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1633</v>
      </c>
    </row>
    <row r="82" spans="1:110" ht="12" customHeight="1" x14ac:dyDescent="0.25">
      <c r="A82" s="15" t="s">
        <v>422</v>
      </c>
      <c r="B82" s="16" t="s">
        <v>40</v>
      </c>
      <c r="C82" s="16" t="s">
        <v>494</v>
      </c>
      <c r="D82" t="s">
        <v>198</v>
      </c>
      <c r="E82" s="19" t="s">
        <v>583</v>
      </c>
      <c r="F82" t="s">
        <v>198</v>
      </c>
      <c r="G82" s="19" t="s">
        <v>585</v>
      </c>
      <c r="H82" s="17" t="s">
        <v>84</v>
      </c>
      <c r="I82"/>
      <c r="J82"/>
      <c r="K82"/>
      <c r="L82"/>
      <c r="M82"/>
      <c r="N82"/>
      <c r="O82"/>
      <c r="P82"/>
      <c r="Q82"/>
      <c r="R82"/>
      <c r="S82"/>
      <c r="T82"/>
      <c r="U82">
        <v>88</v>
      </c>
      <c r="V82" s="16">
        <f>V81+1</f>
        <v>81</v>
      </c>
      <c r="W82" s="16" t="s">
        <v>67</v>
      </c>
      <c r="X82" s="16" t="s">
        <v>67</v>
      </c>
      <c r="Y82" s="19" t="s">
        <v>67</v>
      </c>
      <c r="Z82" s="18" t="s">
        <v>23</v>
      </c>
      <c r="AA82" s="16" t="s">
        <v>23</v>
      </c>
      <c r="AB82" s="20" t="s">
        <v>23</v>
      </c>
      <c r="AC82" s="19" t="s">
        <v>67</v>
      </c>
      <c r="AD82" s="20" t="s">
        <v>23</v>
      </c>
      <c r="AE82" s="20" t="s">
        <v>23</v>
      </c>
      <c r="AF82" s="19" t="s">
        <v>668</v>
      </c>
      <c r="AG82"/>
      <c r="AH82"/>
      <c r="AI82"/>
      <c r="AJ82" s="16" t="s">
        <v>365</v>
      </c>
      <c r="AK82"/>
      <c r="AL82" s="16">
        <v>4913</v>
      </c>
      <c r="AM82" s="16" t="s">
        <v>481</v>
      </c>
      <c r="AN82"/>
      <c r="AO82" s="19" t="s">
        <v>897</v>
      </c>
      <c r="AP82" s="19" t="s">
        <v>825</v>
      </c>
      <c r="AQ82" s="19" t="s">
        <v>826</v>
      </c>
      <c r="AR82" s="19" t="s">
        <v>1254</v>
      </c>
      <c r="AS82" s="21" t="s">
        <v>1255</v>
      </c>
      <c r="AT82" s="21" t="s">
        <v>1255</v>
      </c>
      <c r="AU82" s="19" t="s">
        <v>1256</v>
      </c>
      <c r="AV82" s="19" t="s">
        <v>1257</v>
      </c>
      <c r="AW82" s="19">
        <f>LEN(SUBSTITUTE(AV82, ", "," "))</f>
        <v>60</v>
      </c>
      <c r="AX82" s="21" t="s">
        <v>1249</v>
      </c>
      <c r="AY82" s="21" t="s">
        <v>902</v>
      </c>
      <c r="AZ82" s="21" t="s">
        <v>1237</v>
      </c>
      <c r="BA82" s="21" t="s">
        <v>1250</v>
      </c>
      <c r="BB82" s="19"/>
      <c r="BC82" s="21" t="s">
        <v>1130</v>
      </c>
      <c r="BD82" s="19"/>
      <c r="BE82" s="19"/>
      <c r="BF82" s="19"/>
      <c r="BG82" s="21" t="s">
        <v>835</v>
      </c>
      <c r="BH82" s="21" t="s">
        <v>1251</v>
      </c>
      <c r="BI82" s="21" t="s">
        <v>1252</v>
      </c>
      <c r="BJ82" s="19"/>
      <c r="BK82" s="19"/>
      <c r="BL82" s="21" t="s">
        <v>751</v>
      </c>
      <c r="BM82" s="21" t="s">
        <v>838</v>
      </c>
      <c r="BN82" s="21" t="s">
        <v>753</v>
      </c>
      <c r="BO82" s="19"/>
      <c r="BP82" s="19"/>
      <c r="BQ82" s="19" t="s">
        <v>1258</v>
      </c>
      <c r="BR82" s="19"/>
      <c r="BS82" s="19"/>
      <c r="BT82" s="19"/>
      <c r="BU82" s="19"/>
      <c r="BV82" s="19" t="s">
        <v>1239</v>
      </c>
      <c r="BW82" s="19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1633</v>
      </c>
    </row>
    <row r="83" spans="1:110" ht="12" customHeight="1" x14ac:dyDescent="0.25">
      <c r="A83" s="15" t="s">
        <v>422</v>
      </c>
      <c r="B83" s="16" t="s">
        <v>40</v>
      </c>
      <c r="C83" s="16" t="s">
        <v>494</v>
      </c>
      <c r="D83" t="s">
        <v>198</v>
      </c>
      <c r="E83" s="19" t="s">
        <v>583</v>
      </c>
      <c r="F83" t="s">
        <v>198</v>
      </c>
      <c r="G83" s="19" t="s">
        <v>585</v>
      </c>
      <c r="H83" s="17" t="s">
        <v>84</v>
      </c>
      <c r="I83"/>
      <c r="J83"/>
      <c r="K83"/>
      <c r="L83"/>
      <c r="M83"/>
      <c r="N83"/>
      <c r="O83"/>
      <c r="P83"/>
      <c r="Q83"/>
      <c r="R83"/>
      <c r="S83"/>
      <c r="T83"/>
      <c r="U83">
        <v>89</v>
      </c>
      <c r="V83" s="16">
        <f>V82+1</f>
        <v>82</v>
      </c>
      <c r="W83" s="16" t="s">
        <v>67</v>
      </c>
      <c r="X83" s="16" t="s">
        <v>67</v>
      </c>
      <c r="Y83" s="19" t="s">
        <v>67</v>
      </c>
      <c r="Z83" s="18" t="s">
        <v>119</v>
      </c>
      <c r="AA83" s="16" t="s">
        <v>119</v>
      </c>
      <c r="AB83" s="20" t="s">
        <v>119</v>
      </c>
      <c r="AC83" s="19" t="s">
        <v>67</v>
      </c>
      <c r="AD83" s="20" t="s">
        <v>119</v>
      </c>
      <c r="AE83" s="20" t="s">
        <v>119</v>
      </c>
      <c r="AF83" s="19" t="s">
        <v>669</v>
      </c>
      <c r="AG83"/>
      <c r="AH83"/>
      <c r="AI83"/>
      <c r="AJ83" s="16" t="s">
        <v>259</v>
      </c>
      <c r="AK83"/>
      <c r="AL83" s="16">
        <v>4913</v>
      </c>
      <c r="AM83" s="16" t="s">
        <v>405</v>
      </c>
      <c r="AN83"/>
      <c r="AO83" s="19" t="s">
        <v>897</v>
      </c>
      <c r="AP83" s="19" t="s">
        <v>825</v>
      </c>
      <c r="AQ83" s="19" t="s">
        <v>826</v>
      </c>
      <c r="AR83" s="19" t="s">
        <v>1259</v>
      </c>
      <c r="AS83" s="21" t="s">
        <v>1260</v>
      </c>
      <c r="AT83" s="21" t="s">
        <v>1260</v>
      </c>
      <c r="AU83" s="19" t="s">
        <v>1261</v>
      </c>
      <c r="AV83" s="19" t="s">
        <v>1262</v>
      </c>
      <c r="AW83" s="19">
        <f>LEN(SUBSTITUTE(AV83, ", "," "))</f>
        <v>60</v>
      </c>
      <c r="AX83" s="21" t="s">
        <v>1249</v>
      </c>
      <c r="AY83" s="21" t="s">
        <v>902</v>
      </c>
      <c r="AZ83" s="21" t="s">
        <v>1237</v>
      </c>
      <c r="BA83" s="21" t="s">
        <v>1250</v>
      </c>
      <c r="BB83" s="19"/>
      <c r="BC83" s="21" t="s">
        <v>1135</v>
      </c>
      <c r="BD83" s="19"/>
      <c r="BE83" s="19"/>
      <c r="BF83" s="19"/>
      <c r="BG83" s="21" t="s">
        <v>835</v>
      </c>
      <c r="BH83" s="21" t="s">
        <v>1251</v>
      </c>
      <c r="BI83" s="21" t="s">
        <v>1252</v>
      </c>
      <c r="BJ83" s="19"/>
      <c r="BK83" s="19"/>
      <c r="BL83" s="21" t="s">
        <v>751</v>
      </c>
      <c r="BM83" s="21" t="s">
        <v>838</v>
      </c>
      <c r="BN83" s="21" t="s">
        <v>753</v>
      </c>
      <c r="BO83" s="19"/>
      <c r="BP83" s="19"/>
      <c r="BQ83" s="19" t="s">
        <v>1263</v>
      </c>
      <c r="BR83" s="19"/>
      <c r="BS83" s="19"/>
      <c r="BT83" s="19"/>
      <c r="BU83" s="19"/>
      <c r="BV83" s="19" t="s">
        <v>1239</v>
      </c>
      <c r="BW83" s="19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1633</v>
      </c>
    </row>
    <row r="84" spans="1:110" ht="12" customHeight="1" x14ac:dyDescent="0.25">
      <c r="A84" s="15" t="s">
        <v>422</v>
      </c>
      <c r="B84" s="16" t="s">
        <v>40</v>
      </c>
      <c r="C84" s="16" t="s">
        <v>494</v>
      </c>
      <c r="D84" t="s">
        <v>198</v>
      </c>
      <c r="E84" s="19" t="s">
        <v>583</v>
      </c>
      <c r="F84" t="s">
        <v>198</v>
      </c>
      <c r="G84" s="19" t="s">
        <v>585</v>
      </c>
      <c r="H84" s="17" t="s">
        <v>84</v>
      </c>
      <c r="I84"/>
      <c r="J84"/>
      <c r="K84"/>
      <c r="L84"/>
      <c r="M84"/>
      <c r="N84"/>
      <c r="O84"/>
      <c r="P84"/>
      <c r="Q84"/>
      <c r="R84"/>
      <c r="S84"/>
      <c r="T84"/>
      <c r="U84">
        <v>90</v>
      </c>
      <c r="V84" s="16">
        <f>V83+1</f>
        <v>83</v>
      </c>
      <c r="W84" s="16" t="s">
        <v>67</v>
      </c>
      <c r="X84" s="16" t="s">
        <v>67</v>
      </c>
      <c r="Y84" s="19" t="s">
        <v>67</v>
      </c>
      <c r="Z84" s="18" t="s">
        <v>145</v>
      </c>
      <c r="AA84" s="16" t="s">
        <v>145</v>
      </c>
      <c r="AB84" s="20" t="s">
        <v>145</v>
      </c>
      <c r="AC84" s="19" t="s">
        <v>67</v>
      </c>
      <c r="AD84" s="20" t="s">
        <v>145</v>
      </c>
      <c r="AE84" s="20" t="s">
        <v>145</v>
      </c>
      <c r="AF84" s="19" t="s">
        <v>670</v>
      </c>
      <c r="AG84"/>
      <c r="AH84"/>
      <c r="AI84"/>
      <c r="AJ84" s="16" t="s">
        <v>18</v>
      </c>
      <c r="AK84"/>
      <c r="AL84" s="16">
        <v>4913</v>
      </c>
      <c r="AM84" s="16" t="s">
        <v>313</v>
      </c>
      <c r="AN84"/>
      <c r="AO84" s="19" t="s">
        <v>897</v>
      </c>
      <c r="AP84" s="19" t="s">
        <v>825</v>
      </c>
      <c r="AQ84" s="19" t="s">
        <v>826</v>
      </c>
      <c r="AR84" s="19" t="s">
        <v>1264</v>
      </c>
      <c r="AS84" s="21" t="s">
        <v>1265</v>
      </c>
      <c r="AT84" s="21" t="s">
        <v>1265</v>
      </c>
      <c r="AU84" s="19" t="s">
        <v>1266</v>
      </c>
      <c r="AV84" s="19" t="s">
        <v>1267</v>
      </c>
      <c r="AW84" s="19">
        <f>LEN(SUBSTITUTE(AV84, ", "," "))</f>
        <v>60</v>
      </c>
      <c r="AX84" s="21" t="s">
        <v>1249</v>
      </c>
      <c r="AY84" s="21" t="s">
        <v>902</v>
      </c>
      <c r="AZ84" s="21" t="s">
        <v>1237</v>
      </c>
      <c r="BA84" s="21" t="s">
        <v>1250</v>
      </c>
      <c r="BB84" s="19"/>
      <c r="BC84" s="21" t="s">
        <v>1139</v>
      </c>
      <c r="BD84" s="19"/>
      <c r="BE84" s="19"/>
      <c r="BF84" s="19"/>
      <c r="BG84" s="21" t="s">
        <v>835</v>
      </c>
      <c r="BH84" s="21" t="s">
        <v>1251</v>
      </c>
      <c r="BI84" s="21" t="s">
        <v>1252</v>
      </c>
      <c r="BJ84" s="19"/>
      <c r="BK84" s="19"/>
      <c r="BL84" s="21" t="s">
        <v>751</v>
      </c>
      <c r="BM84" s="21" t="s">
        <v>838</v>
      </c>
      <c r="BN84" s="21" t="s">
        <v>753</v>
      </c>
      <c r="BO84" s="19"/>
      <c r="BP84" s="19"/>
      <c r="BQ84" s="19" t="s">
        <v>1268</v>
      </c>
      <c r="BR84" s="19"/>
      <c r="BS84" s="19"/>
      <c r="BT84" s="19"/>
      <c r="BU84" s="19"/>
      <c r="BV84" s="19" t="s">
        <v>1239</v>
      </c>
      <c r="BW84" s="19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1633</v>
      </c>
    </row>
    <row r="85" spans="1:110" ht="12" customHeight="1" x14ac:dyDescent="0.25">
      <c r="A85" s="15" t="s">
        <v>422</v>
      </c>
      <c r="B85" s="16" t="s">
        <v>40</v>
      </c>
      <c r="C85" s="16" t="s">
        <v>494</v>
      </c>
      <c r="D85" t="s">
        <v>198</v>
      </c>
      <c r="E85" s="19" t="s">
        <v>583</v>
      </c>
      <c r="F85" t="s">
        <v>198</v>
      </c>
      <c r="G85" s="19" t="s">
        <v>585</v>
      </c>
      <c r="H85" s="17" t="s">
        <v>84</v>
      </c>
      <c r="I85"/>
      <c r="J85"/>
      <c r="K85"/>
      <c r="L85"/>
      <c r="M85"/>
      <c r="N85"/>
      <c r="O85"/>
      <c r="P85"/>
      <c r="Q85"/>
      <c r="R85"/>
      <c r="S85"/>
      <c r="T85"/>
      <c r="U85">
        <v>91</v>
      </c>
      <c r="V85" s="16">
        <f>V84+1</f>
        <v>84</v>
      </c>
      <c r="W85" s="16" t="s">
        <v>67</v>
      </c>
      <c r="X85" s="16" t="s">
        <v>67</v>
      </c>
      <c r="Y85" s="19" t="s">
        <v>67</v>
      </c>
      <c r="Z85" s="18" t="s">
        <v>61</v>
      </c>
      <c r="AA85" s="16" t="s">
        <v>61</v>
      </c>
      <c r="AB85" s="20" t="s">
        <v>61</v>
      </c>
      <c r="AC85" s="19" t="s">
        <v>67</v>
      </c>
      <c r="AD85" s="20" t="s">
        <v>61</v>
      </c>
      <c r="AE85" s="20" t="s">
        <v>61</v>
      </c>
      <c r="AF85" s="19" t="s">
        <v>671</v>
      </c>
      <c r="AG85"/>
      <c r="AH85"/>
      <c r="AI85"/>
      <c r="AJ85" s="16" t="s">
        <v>88</v>
      </c>
      <c r="AK85"/>
      <c r="AL85" s="16">
        <v>4913</v>
      </c>
      <c r="AM85" s="16" t="s">
        <v>471</v>
      </c>
      <c r="AN85"/>
      <c r="AO85" s="19" t="s">
        <v>897</v>
      </c>
      <c r="AP85" s="19" t="s">
        <v>825</v>
      </c>
      <c r="AQ85" s="19" t="s">
        <v>826</v>
      </c>
      <c r="AR85" s="19" t="s">
        <v>1269</v>
      </c>
      <c r="AS85" s="21" t="s">
        <v>1270</v>
      </c>
      <c r="AT85" s="21" t="s">
        <v>1270</v>
      </c>
      <c r="AU85" s="19" t="s">
        <v>1271</v>
      </c>
      <c r="AV85" s="19" t="s">
        <v>1272</v>
      </c>
      <c r="AW85" s="19">
        <f>LEN(SUBSTITUTE(AV85, ", "," "))</f>
        <v>60</v>
      </c>
      <c r="AX85" s="21" t="s">
        <v>1249</v>
      </c>
      <c r="AY85" s="21" t="s">
        <v>902</v>
      </c>
      <c r="AZ85" s="21" t="s">
        <v>1237</v>
      </c>
      <c r="BA85" s="21" t="s">
        <v>1273</v>
      </c>
      <c r="BB85" s="19"/>
      <c r="BC85" s="21" t="s">
        <v>1145</v>
      </c>
      <c r="BD85" s="19"/>
      <c r="BE85" s="19"/>
      <c r="BF85" s="19"/>
      <c r="BG85" s="21" t="s">
        <v>835</v>
      </c>
      <c r="BH85" s="21" t="s">
        <v>1251</v>
      </c>
      <c r="BI85" s="21" t="s">
        <v>1252</v>
      </c>
      <c r="BJ85" s="19"/>
      <c r="BK85" s="19"/>
      <c r="BL85" s="21" t="s">
        <v>751</v>
      </c>
      <c r="BM85" s="21" t="s">
        <v>838</v>
      </c>
      <c r="BN85" s="21" t="s">
        <v>753</v>
      </c>
      <c r="BO85" s="19"/>
      <c r="BP85" s="19"/>
      <c r="BQ85" s="19" t="s">
        <v>1274</v>
      </c>
      <c r="BR85" s="19"/>
      <c r="BS85" s="19"/>
      <c r="BT85" s="19"/>
      <c r="BU85" s="19"/>
      <c r="BV85" s="19" t="s">
        <v>1239</v>
      </c>
      <c r="BW85" s="19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1633</v>
      </c>
    </row>
    <row r="86" spans="1:110" ht="12" customHeight="1" x14ac:dyDescent="0.25">
      <c r="A86" s="15" t="s">
        <v>422</v>
      </c>
      <c r="B86" s="16" t="s">
        <v>40</v>
      </c>
      <c r="C86" s="16" t="s">
        <v>494</v>
      </c>
      <c r="D86" t="s">
        <v>198</v>
      </c>
      <c r="E86" s="19" t="s">
        <v>583</v>
      </c>
      <c r="F86" t="s">
        <v>198</v>
      </c>
      <c r="G86" s="19" t="s">
        <v>585</v>
      </c>
      <c r="H86" s="17" t="s">
        <v>84</v>
      </c>
      <c r="I86"/>
      <c r="J86"/>
      <c r="K86"/>
      <c r="L86"/>
      <c r="M86"/>
      <c r="N86"/>
      <c r="O86"/>
      <c r="P86"/>
      <c r="Q86"/>
      <c r="R86"/>
      <c r="S86"/>
      <c r="T86"/>
      <c r="U86">
        <v>92</v>
      </c>
      <c r="V86" s="16">
        <f>V85+1</f>
        <v>85</v>
      </c>
      <c r="W86" s="16" t="s">
        <v>67</v>
      </c>
      <c r="X86" s="16" t="s">
        <v>67</v>
      </c>
      <c r="Y86" s="19" t="s">
        <v>67</v>
      </c>
      <c r="Z86" s="18" t="s">
        <v>176</v>
      </c>
      <c r="AA86" s="16" t="s">
        <v>176</v>
      </c>
      <c r="AB86" s="20" t="s">
        <v>176</v>
      </c>
      <c r="AC86" s="19" t="s">
        <v>67</v>
      </c>
      <c r="AD86" s="20" t="s">
        <v>176</v>
      </c>
      <c r="AE86" s="20" t="s">
        <v>176</v>
      </c>
      <c r="AF86" s="19" t="s">
        <v>672</v>
      </c>
      <c r="AG86"/>
      <c r="AH86"/>
      <c r="AI86"/>
      <c r="AJ86" s="16" t="s">
        <v>566</v>
      </c>
      <c r="AK86"/>
      <c r="AL86" s="16">
        <v>4913</v>
      </c>
      <c r="AM86" s="16" t="s">
        <v>2</v>
      </c>
      <c r="AN86"/>
      <c r="AO86" s="19" t="s">
        <v>897</v>
      </c>
      <c r="AP86" s="19" t="s">
        <v>825</v>
      </c>
      <c r="AQ86" s="19" t="s">
        <v>826</v>
      </c>
      <c r="AR86" s="19" t="s">
        <v>1275</v>
      </c>
      <c r="AS86" s="21" t="s">
        <v>1276</v>
      </c>
      <c r="AT86" s="21" t="s">
        <v>1276</v>
      </c>
      <c r="AU86" s="19" t="s">
        <v>1277</v>
      </c>
      <c r="AV86" s="19" t="s">
        <v>1278</v>
      </c>
      <c r="AW86" s="19">
        <f>LEN(SUBSTITUTE(AV86, ", "," "))</f>
        <v>60</v>
      </c>
      <c r="AX86" s="21" t="s">
        <v>1249</v>
      </c>
      <c r="AY86" s="21" t="s">
        <v>902</v>
      </c>
      <c r="AZ86" s="21" t="s">
        <v>1237</v>
      </c>
      <c r="BA86" s="21" t="s">
        <v>1273</v>
      </c>
      <c r="BB86" s="19"/>
      <c r="BC86" s="21" t="s">
        <v>1130</v>
      </c>
      <c r="BD86" s="19"/>
      <c r="BE86" s="19"/>
      <c r="BF86" s="19"/>
      <c r="BG86" s="21" t="s">
        <v>835</v>
      </c>
      <c r="BH86" s="21" t="s">
        <v>1251</v>
      </c>
      <c r="BI86" s="21" t="s">
        <v>1252</v>
      </c>
      <c r="BJ86" s="19"/>
      <c r="BK86" s="19"/>
      <c r="BL86" s="21" t="s">
        <v>751</v>
      </c>
      <c r="BM86" s="21" t="s">
        <v>838</v>
      </c>
      <c r="BN86" s="21" t="s">
        <v>753</v>
      </c>
      <c r="BO86" s="19"/>
      <c r="BP86" s="19"/>
      <c r="BQ86" s="19" t="s">
        <v>1279</v>
      </c>
      <c r="BR86" s="19"/>
      <c r="BS86" s="19"/>
      <c r="BT86" s="19"/>
      <c r="BU86" s="19"/>
      <c r="BV86" s="19" t="s">
        <v>1239</v>
      </c>
      <c r="BW86" s="19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1633</v>
      </c>
    </row>
    <row r="87" spans="1:110" ht="12" customHeight="1" x14ac:dyDescent="0.25">
      <c r="A87" s="15" t="s">
        <v>422</v>
      </c>
      <c r="B87" s="16" t="s">
        <v>40</v>
      </c>
      <c r="C87" s="16" t="s">
        <v>494</v>
      </c>
      <c r="D87" t="s">
        <v>198</v>
      </c>
      <c r="E87" s="19" t="s">
        <v>583</v>
      </c>
      <c r="F87" t="s">
        <v>198</v>
      </c>
      <c r="G87" s="19" t="s">
        <v>585</v>
      </c>
      <c r="H87" s="17" t="s">
        <v>84</v>
      </c>
      <c r="I87"/>
      <c r="J87"/>
      <c r="K87"/>
      <c r="L87"/>
      <c r="M87"/>
      <c r="N87"/>
      <c r="O87"/>
      <c r="P87"/>
      <c r="Q87"/>
      <c r="R87"/>
      <c r="S87"/>
      <c r="T87"/>
      <c r="U87">
        <v>93</v>
      </c>
      <c r="V87" s="16">
        <f>V86+1</f>
        <v>86</v>
      </c>
      <c r="W87" s="16" t="s">
        <v>67</v>
      </c>
      <c r="X87" s="16" t="s">
        <v>67</v>
      </c>
      <c r="Y87" s="19" t="s">
        <v>67</v>
      </c>
      <c r="Z87" s="18" t="s">
        <v>440</v>
      </c>
      <c r="AA87" s="16" t="s">
        <v>440</v>
      </c>
      <c r="AB87" s="20" t="s">
        <v>440</v>
      </c>
      <c r="AC87" s="19" t="s">
        <v>67</v>
      </c>
      <c r="AD87" s="20" t="s">
        <v>440</v>
      </c>
      <c r="AE87" s="20" t="s">
        <v>440</v>
      </c>
      <c r="AF87" s="19" t="s">
        <v>673</v>
      </c>
      <c r="AG87"/>
      <c r="AH87"/>
      <c r="AI87"/>
      <c r="AJ87" s="16" t="s">
        <v>534</v>
      </c>
      <c r="AK87"/>
      <c r="AL87" s="16">
        <v>4913</v>
      </c>
      <c r="AM87" s="16" t="s">
        <v>42</v>
      </c>
      <c r="AN87"/>
      <c r="AO87" s="19" t="s">
        <v>897</v>
      </c>
      <c r="AP87" s="19" t="s">
        <v>825</v>
      </c>
      <c r="AQ87" s="19" t="s">
        <v>826</v>
      </c>
      <c r="AR87" s="19" t="s">
        <v>1280</v>
      </c>
      <c r="AS87" s="21" t="s">
        <v>1281</v>
      </c>
      <c r="AT87" s="21" t="s">
        <v>1281</v>
      </c>
      <c r="AU87" s="19" t="s">
        <v>1282</v>
      </c>
      <c r="AV87" s="19" t="s">
        <v>1283</v>
      </c>
      <c r="AW87" s="19">
        <f>LEN(SUBSTITUTE(AV87, ", "," "))</f>
        <v>60</v>
      </c>
      <c r="AX87" s="21" t="s">
        <v>1249</v>
      </c>
      <c r="AY87" s="21" t="s">
        <v>902</v>
      </c>
      <c r="AZ87" s="21" t="s">
        <v>1237</v>
      </c>
      <c r="BA87" s="21" t="s">
        <v>1273</v>
      </c>
      <c r="BB87" s="19"/>
      <c r="BC87" s="21" t="s">
        <v>1135</v>
      </c>
      <c r="BD87" s="19"/>
      <c r="BE87" s="19"/>
      <c r="BF87" s="19"/>
      <c r="BG87" s="21" t="s">
        <v>835</v>
      </c>
      <c r="BH87" s="21" t="s">
        <v>1251</v>
      </c>
      <c r="BI87" s="21" t="s">
        <v>1252</v>
      </c>
      <c r="BJ87" s="19"/>
      <c r="BK87" s="19"/>
      <c r="BL87" s="21" t="s">
        <v>751</v>
      </c>
      <c r="BM87" s="21" t="s">
        <v>838</v>
      </c>
      <c r="BN87" s="21" t="s">
        <v>753</v>
      </c>
      <c r="BO87" s="19"/>
      <c r="BP87" s="19"/>
      <c r="BQ87" s="19" t="s">
        <v>1284</v>
      </c>
      <c r="BR87" s="19"/>
      <c r="BS87" s="19"/>
      <c r="BT87" s="19"/>
      <c r="BU87" s="19"/>
      <c r="BV87" s="19" t="s">
        <v>1239</v>
      </c>
      <c r="BW87" s="19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1633</v>
      </c>
    </row>
    <row r="88" spans="1:110" ht="12" customHeight="1" x14ac:dyDescent="0.25">
      <c r="A88" s="15" t="s">
        <v>422</v>
      </c>
      <c r="B88" s="16" t="s">
        <v>40</v>
      </c>
      <c r="C88" s="16" t="s">
        <v>494</v>
      </c>
      <c r="D88" t="s">
        <v>198</v>
      </c>
      <c r="E88" s="19" t="s">
        <v>583</v>
      </c>
      <c r="F88" t="s">
        <v>198</v>
      </c>
      <c r="G88" s="19" t="s">
        <v>585</v>
      </c>
      <c r="H88" s="17" t="s">
        <v>84</v>
      </c>
      <c r="I88"/>
      <c r="J88"/>
      <c r="K88"/>
      <c r="L88"/>
      <c r="M88"/>
      <c r="N88"/>
      <c r="O88"/>
      <c r="P88"/>
      <c r="Q88"/>
      <c r="R88"/>
      <c r="S88"/>
      <c r="T88"/>
      <c r="U88">
        <v>94</v>
      </c>
      <c r="V88" s="16">
        <f>V87+1</f>
        <v>87</v>
      </c>
      <c r="W88" s="16" t="s">
        <v>67</v>
      </c>
      <c r="X88" s="16" t="s">
        <v>67</v>
      </c>
      <c r="Y88" s="19" t="s">
        <v>67</v>
      </c>
      <c r="Z88" s="18" t="s">
        <v>296</v>
      </c>
      <c r="AA88" s="16" t="s">
        <v>296</v>
      </c>
      <c r="AB88" s="20" t="s">
        <v>296</v>
      </c>
      <c r="AC88" s="19" t="s">
        <v>67</v>
      </c>
      <c r="AD88" s="20" t="s">
        <v>296</v>
      </c>
      <c r="AE88" s="20" t="s">
        <v>296</v>
      </c>
      <c r="AF88" s="19" t="s">
        <v>674</v>
      </c>
      <c r="AG88"/>
      <c r="AH88"/>
      <c r="AI88"/>
      <c r="AJ88" s="16" t="s">
        <v>568</v>
      </c>
      <c r="AK88"/>
      <c r="AL88" s="16">
        <v>4913</v>
      </c>
      <c r="AM88" s="16" t="s">
        <v>188</v>
      </c>
      <c r="AN88"/>
      <c r="AO88" s="19" t="s">
        <v>897</v>
      </c>
      <c r="AP88" s="19" t="s">
        <v>825</v>
      </c>
      <c r="AQ88" s="19" t="s">
        <v>826</v>
      </c>
      <c r="AR88" s="19" t="s">
        <v>1285</v>
      </c>
      <c r="AS88" s="21" t="s">
        <v>1286</v>
      </c>
      <c r="AT88" s="21" t="s">
        <v>1286</v>
      </c>
      <c r="AU88" s="19" t="s">
        <v>1287</v>
      </c>
      <c r="AV88" s="19" t="s">
        <v>1288</v>
      </c>
      <c r="AW88" s="19">
        <f>LEN(SUBSTITUTE(AV88, ", "," "))</f>
        <v>60</v>
      </c>
      <c r="AX88" s="21" t="s">
        <v>1249</v>
      </c>
      <c r="AY88" s="21" t="s">
        <v>902</v>
      </c>
      <c r="AZ88" s="21" t="s">
        <v>1237</v>
      </c>
      <c r="BA88" s="21" t="s">
        <v>1273</v>
      </c>
      <c r="BB88" s="19"/>
      <c r="BC88" s="21" t="s">
        <v>1139</v>
      </c>
      <c r="BD88" s="19"/>
      <c r="BE88" s="19"/>
      <c r="BF88" s="19"/>
      <c r="BG88" s="21" t="s">
        <v>835</v>
      </c>
      <c r="BH88" s="21" t="s">
        <v>1251</v>
      </c>
      <c r="BI88" s="21" t="s">
        <v>1252</v>
      </c>
      <c r="BJ88" s="19"/>
      <c r="BK88" s="19"/>
      <c r="BL88" s="21" t="s">
        <v>751</v>
      </c>
      <c r="BM88" s="21" t="s">
        <v>838</v>
      </c>
      <c r="BN88" s="21" t="s">
        <v>753</v>
      </c>
      <c r="BO88" s="19"/>
      <c r="BP88" s="19"/>
      <c r="BQ88" s="19" t="s">
        <v>1289</v>
      </c>
      <c r="BR88" s="19"/>
      <c r="BS88" s="19"/>
      <c r="BT88" s="19"/>
      <c r="BU88" s="19"/>
      <c r="BV88" s="19" t="s">
        <v>1239</v>
      </c>
      <c r="BW88" s="19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1633</v>
      </c>
    </row>
    <row r="89" spans="1:110" ht="12" customHeight="1" x14ac:dyDescent="0.25">
      <c r="A89" s="15" t="s">
        <v>422</v>
      </c>
      <c r="B89" s="16" t="s">
        <v>40</v>
      </c>
      <c r="C89" s="16" t="s">
        <v>494</v>
      </c>
      <c r="D89" t="s">
        <v>198</v>
      </c>
      <c r="E89" s="19" t="s">
        <v>584</v>
      </c>
      <c r="F89" t="s">
        <v>198</v>
      </c>
      <c r="G89" s="19" t="s">
        <v>585</v>
      </c>
      <c r="H89" s="17" t="s">
        <v>84</v>
      </c>
      <c r="I89"/>
      <c r="J89"/>
      <c r="K89"/>
      <c r="L89"/>
      <c r="M89"/>
      <c r="N89"/>
      <c r="O89"/>
      <c r="P89"/>
      <c r="Q89"/>
      <c r="R89"/>
      <c r="S89"/>
      <c r="T89"/>
      <c r="U89">
        <v>95</v>
      </c>
      <c r="V89" s="16">
        <f>V88+1</f>
        <v>88</v>
      </c>
      <c r="W89" s="16" t="s">
        <v>67</v>
      </c>
      <c r="X89" s="16" t="s">
        <v>67</v>
      </c>
      <c r="Y89" s="19" t="s">
        <v>67</v>
      </c>
      <c r="Z89" s="18" t="s">
        <v>409</v>
      </c>
      <c r="AA89" s="16" t="s">
        <v>409</v>
      </c>
      <c r="AB89" s="20" t="s">
        <v>409</v>
      </c>
      <c r="AC89" s="19" t="s">
        <v>67</v>
      </c>
      <c r="AD89" s="20" t="s">
        <v>409</v>
      </c>
      <c r="AE89" s="20" t="s">
        <v>409</v>
      </c>
      <c r="AF89" s="19" t="s">
        <v>675</v>
      </c>
      <c r="AG89"/>
      <c r="AH89"/>
      <c r="AI89"/>
      <c r="AJ89" s="16" t="s">
        <v>366</v>
      </c>
      <c r="AK89"/>
      <c r="AL89" s="16">
        <v>4913</v>
      </c>
      <c r="AM89" s="16" t="s">
        <v>342</v>
      </c>
      <c r="AN89"/>
      <c r="AO89" s="19" t="s">
        <v>897</v>
      </c>
      <c r="AP89" s="19" t="s">
        <v>825</v>
      </c>
      <c r="AQ89" s="19" t="s">
        <v>826</v>
      </c>
      <c r="AR89" s="19" t="s">
        <v>366</v>
      </c>
      <c r="AS89" s="21" t="s">
        <v>1290</v>
      </c>
      <c r="AT89" s="21" t="s">
        <v>1290</v>
      </c>
      <c r="AU89" s="19" t="s">
        <v>1291</v>
      </c>
      <c r="AV89" s="19" t="s">
        <v>1292</v>
      </c>
      <c r="AW89" s="19">
        <f>LEN(SUBSTITUTE(AV89, ", "," "))</f>
        <v>60</v>
      </c>
      <c r="AX89" s="21" t="s">
        <v>1249</v>
      </c>
      <c r="AY89" s="21" t="s">
        <v>902</v>
      </c>
      <c r="AZ89" s="21" t="s">
        <v>1237</v>
      </c>
      <c r="BA89" s="21" t="s">
        <v>1293</v>
      </c>
      <c r="BB89" s="19"/>
      <c r="BC89" s="21" t="s">
        <v>1145</v>
      </c>
      <c r="BD89" s="19"/>
      <c r="BE89" s="19"/>
      <c r="BF89" s="19"/>
      <c r="BG89" s="21" t="s">
        <v>835</v>
      </c>
      <c r="BH89" s="21" t="s">
        <v>1251</v>
      </c>
      <c r="BI89" s="21" t="s">
        <v>1252</v>
      </c>
      <c r="BJ89" s="19"/>
      <c r="BK89" s="19"/>
      <c r="BL89" s="21" t="s">
        <v>751</v>
      </c>
      <c r="BM89" s="21" t="s">
        <v>838</v>
      </c>
      <c r="BN89" s="21" t="s">
        <v>753</v>
      </c>
      <c r="BO89" s="19"/>
      <c r="BP89" s="19"/>
      <c r="BQ89" s="19" t="s">
        <v>922</v>
      </c>
      <c r="BR89" s="19"/>
      <c r="BS89" s="19"/>
      <c r="BT89" s="19"/>
      <c r="BU89" s="19"/>
      <c r="BV89" s="19" t="s">
        <v>1239</v>
      </c>
      <c r="BW89" s="1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1633</v>
      </c>
    </row>
    <row r="90" spans="1:110" ht="12" customHeight="1" x14ac:dyDescent="0.25">
      <c r="A90" s="15" t="s">
        <v>422</v>
      </c>
      <c r="B90" s="16" t="s">
        <v>40</v>
      </c>
      <c r="C90" s="16" t="s">
        <v>494</v>
      </c>
      <c r="D90" t="s">
        <v>198</v>
      </c>
      <c r="E90" s="19" t="s">
        <v>584</v>
      </c>
      <c r="F90" t="s">
        <v>198</v>
      </c>
      <c r="G90" s="19" t="s">
        <v>585</v>
      </c>
      <c r="H90" s="17" t="s">
        <v>84</v>
      </c>
      <c r="I90"/>
      <c r="J90"/>
      <c r="K90"/>
      <c r="L90"/>
      <c r="M90"/>
      <c r="N90"/>
      <c r="O90"/>
      <c r="P90"/>
      <c r="Q90"/>
      <c r="R90"/>
      <c r="S90"/>
      <c r="T90"/>
      <c r="U90">
        <v>96</v>
      </c>
      <c r="V90" s="16">
        <f>V89+1</f>
        <v>89</v>
      </c>
      <c r="W90" s="16" t="s">
        <v>67</v>
      </c>
      <c r="X90" s="16" t="s">
        <v>67</v>
      </c>
      <c r="Y90" s="19" t="s">
        <v>67</v>
      </c>
      <c r="Z90" s="18" t="s">
        <v>52</v>
      </c>
      <c r="AA90" s="16" t="s">
        <v>52</v>
      </c>
      <c r="AB90" s="20" t="s">
        <v>52</v>
      </c>
      <c r="AC90" s="19" t="s">
        <v>67</v>
      </c>
      <c r="AD90" s="20" t="s">
        <v>52</v>
      </c>
      <c r="AE90" s="20" t="s">
        <v>52</v>
      </c>
      <c r="AF90" s="19" t="s">
        <v>676</v>
      </c>
      <c r="AG90"/>
      <c r="AH90"/>
      <c r="AI90"/>
      <c r="AJ90" s="16" t="s">
        <v>572</v>
      </c>
      <c r="AK90"/>
      <c r="AL90" s="16">
        <v>4913</v>
      </c>
      <c r="AM90" s="16" t="s">
        <v>318</v>
      </c>
      <c r="AN90"/>
      <c r="AO90" s="19" t="s">
        <v>897</v>
      </c>
      <c r="AP90" s="19" t="s">
        <v>825</v>
      </c>
      <c r="AQ90" s="19" t="s">
        <v>826</v>
      </c>
      <c r="AR90" s="19" t="s">
        <v>572</v>
      </c>
      <c r="AS90" s="21" t="s">
        <v>1294</v>
      </c>
      <c r="AT90" s="21" t="s">
        <v>1294</v>
      </c>
      <c r="AU90" s="19" t="s">
        <v>1295</v>
      </c>
      <c r="AV90" s="19" t="s">
        <v>1296</v>
      </c>
      <c r="AW90" s="19">
        <f>LEN(SUBSTITUTE(AV90, ", "," "))</f>
        <v>60</v>
      </c>
      <c r="AX90" s="21" t="s">
        <v>1249</v>
      </c>
      <c r="AY90" s="21" t="s">
        <v>902</v>
      </c>
      <c r="AZ90" s="21" t="s">
        <v>1237</v>
      </c>
      <c r="BA90" s="21" t="s">
        <v>1293</v>
      </c>
      <c r="BB90" s="19"/>
      <c r="BC90" s="21" t="s">
        <v>1130</v>
      </c>
      <c r="BD90" s="19"/>
      <c r="BE90" s="19"/>
      <c r="BF90" s="19"/>
      <c r="BG90" s="21" t="s">
        <v>835</v>
      </c>
      <c r="BH90" s="21" t="s">
        <v>1251</v>
      </c>
      <c r="BI90" s="21" t="s">
        <v>1252</v>
      </c>
      <c r="BJ90" s="19"/>
      <c r="BK90" s="19"/>
      <c r="BL90" s="21" t="s">
        <v>751</v>
      </c>
      <c r="BM90" s="21" t="s">
        <v>838</v>
      </c>
      <c r="BN90" s="21" t="s">
        <v>753</v>
      </c>
      <c r="BO90" s="19"/>
      <c r="BP90" s="19"/>
      <c r="BQ90" s="19" t="s">
        <v>922</v>
      </c>
      <c r="BR90" s="19"/>
      <c r="BS90" s="19"/>
      <c r="BT90" s="19"/>
      <c r="BU90" s="19"/>
      <c r="BV90" s="19" t="s">
        <v>1239</v>
      </c>
      <c r="BW90" s="19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1633</v>
      </c>
    </row>
    <row r="91" spans="1:110" ht="12" customHeight="1" x14ac:dyDescent="0.25">
      <c r="A91" s="15" t="s">
        <v>422</v>
      </c>
      <c r="B91" s="16" t="s">
        <v>40</v>
      </c>
      <c r="C91" s="16" t="s">
        <v>494</v>
      </c>
      <c r="D91" t="s">
        <v>198</v>
      </c>
      <c r="E91" s="19" t="s">
        <v>584</v>
      </c>
      <c r="F91" t="s">
        <v>198</v>
      </c>
      <c r="G91" s="19" t="s">
        <v>585</v>
      </c>
      <c r="H91" s="17" t="s">
        <v>84</v>
      </c>
      <c r="I91"/>
      <c r="J91"/>
      <c r="K91"/>
      <c r="L91"/>
      <c r="M91"/>
      <c r="N91"/>
      <c r="O91"/>
      <c r="P91"/>
      <c r="Q91"/>
      <c r="R91"/>
      <c r="S91"/>
      <c r="T91"/>
      <c r="U91">
        <v>97</v>
      </c>
      <c r="V91" s="16">
        <f>V90+1</f>
        <v>90</v>
      </c>
      <c r="W91" s="16" t="s">
        <v>67</v>
      </c>
      <c r="X91" s="16" t="s">
        <v>67</v>
      </c>
      <c r="Y91" s="19" t="s">
        <v>67</v>
      </c>
      <c r="Z91" s="18" t="s">
        <v>293</v>
      </c>
      <c r="AA91" s="16" t="s">
        <v>293</v>
      </c>
      <c r="AB91" s="20" t="s">
        <v>293</v>
      </c>
      <c r="AC91" s="19" t="s">
        <v>67</v>
      </c>
      <c r="AD91" s="20" t="s">
        <v>293</v>
      </c>
      <c r="AE91" s="20" t="s">
        <v>293</v>
      </c>
      <c r="AF91" s="19" t="s">
        <v>677</v>
      </c>
      <c r="AG91"/>
      <c r="AH91"/>
      <c r="AI91"/>
      <c r="AJ91" s="16" t="s">
        <v>216</v>
      </c>
      <c r="AK91"/>
      <c r="AL91" s="16">
        <v>4913</v>
      </c>
      <c r="AM91" s="16" t="s">
        <v>5</v>
      </c>
      <c r="AN91"/>
      <c r="AO91" s="19" t="s">
        <v>897</v>
      </c>
      <c r="AP91" s="19" t="s">
        <v>825</v>
      </c>
      <c r="AQ91" s="19" t="s">
        <v>826</v>
      </c>
      <c r="AR91" s="19" t="s">
        <v>216</v>
      </c>
      <c r="AS91" s="21" t="s">
        <v>1297</v>
      </c>
      <c r="AT91" s="21" t="s">
        <v>1297</v>
      </c>
      <c r="AU91" s="19" t="s">
        <v>1298</v>
      </c>
      <c r="AV91" s="19" t="s">
        <v>1299</v>
      </c>
      <c r="AW91" s="19">
        <f>LEN(SUBSTITUTE(AV91, ", "," "))</f>
        <v>60</v>
      </c>
      <c r="AX91" s="21" t="s">
        <v>1249</v>
      </c>
      <c r="AY91" s="21" t="s">
        <v>902</v>
      </c>
      <c r="AZ91" s="21" t="s">
        <v>1237</v>
      </c>
      <c r="BA91" s="21" t="s">
        <v>1293</v>
      </c>
      <c r="BB91" s="19"/>
      <c r="BC91" s="21" t="s">
        <v>1135</v>
      </c>
      <c r="BD91" s="19"/>
      <c r="BE91" s="19"/>
      <c r="BF91" s="19"/>
      <c r="BG91" s="21" t="s">
        <v>835</v>
      </c>
      <c r="BH91" s="21" t="s">
        <v>1251</v>
      </c>
      <c r="BI91" s="21" t="s">
        <v>1252</v>
      </c>
      <c r="BJ91" s="19"/>
      <c r="BK91" s="19"/>
      <c r="BL91" s="21" t="s">
        <v>751</v>
      </c>
      <c r="BM91" s="21" t="s">
        <v>838</v>
      </c>
      <c r="BN91" s="21" t="s">
        <v>753</v>
      </c>
      <c r="BO91" s="19"/>
      <c r="BP91" s="19"/>
      <c r="BQ91" s="19" t="s">
        <v>922</v>
      </c>
      <c r="BR91" s="19"/>
      <c r="BS91" s="19"/>
      <c r="BT91" s="19"/>
      <c r="BU91" s="19"/>
      <c r="BV91" s="19" t="s">
        <v>1239</v>
      </c>
      <c r="BW91" s="19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1633</v>
      </c>
    </row>
    <row r="92" spans="1:110" ht="12" customHeight="1" x14ac:dyDescent="0.25">
      <c r="A92" s="15" t="s">
        <v>422</v>
      </c>
      <c r="B92" s="16" t="s">
        <v>40</v>
      </c>
      <c r="C92" s="16" t="s">
        <v>494</v>
      </c>
      <c r="D92" t="s">
        <v>198</v>
      </c>
      <c r="E92" s="19" t="s">
        <v>584</v>
      </c>
      <c r="F92" t="s">
        <v>198</v>
      </c>
      <c r="G92" s="19" t="s">
        <v>585</v>
      </c>
      <c r="H92" s="17" t="s">
        <v>84</v>
      </c>
      <c r="I92"/>
      <c r="J92"/>
      <c r="K92"/>
      <c r="L92"/>
      <c r="M92"/>
      <c r="N92"/>
      <c r="O92"/>
      <c r="P92"/>
      <c r="Q92"/>
      <c r="R92"/>
      <c r="S92"/>
      <c r="T92"/>
      <c r="U92">
        <v>98</v>
      </c>
      <c r="V92" s="16">
        <f>V91+1</f>
        <v>91</v>
      </c>
      <c r="W92" s="16" t="s">
        <v>67</v>
      </c>
      <c r="X92" s="16" t="s">
        <v>67</v>
      </c>
      <c r="Y92" s="19" t="s">
        <v>67</v>
      </c>
      <c r="Z92" s="18" t="s">
        <v>553</v>
      </c>
      <c r="AA92" s="16" t="s">
        <v>553</v>
      </c>
      <c r="AB92" s="20" t="s">
        <v>553</v>
      </c>
      <c r="AC92" s="19" t="s">
        <v>67</v>
      </c>
      <c r="AD92" s="20" t="s">
        <v>553</v>
      </c>
      <c r="AE92" s="20" t="s">
        <v>553</v>
      </c>
      <c r="AF92" s="19" t="s">
        <v>678</v>
      </c>
      <c r="AG92"/>
      <c r="AH92"/>
      <c r="AI92"/>
      <c r="AJ92" s="16" t="s">
        <v>56</v>
      </c>
      <c r="AK92"/>
      <c r="AL92" s="16">
        <v>4913</v>
      </c>
      <c r="AM92" s="16" t="s">
        <v>20</v>
      </c>
      <c r="AN92"/>
      <c r="AO92" s="19" t="s">
        <v>897</v>
      </c>
      <c r="AP92" s="19" t="s">
        <v>825</v>
      </c>
      <c r="AQ92" s="19" t="s">
        <v>826</v>
      </c>
      <c r="AR92" s="19" t="s">
        <v>56</v>
      </c>
      <c r="AS92" s="21" t="s">
        <v>1300</v>
      </c>
      <c r="AT92" s="21" t="s">
        <v>1300</v>
      </c>
      <c r="AU92" s="19" t="s">
        <v>1301</v>
      </c>
      <c r="AV92" s="19" t="s">
        <v>1302</v>
      </c>
      <c r="AW92" s="19">
        <f>LEN(SUBSTITUTE(AV92, ", "," "))</f>
        <v>60</v>
      </c>
      <c r="AX92" s="21" t="s">
        <v>1249</v>
      </c>
      <c r="AY92" s="21" t="s">
        <v>902</v>
      </c>
      <c r="AZ92" s="21" t="s">
        <v>1237</v>
      </c>
      <c r="BA92" s="21" t="s">
        <v>1293</v>
      </c>
      <c r="BB92" s="19"/>
      <c r="BC92" s="21" t="s">
        <v>1139</v>
      </c>
      <c r="BD92" s="19"/>
      <c r="BE92" s="19"/>
      <c r="BF92" s="19"/>
      <c r="BG92" s="21" t="s">
        <v>835</v>
      </c>
      <c r="BH92" s="21" t="s">
        <v>1251</v>
      </c>
      <c r="BI92" s="21" t="s">
        <v>1252</v>
      </c>
      <c r="BJ92" s="19"/>
      <c r="BK92" s="19"/>
      <c r="BL92" s="21" t="s">
        <v>751</v>
      </c>
      <c r="BM92" s="21" t="s">
        <v>838</v>
      </c>
      <c r="BN92" s="21" t="s">
        <v>753</v>
      </c>
      <c r="BO92" s="19"/>
      <c r="BP92" s="19"/>
      <c r="BQ92" s="19" t="s">
        <v>922</v>
      </c>
      <c r="BR92" s="19"/>
      <c r="BS92" s="19"/>
      <c r="BT92" s="19"/>
      <c r="BU92" s="19"/>
      <c r="BV92" s="19" t="s">
        <v>1239</v>
      </c>
      <c r="BW92" s="19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1633</v>
      </c>
    </row>
    <row r="93" spans="1:110" ht="12" customHeight="1" x14ac:dyDescent="0.25">
      <c r="A93" s="15" t="s">
        <v>422</v>
      </c>
      <c r="B93" s="16" t="s">
        <v>40</v>
      </c>
      <c r="C93" s="16" t="s">
        <v>494</v>
      </c>
      <c r="D93" t="s">
        <v>198</v>
      </c>
      <c r="E93" s="19" t="s">
        <v>583</v>
      </c>
      <c r="F93" t="s">
        <v>198</v>
      </c>
      <c r="G93" s="19" t="s">
        <v>585</v>
      </c>
      <c r="H93" s="17" t="s">
        <v>84</v>
      </c>
      <c r="I93"/>
      <c r="J93"/>
      <c r="K93"/>
      <c r="L93"/>
      <c r="M93"/>
      <c r="N93"/>
      <c r="O93"/>
      <c r="P93"/>
      <c r="Q93"/>
      <c r="R93"/>
      <c r="S93"/>
      <c r="T93"/>
      <c r="U93">
        <v>99</v>
      </c>
      <c r="V93" s="16">
        <f>V92+1</f>
        <v>92</v>
      </c>
      <c r="W93" s="16" t="s">
        <v>67</v>
      </c>
      <c r="X93" s="16" t="s">
        <v>67</v>
      </c>
      <c r="Y93" s="19" t="s">
        <v>67</v>
      </c>
      <c r="Z93" s="18" t="s">
        <v>497</v>
      </c>
      <c r="AA93" s="16" t="s">
        <v>497</v>
      </c>
      <c r="AB93" s="20" t="s">
        <v>497</v>
      </c>
      <c r="AC93" s="19" t="s">
        <v>67</v>
      </c>
      <c r="AD93" s="20" t="s">
        <v>497</v>
      </c>
      <c r="AE93" s="20" t="s">
        <v>497</v>
      </c>
      <c r="AF93" s="19" t="s">
        <v>679</v>
      </c>
      <c r="AG93"/>
      <c r="AH93"/>
      <c r="AI93"/>
      <c r="AJ93" s="16" t="s">
        <v>214</v>
      </c>
      <c r="AK93"/>
      <c r="AL93" s="16">
        <v>4913</v>
      </c>
      <c r="AM93" s="16" t="s">
        <v>102</v>
      </c>
      <c r="AN93"/>
      <c r="AO93" s="19" t="s">
        <v>897</v>
      </c>
      <c r="AP93" s="19" t="s">
        <v>825</v>
      </c>
      <c r="AQ93" s="19" t="s">
        <v>826</v>
      </c>
      <c r="AR93" s="19" t="s">
        <v>1303</v>
      </c>
      <c r="AS93" s="21" t="s">
        <v>1304</v>
      </c>
      <c r="AT93" s="21" t="s">
        <v>1304</v>
      </c>
      <c r="AU93" s="19" t="s">
        <v>1305</v>
      </c>
      <c r="AV93" s="19" t="s">
        <v>1306</v>
      </c>
      <c r="AW93" s="19">
        <f>LEN(SUBSTITUTE(AV93, ", "," "))</f>
        <v>59</v>
      </c>
      <c r="AX93" s="21" t="s">
        <v>1249</v>
      </c>
      <c r="AY93" s="21" t="s">
        <v>902</v>
      </c>
      <c r="AZ93" s="21" t="s">
        <v>1237</v>
      </c>
      <c r="BA93" s="22" t="s">
        <v>1307</v>
      </c>
      <c r="BB93" s="19"/>
      <c r="BC93" s="21" t="s">
        <v>1145</v>
      </c>
      <c r="BD93" s="19"/>
      <c r="BE93" s="19"/>
      <c r="BF93" s="19"/>
      <c r="BG93" s="21" t="s">
        <v>835</v>
      </c>
      <c r="BH93" s="21" t="s">
        <v>1251</v>
      </c>
      <c r="BI93" s="21" t="s">
        <v>1252</v>
      </c>
      <c r="BJ93" s="19"/>
      <c r="BK93" s="19"/>
      <c r="BL93" s="21" t="s">
        <v>751</v>
      </c>
      <c r="BM93" s="21" t="s">
        <v>838</v>
      </c>
      <c r="BN93" s="21" t="s">
        <v>753</v>
      </c>
      <c r="BO93" s="19"/>
      <c r="BP93" s="19"/>
      <c r="BQ93" s="19" t="s">
        <v>1308</v>
      </c>
      <c r="BR93" s="19"/>
      <c r="BS93" s="19"/>
      <c r="BT93" s="19"/>
      <c r="BU93" s="19"/>
      <c r="BV93" s="19" t="s">
        <v>1239</v>
      </c>
      <c r="BW93" s="19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1633</v>
      </c>
    </row>
    <row r="94" spans="1:110" ht="12" customHeight="1" x14ac:dyDescent="0.25">
      <c r="A94" s="15" t="s">
        <v>422</v>
      </c>
      <c r="B94" s="16" t="s">
        <v>40</v>
      </c>
      <c r="C94" s="16" t="s">
        <v>494</v>
      </c>
      <c r="D94" t="s">
        <v>198</v>
      </c>
      <c r="E94" s="19" t="s">
        <v>583</v>
      </c>
      <c r="F94" t="s">
        <v>198</v>
      </c>
      <c r="G94" s="19" t="s">
        <v>585</v>
      </c>
      <c r="H94" s="17" t="s">
        <v>84</v>
      </c>
      <c r="I94"/>
      <c r="J94"/>
      <c r="K94"/>
      <c r="L94"/>
      <c r="M94"/>
      <c r="N94"/>
      <c r="O94"/>
      <c r="P94"/>
      <c r="Q94"/>
      <c r="R94"/>
      <c r="S94"/>
      <c r="T94"/>
      <c r="U94">
        <v>100</v>
      </c>
      <c r="V94" s="16">
        <f>V93+1</f>
        <v>93</v>
      </c>
      <c r="W94" s="16" t="s">
        <v>67</v>
      </c>
      <c r="X94" s="16" t="s">
        <v>67</v>
      </c>
      <c r="Y94" s="19" t="s">
        <v>67</v>
      </c>
      <c r="Z94" s="18" t="s">
        <v>543</v>
      </c>
      <c r="AA94" s="16" t="s">
        <v>543</v>
      </c>
      <c r="AB94" s="20" t="s">
        <v>543</v>
      </c>
      <c r="AC94" s="19" t="s">
        <v>67</v>
      </c>
      <c r="AD94" s="20" t="s">
        <v>543</v>
      </c>
      <c r="AE94" s="20" t="s">
        <v>543</v>
      </c>
      <c r="AF94" s="19" t="s">
        <v>680</v>
      </c>
      <c r="AG94"/>
      <c r="AH94"/>
      <c r="AI94"/>
      <c r="AJ94" s="16" t="s">
        <v>105</v>
      </c>
      <c r="AK94"/>
      <c r="AL94" s="16">
        <v>4913</v>
      </c>
      <c r="AM94" s="16" t="s">
        <v>218</v>
      </c>
      <c r="AN94"/>
      <c r="AO94" s="19" t="s">
        <v>897</v>
      </c>
      <c r="AP94" s="19" t="s">
        <v>825</v>
      </c>
      <c r="AQ94" s="19" t="s">
        <v>826</v>
      </c>
      <c r="AR94" s="19" t="s">
        <v>1309</v>
      </c>
      <c r="AS94" s="21" t="s">
        <v>1310</v>
      </c>
      <c r="AT94" s="21" t="s">
        <v>1310</v>
      </c>
      <c r="AU94" s="19" t="s">
        <v>1311</v>
      </c>
      <c r="AV94" s="19" t="s">
        <v>1312</v>
      </c>
      <c r="AW94" s="19">
        <f>LEN(SUBSTITUTE(AV94, ", "," "))</f>
        <v>59</v>
      </c>
      <c r="AX94" s="21" t="s">
        <v>1249</v>
      </c>
      <c r="AY94" s="21" t="s">
        <v>902</v>
      </c>
      <c r="AZ94" s="21" t="s">
        <v>1237</v>
      </c>
      <c r="BA94" s="22" t="s">
        <v>1307</v>
      </c>
      <c r="BB94" s="19"/>
      <c r="BC94" s="21" t="s">
        <v>1130</v>
      </c>
      <c r="BD94" s="19"/>
      <c r="BE94" s="19"/>
      <c r="BF94" s="19"/>
      <c r="BG94" s="21" t="s">
        <v>835</v>
      </c>
      <c r="BH94" s="21" t="s">
        <v>1251</v>
      </c>
      <c r="BI94" s="21" t="s">
        <v>1252</v>
      </c>
      <c r="BJ94" s="19"/>
      <c r="BK94" s="19"/>
      <c r="BL94" s="21" t="s">
        <v>751</v>
      </c>
      <c r="BM94" s="21" t="s">
        <v>838</v>
      </c>
      <c r="BN94" s="21" t="s">
        <v>753</v>
      </c>
      <c r="BO94" s="19"/>
      <c r="BP94" s="19"/>
      <c r="BQ94" s="19" t="s">
        <v>1313</v>
      </c>
      <c r="BR94" s="19"/>
      <c r="BS94" s="19"/>
      <c r="BT94" s="19"/>
      <c r="BU94" s="19"/>
      <c r="BV94" s="19" t="s">
        <v>1239</v>
      </c>
      <c r="BW94" s="19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1633</v>
      </c>
    </row>
    <row r="95" spans="1:110" ht="12" customHeight="1" x14ac:dyDescent="0.25">
      <c r="A95" s="15" t="s">
        <v>422</v>
      </c>
      <c r="B95" s="16" t="s">
        <v>40</v>
      </c>
      <c r="C95" s="16" t="s">
        <v>494</v>
      </c>
      <c r="D95" t="s">
        <v>198</v>
      </c>
      <c r="E95" s="19" t="s">
        <v>583</v>
      </c>
      <c r="F95" t="s">
        <v>198</v>
      </c>
      <c r="G95" s="19" t="s">
        <v>585</v>
      </c>
      <c r="H95" s="17" t="s">
        <v>84</v>
      </c>
      <c r="I95"/>
      <c r="J95"/>
      <c r="K95"/>
      <c r="L95"/>
      <c r="M95"/>
      <c r="N95"/>
      <c r="O95"/>
      <c r="P95"/>
      <c r="Q95"/>
      <c r="R95"/>
      <c r="S95"/>
      <c r="T95"/>
      <c r="U95">
        <v>101</v>
      </c>
      <c r="V95" s="16">
        <f>V94+1</f>
        <v>94</v>
      </c>
      <c r="W95" s="16" t="s">
        <v>67</v>
      </c>
      <c r="X95" s="16" t="s">
        <v>67</v>
      </c>
      <c r="Y95" s="19" t="s">
        <v>67</v>
      </c>
      <c r="Z95" s="18" t="s">
        <v>211</v>
      </c>
      <c r="AA95" s="16" t="s">
        <v>211</v>
      </c>
      <c r="AB95" s="20" t="s">
        <v>211</v>
      </c>
      <c r="AC95" s="19" t="s">
        <v>67</v>
      </c>
      <c r="AD95" s="20" t="s">
        <v>211</v>
      </c>
      <c r="AE95" s="20" t="s">
        <v>211</v>
      </c>
      <c r="AF95" s="19" t="s">
        <v>681</v>
      </c>
      <c r="AG95"/>
      <c r="AH95"/>
      <c r="AI95"/>
      <c r="AJ95" s="16" t="s">
        <v>569</v>
      </c>
      <c r="AK95"/>
      <c r="AL95" s="16">
        <v>4913</v>
      </c>
      <c r="AM95" s="16" t="s">
        <v>516</v>
      </c>
      <c r="AN95"/>
      <c r="AO95" s="19" t="s">
        <v>897</v>
      </c>
      <c r="AP95" s="19" t="s">
        <v>825</v>
      </c>
      <c r="AQ95" s="19" t="s">
        <v>826</v>
      </c>
      <c r="AR95" s="19" t="s">
        <v>1314</v>
      </c>
      <c r="AS95" s="21" t="s">
        <v>1315</v>
      </c>
      <c r="AT95" s="21" t="s">
        <v>1315</v>
      </c>
      <c r="AU95" s="19" t="s">
        <v>1316</v>
      </c>
      <c r="AV95" s="19" t="s">
        <v>1317</v>
      </c>
      <c r="AW95" s="19">
        <f>LEN(SUBSTITUTE(AV95, ", "," "))</f>
        <v>59</v>
      </c>
      <c r="AX95" s="21" t="s">
        <v>1249</v>
      </c>
      <c r="AY95" s="21" t="s">
        <v>902</v>
      </c>
      <c r="AZ95" s="21" t="s">
        <v>1237</v>
      </c>
      <c r="BA95" s="22" t="s">
        <v>1307</v>
      </c>
      <c r="BB95" s="19"/>
      <c r="BC95" s="21" t="s">
        <v>1135</v>
      </c>
      <c r="BD95" s="19"/>
      <c r="BE95" s="19"/>
      <c r="BF95" s="19"/>
      <c r="BG95" s="21" t="s">
        <v>835</v>
      </c>
      <c r="BH95" s="21" t="s">
        <v>1251</v>
      </c>
      <c r="BI95" s="21" t="s">
        <v>1252</v>
      </c>
      <c r="BJ95" s="19"/>
      <c r="BK95" s="19"/>
      <c r="BL95" s="21" t="s">
        <v>751</v>
      </c>
      <c r="BM95" s="21" t="s">
        <v>838</v>
      </c>
      <c r="BN95" s="21" t="s">
        <v>753</v>
      </c>
      <c r="BO95" s="19"/>
      <c r="BP95" s="19"/>
      <c r="BQ95" s="19" t="s">
        <v>1318</v>
      </c>
      <c r="BR95" s="19"/>
      <c r="BS95" s="19"/>
      <c r="BT95" s="19"/>
      <c r="BU95" s="19"/>
      <c r="BV95" s="19" t="s">
        <v>1239</v>
      </c>
      <c r="BW95" s="19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1633</v>
      </c>
    </row>
    <row r="96" spans="1:110" ht="12" customHeight="1" x14ac:dyDescent="0.25">
      <c r="A96" s="15" t="s">
        <v>422</v>
      </c>
      <c r="B96" s="16" t="s">
        <v>40</v>
      </c>
      <c r="C96" s="16" t="s">
        <v>494</v>
      </c>
      <c r="D96" t="s">
        <v>198</v>
      </c>
      <c r="E96" s="19" t="s">
        <v>584</v>
      </c>
      <c r="F96" t="s">
        <v>198</v>
      </c>
      <c r="G96" s="19" t="s">
        <v>585</v>
      </c>
      <c r="H96" s="17" t="s">
        <v>84</v>
      </c>
      <c r="I96"/>
      <c r="J96"/>
      <c r="K96"/>
      <c r="L96"/>
      <c r="M96"/>
      <c r="N96"/>
      <c r="O96"/>
      <c r="P96"/>
      <c r="Q96"/>
      <c r="R96"/>
      <c r="S96"/>
      <c r="T96"/>
      <c r="U96">
        <v>102</v>
      </c>
      <c r="V96" s="16">
        <f>V95+1</f>
        <v>95</v>
      </c>
      <c r="W96" s="16" t="s">
        <v>67</v>
      </c>
      <c r="X96" s="16" t="s">
        <v>67</v>
      </c>
      <c r="Y96" s="19" t="s">
        <v>67</v>
      </c>
      <c r="Z96" s="18" t="s">
        <v>556</v>
      </c>
      <c r="AA96" s="16" t="s">
        <v>556</v>
      </c>
      <c r="AB96" s="20" t="s">
        <v>556</v>
      </c>
      <c r="AC96" s="19" t="s">
        <v>67</v>
      </c>
      <c r="AD96" s="20" t="s">
        <v>556</v>
      </c>
      <c r="AE96" s="20" t="s">
        <v>556</v>
      </c>
      <c r="AF96" s="19" t="s">
        <v>682</v>
      </c>
      <c r="AG96"/>
      <c r="AH96"/>
      <c r="AI96"/>
      <c r="AJ96" s="16" t="s">
        <v>316</v>
      </c>
      <c r="AK96"/>
      <c r="AL96" s="16">
        <v>4913</v>
      </c>
      <c r="AM96" s="16" t="s">
        <v>166</v>
      </c>
      <c r="AN96"/>
      <c r="AO96" s="19" t="s">
        <v>897</v>
      </c>
      <c r="AP96" s="19" t="s">
        <v>825</v>
      </c>
      <c r="AQ96" s="19" t="s">
        <v>826</v>
      </c>
      <c r="AR96" s="19" t="s">
        <v>316</v>
      </c>
      <c r="AS96" s="21" t="s">
        <v>1319</v>
      </c>
      <c r="AT96" s="21" t="s">
        <v>1319</v>
      </c>
      <c r="AU96" s="19" t="s">
        <v>1320</v>
      </c>
      <c r="AV96" s="19" t="s">
        <v>1321</v>
      </c>
      <c r="AW96" s="19">
        <f>LEN(SUBSTITUTE(AV96, ", "," "))</f>
        <v>59</v>
      </c>
      <c r="AX96" s="21" t="s">
        <v>1249</v>
      </c>
      <c r="AY96" s="21" t="s">
        <v>902</v>
      </c>
      <c r="AZ96" s="21" t="s">
        <v>1237</v>
      </c>
      <c r="BA96" s="22" t="s">
        <v>1307</v>
      </c>
      <c r="BB96" s="19"/>
      <c r="BC96" s="21" t="s">
        <v>1139</v>
      </c>
      <c r="BD96" s="19"/>
      <c r="BE96" s="19"/>
      <c r="BF96" s="19"/>
      <c r="BG96" s="21" t="s">
        <v>835</v>
      </c>
      <c r="BH96" s="21" t="s">
        <v>1251</v>
      </c>
      <c r="BI96" s="21" t="s">
        <v>1252</v>
      </c>
      <c r="BJ96" s="19"/>
      <c r="BK96" s="19"/>
      <c r="BL96" s="21" t="s">
        <v>751</v>
      </c>
      <c r="BM96" s="21" t="s">
        <v>838</v>
      </c>
      <c r="BN96" s="21" t="s">
        <v>753</v>
      </c>
      <c r="BO96" s="19"/>
      <c r="BP96" s="19"/>
      <c r="BQ96" s="19" t="s">
        <v>922</v>
      </c>
      <c r="BR96" s="19"/>
      <c r="BS96" s="19"/>
      <c r="BT96" s="19"/>
      <c r="BU96" s="19"/>
      <c r="BV96" s="19" t="s">
        <v>1239</v>
      </c>
      <c r="BW96" s="19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1633</v>
      </c>
    </row>
    <row r="97" spans="1:110" ht="12" customHeight="1" x14ac:dyDescent="0.25">
      <c r="A97" s="15" t="s">
        <v>422</v>
      </c>
      <c r="B97" s="16" t="s">
        <v>40</v>
      </c>
      <c r="C97" s="16" t="s">
        <v>494</v>
      </c>
      <c r="D97" t="s">
        <v>198</v>
      </c>
      <c r="E97" s="19" t="s">
        <v>584</v>
      </c>
      <c r="F97" t="s">
        <v>198</v>
      </c>
      <c r="G97" s="19" t="s">
        <v>585</v>
      </c>
      <c r="H97" s="17" t="s">
        <v>84</v>
      </c>
      <c r="I97"/>
      <c r="J97"/>
      <c r="K97"/>
      <c r="L97"/>
      <c r="M97"/>
      <c r="N97"/>
      <c r="O97"/>
      <c r="P97"/>
      <c r="Q97"/>
      <c r="R97"/>
      <c r="S97"/>
      <c r="T97"/>
      <c r="U97">
        <v>103</v>
      </c>
      <c r="V97" s="16">
        <f>V96+1</f>
        <v>96</v>
      </c>
      <c r="W97" s="16" t="s">
        <v>67</v>
      </c>
      <c r="X97" s="16" t="s">
        <v>67</v>
      </c>
      <c r="Y97" s="19" t="s">
        <v>67</v>
      </c>
      <c r="Z97" s="18" t="s">
        <v>317</v>
      </c>
      <c r="AA97" s="16" t="s">
        <v>317</v>
      </c>
      <c r="AB97" s="20" t="s">
        <v>317</v>
      </c>
      <c r="AC97" s="19" t="s">
        <v>67</v>
      </c>
      <c r="AD97" s="20" t="s">
        <v>317</v>
      </c>
      <c r="AE97" s="20" t="s">
        <v>317</v>
      </c>
      <c r="AF97" s="19" t="s">
        <v>683</v>
      </c>
      <c r="AG97"/>
      <c r="AH97"/>
      <c r="AI97"/>
      <c r="AJ97" s="16" t="s">
        <v>300</v>
      </c>
      <c r="AK97"/>
      <c r="AL97" s="16">
        <v>4913</v>
      </c>
      <c r="AM97" s="16" t="s">
        <v>305</v>
      </c>
      <c r="AN97"/>
      <c r="AO97" s="19" t="s">
        <v>897</v>
      </c>
      <c r="AP97" s="19" t="s">
        <v>825</v>
      </c>
      <c r="AQ97" s="19" t="s">
        <v>826</v>
      </c>
      <c r="AR97" s="19" t="s">
        <v>300</v>
      </c>
      <c r="AS97" s="21" t="s">
        <v>1322</v>
      </c>
      <c r="AT97" s="21" t="s">
        <v>1322</v>
      </c>
      <c r="AU97" s="19" t="s">
        <v>1323</v>
      </c>
      <c r="AV97" s="19" t="s">
        <v>1324</v>
      </c>
      <c r="AW97" s="19">
        <f>LEN(SUBSTITUTE(AV97, ", "," "))</f>
        <v>60</v>
      </c>
      <c r="AX97" s="21" t="s">
        <v>1249</v>
      </c>
      <c r="AY97" s="21" t="s">
        <v>902</v>
      </c>
      <c r="AZ97" s="21" t="s">
        <v>1237</v>
      </c>
      <c r="BA97" s="22" t="s">
        <v>1325</v>
      </c>
      <c r="BB97" s="19"/>
      <c r="BC97" s="21" t="s">
        <v>1145</v>
      </c>
      <c r="BD97" s="19"/>
      <c r="BE97" s="19"/>
      <c r="BF97" s="19"/>
      <c r="BG97" s="21" t="s">
        <v>835</v>
      </c>
      <c r="BH97" s="21" t="s">
        <v>1251</v>
      </c>
      <c r="BI97" s="21" t="s">
        <v>1252</v>
      </c>
      <c r="BJ97" s="19"/>
      <c r="BK97" s="19"/>
      <c r="BL97" s="21" t="s">
        <v>751</v>
      </c>
      <c r="BM97" s="21" t="s">
        <v>838</v>
      </c>
      <c r="BN97" s="21" t="s">
        <v>753</v>
      </c>
      <c r="BO97" s="19"/>
      <c r="BP97" s="19"/>
      <c r="BQ97" s="19" t="s">
        <v>922</v>
      </c>
      <c r="BR97" s="19"/>
      <c r="BS97" s="19"/>
      <c r="BT97" s="19"/>
      <c r="BU97" s="19"/>
      <c r="BV97" s="19" t="s">
        <v>1239</v>
      </c>
      <c r="BW97" s="19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1633</v>
      </c>
    </row>
    <row r="98" spans="1:110" ht="12" customHeight="1" x14ac:dyDescent="0.25">
      <c r="A98" s="15" t="s">
        <v>422</v>
      </c>
      <c r="B98" s="16" t="s">
        <v>40</v>
      </c>
      <c r="C98" s="16" t="s">
        <v>494</v>
      </c>
      <c r="D98" t="s">
        <v>198</v>
      </c>
      <c r="E98" s="19" t="s">
        <v>584</v>
      </c>
      <c r="F98" t="s">
        <v>198</v>
      </c>
      <c r="G98" s="19" t="s">
        <v>585</v>
      </c>
      <c r="H98" s="17" t="s">
        <v>84</v>
      </c>
      <c r="I98"/>
      <c r="J98"/>
      <c r="K98"/>
      <c r="L98"/>
      <c r="M98"/>
      <c r="N98"/>
      <c r="O98"/>
      <c r="P98"/>
      <c r="Q98"/>
      <c r="R98"/>
      <c r="S98"/>
      <c r="T98"/>
      <c r="U98">
        <v>104</v>
      </c>
      <c r="V98" s="16">
        <f>V97+1</f>
        <v>97</v>
      </c>
      <c r="W98" s="16" t="s">
        <v>67</v>
      </c>
      <c r="X98" s="16" t="s">
        <v>67</v>
      </c>
      <c r="Y98" s="19" t="s">
        <v>67</v>
      </c>
      <c r="Z98" s="18" t="s">
        <v>472</v>
      </c>
      <c r="AA98" s="16" t="s">
        <v>472</v>
      </c>
      <c r="AB98" s="20" t="s">
        <v>472</v>
      </c>
      <c r="AC98" s="19" t="s">
        <v>67</v>
      </c>
      <c r="AD98" s="20" t="s">
        <v>472</v>
      </c>
      <c r="AE98" s="20" t="s">
        <v>472</v>
      </c>
      <c r="AF98" s="19" t="s">
        <v>684</v>
      </c>
      <c r="AG98"/>
      <c r="AH98"/>
      <c r="AI98"/>
      <c r="AJ98" s="16" t="s">
        <v>424</v>
      </c>
      <c r="AK98"/>
      <c r="AL98" s="16">
        <v>4913</v>
      </c>
      <c r="AM98" s="16" t="s">
        <v>242</v>
      </c>
      <c r="AN98"/>
      <c r="AO98" s="19" t="s">
        <v>897</v>
      </c>
      <c r="AP98" s="19" t="s">
        <v>825</v>
      </c>
      <c r="AQ98" s="19" t="s">
        <v>826</v>
      </c>
      <c r="AR98" s="19" t="s">
        <v>424</v>
      </c>
      <c r="AS98" s="21" t="s">
        <v>1326</v>
      </c>
      <c r="AT98" s="21" t="s">
        <v>1326</v>
      </c>
      <c r="AU98" s="19" t="s">
        <v>1327</v>
      </c>
      <c r="AV98" s="19" t="s">
        <v>1328</v>
      </c>
      <c r="AW98" s="19">
        <f>LEN(SUBSTITUTE(AV98, ", "," "))</f>
        <v>60</v>
      </c>
      <c r="AX98" s="21" t="s">
        <v>1249</v>
      </c>
      <c r="AY98" s="21" t="s">
        <v>902</v>
      </c>
      <c r="AZ98" s="21" t="s">
        <v>1237</v>
      </c>
      <c r="BA98" s="22" t="s">
        <v>1325</v>
      </c>
      <c r="BB98" s="19"/>
      <c r="BC98" s="21" t="s">
        <v>1130</v>
      </c>
      <c r="BD98" s="19"/>
      <c r="BE98" s="19"/>
      <c r="BF98" s="19"/>
      <c r="BG98" s="21" t="s">
        <v>835</v>
      </c>
      <c r="BH98" s="21" t="s">
        <v>1251</v>
      </c>
      <c r="BI98" s="21" t="s">
        <v>1252</v>
      </c>
      <c r="BJ98" s="19"/>
      <c r="BK98" s="19"/>
      <c r="BL98" s="21" t="s">
        <v>751</v>
      </c>
      <c r="BM98" s="21" t="s">
        <v>838</v>
      </c>
      <c r="BN98" s="21" t="s">
        <v>753</v>
      </c>
      <c r="BO98" s="19"/>
      <c r="BP98" s="19"/>
      <c r="BQ98" s="19" t="s">
        <v>922</v>
      </c>
      <c r="BR98" s="19"/>
      <c r="BS98" s="19"/>
      <c r="BT98" s="19"/>
      <c r="BU98" s="19"/>
      <c r="BV98" s="19" t="s">
        <v>1239</v>
      </c>
      <c r="BW98" s="19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1633</v>
      </c>
    </row>
    <row r="99" spans="1:110" ht="12" customHeight="1" x14ac:dyDescent="0.25">
      <c r="A99" s="15" t="s">
        <v>422</v>
      </c>
      <c r="B99" s="16" t="s">
        <v>40</v>
      </c>
      <c r="C99" s="16" t="s">
        <v>494</v>
      </c>
      <c r="D99" t="s">
        <v>198</v>
      </c>
      <c r="E99" s="19" t="s">
        <v>584</v>
      </c>
      <c r="F99" t="s">
        <v>198</v>
      </c>
      <c r="G99" s="19" t="s">
        <v>585</v>
      </c>
      <c r="H99" s="17" t="s">
        <v>84</v>
      </c>
      <c r="I99"/>
      <c r="J99"/>
      <c r="K99"/>
      <c r="L99"/>
      <c r="M99"/>
      <c r="N99"/>
      <c r="O99"/>
      <c r="P99"/>
      <c r="Q99"/>
      <c r="R99"/>
      <c r="S99"/>
      <c r="T99"/>
      <c r="U99">
        <v>105</v>
      </c>
      <c r="V99" s="16">
        <f>V98+1</f>
        <v>98</v>
      </c>
      <c r="W99" s="16" t="s">
        <v>67</v>
      </c>
      <c r="X99" s="16" t="s">
        <v>67</v>
      </c>
      <c r="Y99" s="19" t="s">
        <v>67</v>
      </c>
      <c r="Z99" s="18" t="s">
        <v>131</v>
      </c>
      <c r="AA99" s="16" t="s">
        <v>131</v>
      </c>
      <c r="AB99" s="20" t="s">
        <v>131</v>
      </c>
      <c r="AC99" s="19" t="s">
        <v>67</v>
      </c>
      <c r="AD99" s="20" t="s">
        <v>131</v>
      </c>
      <c r="AE99" s="20" t="s">
        <v>131</v>
      </c>
      <c r="AF99" s="19" t="s">
        <v>685</v>
      </c>
      <c r="AG99"/>
      <c r="AH99"/>
      <c r="AI99"/>
      <c r="AJ99" s="16" t="s">
        <v>533</v>
      </c>
      <c r="AK99"/>
      <c r="AL99" s="16">
        <v>4913</v>
      </c>
      <c r="AM99" s="16" t="s">
        <v>68</v>
      </c>
      <c r="AN99"/>
      <c r="AO99" s="19" t="s">
        <v>897</v>
      </c>
      <c r="AP99" s="19" t="s">
        <v>825</v>
      </c>
      <c r="AQ99" s="19" t="s">
        <v>826</v>
      </c>
      <c r="AR99" s="19" t="s">
        <v>533</v>
      </c>
      <c r="AS99" s="21" t="s">
        <v>1329</v>
      </c>
      <c r="AT99" s="21" t="s">
        <v>1329</v>
      </c>
      <c r="AU99" s="19" t="s">
        <v>1330</v>
      </c>
      <c r="AV99" s="19" t="s">
        <v>1331</v>
      </c>
      <c r="AW99" s="19">
        <f>LEN(SUBSTITUTE(AV99, ", "," "))</f>
        <v>60</v>
      </c>
      <c r="AX99" s="21" t="s">
        <v>1249</v>
      </c>
      <c r="AY99" s="21" t="s">
        <v>902</v>
      </c>
      <c r="AZ99" s="21" t="s">
        <v>1237</v>
      </c>
      <c r="BA99" s="22" t="s">
        <v>1325</v>
      </c>
      <c r="BB99" s="19"/>
      <c r="BC99" s="21" t="s">
        <v>1135</v>
      </c>
      <c r="BD99" s="19"/>
      <c r="BE99" s="19"/>
      <c r="BF99" s="19"/>
      <c r="BG99" s="21" t="s">
        <v>835</v>
      </c>
      <c r="BH99" s="21" t="s">
        <v>1251</v>
      </c>
      <c r="BI99" s="21" t="s">
        <v>1252</v>
      </c>
      <c r="BJ99" s="19"/>
      <c r="BK99" s="19"/>
      <c r="BL99" s="21" t="s">
        <v>751</v>
      </c>
      <c r="BM99" s="21" t="s">
        <v>838</v>
      </c>
      <c r="BN99" s="21" t="s">
        <v>753</v>
      </c>
      <c r="BO99" s="19"/>
      <c r="BP99" s="19"/>
      <c r="BQ99" s="19" t="s">
        <v>922</v>
      </c>
      <c r="BR99" s="19"/>
      <c r="BS99" s="19"/>
      <c r="BT99" s="19"/>
      <c r="BU99" s="19"/>
      <c r="BV99" s="19" t="s">
        <v>1239</v>
      </c>
      <c r="BW99" s="1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1633</v>
      </c>
    </row>
    <row r="100" spans="1:110" ht="12" customHeight="1" x14ac:dyDescent="0.25">
      <c r="A100" s="15" t="s">
        <v>422</v>
      </c>
      <c r="B100" s="16" t="s">
        <v>40</v>
      </c>
      <c r="C100" s="16" t="s">
        <v>494</v>
      </c>
      <c r="D100" t="s">
        <v>198</v>
      </c>
      <c r="E100" s="19" t="s">
        <v>584</v>
      </c>
      <c r="F100" t="s">
        <v>198</v>
      </c>
      <c r="G100" s="19" t="s">
        <v>585</v>
      </c>
      <c r="H100" s="17" t="s">
        <v>84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106</v>
      </c>
      <c r="V100" s="16">
        <f>V99+1</f>
        <v>99</v>
      </c>
      <c r="W100" s="16" t="s">
        <v>67</v>
      </c>
      <c r="X100" s="16" t="s">
        <v>67</v>
      </c>
      <c r="Y100" s="19" t="s">
        <v>67</v>
      </c>
      <c r="Z100" s="18" t="s">
        <v>369</v>
      </c>
      <c r="AA100" s="16" t="s">
        <v>369</v>
      </c>
      <c r="AB100" s="20" t="s">
        <v>369</v>
      </c>
      <c r="AC100" s="19" t="s">
        <v>67</v>
      </c>
      <c r="AD100" s="20" t="s">
        <v>369</v>
      </c>
      <c r="AE100" s="20" t="s">
        <v>369</v>
      </c>
      <c r="AF100" s="19" t="s">
        <v>686</v>
      </c>
      <c r="AG100"/>
      <c r="AH100"/>
      <c r="AI100"/>
      <c r="AJ100" s="16" t="s">
        <v>15</v>
      </c>
      <c r="AK100"/>
      <c r="AL100" s="16">
        <v>4913</v>
      </c>
      <c r="AM100" s="16" t="s">
        <v>319</v>
      </c>
      <c r="AN100"/>
      <c r="AO100" s="19" t="s">
        <v>897</v>
      </c>
      <c r="AP100" s="19" t="s">
        <v>825</v>
      </c>
      <c r="AQ100" s="19" t="s">
        <v>826</v>
      </c>
      <c r="AR100" s="19" t="s">
        <v>15</v>
      </c>
      <c r="AS100" s="21" t="s">
        <v>1332</v>
      </c>
      <c r="AT100" s="21" t="s">
        <v>1332</v>
      </c>
      <c r="AU100" s="19" t="s">
        <v>1333</v>
      </c>
      <c r="AV100" s="19" t="s">
        <v>1334</v>
      </c>
      <c r="AW100" s="19">
        <f>LEN(SUBSTITUTE(AV100, ", "," "))</f>
        <v>60</v>
      </c>
      <c r="AX100" s="21" t="s">
        <v>1249</v>
      </c>
      <c r="AY100" s="21" t="s">
        <v>902</v>
      </c>
      <c r="AZ100" s="21" t="s">
        <v>1237</v>
      </c>
      <c r="BA100" s="22" t="s">
        <v>1325</v>
      </c>
      <c r="BB100" s="19"/>
      <c r="BC100" s="21" t="s">
        <v>1139</v>
      </c>
      <c r="BD100" s="19"/>
      <c r="BE100" s="19"/>
      <c r="BF100" s="19"/>
      <c r="BG100" s="21" t="s">
        <v>835</v>
      </c>
      <c r="BH100" s="21" t="s">
        <v>1251</v>
      </c>
      <c r="BI100" s="21" t="s">
        <v>1252</v>
      </c>
      <c r="BJ100" s="19"/>
      <c r="BK100" s="19"/>
      <c r="BL100" s="21" t="s">
        <v>751</v>
      </c>
      <c r="BM100" s="21" t="s">
        <v>838</v>
      </c>
      <c r="BN100" s="21" t="s">
        <v>753</v>
      </c>
      <c r="BO100" s="19"/>
      <c r="BP100" s="19"/>
      <c r="BQ100" s="19" t="s">
        <v>922</v>
      </c>
      <c r="BR100" s="19"/>
      <c r="BS100" s="19"/>
      <c r="BT100" s="19"/>
      <c r="BU100" s="19"/>
      <c r="BV100" s="19" t="s">
        <v>1239</v>
      </c>
      <c r="BW100" s="19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1633</v>
      </c>
    </row>
    <row r="101" spans="1:110" ht="12" customHeight="1" x14ac:dyDescent="0.25">
      <c r="A101" s="15" t="s">
        <v>422</v>
      </c>
      <c r="B101" s="16" t="s">
        <v>40</v>
      </c>
      <c r="C101" s="16" t="s">
        <v>494</v>
      </c>
      <c r="D101" t="s">
        <v>198</v>
      </c>
      <c r="E101" s="19" t="s">
        <v>583</v>
      </c>
      <c r="F101" t="s">
        <v>198</v>
      </c>
      <c r="G101" s="19" t="s">
        <v>585</v>
      </c>
      <c r="H101" s="17" t="s">
        <v>84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107</v>
      </c>
      <c r="V101" s="16">
        <f>V100+1</f>
        <v>100</v>
      </c>
      <c r="W101" s="16" t="s">
        <v>67</v>
      </c>
      <c r="X101" s="16" t="s">
        <v>67</v>
      </c>
      <c r="Y101" s="19" t="s">
        <v>67</v>
      </c>
      <c r="Z101" s="18" t="s">
        <v>13</v>
      </c>
      <c r="AA101" s="16" t="s">
        <v>13</v>
      </c>
      <c r="AB101" s="20" t="s">
        <v>13</v>
      </c>
      <c r="AC101" s="19" t="s">
        <v>67</v>
      </c>
      <c r="AD101" s="20" t="s">
        <v>13</v>
      </c>
      <c r="AE101" s="20" t="s">
        <v>13</v>
      </c>
      <c r="AF101" s="19" t="s">
        <v>687</v>
      </c>
      <c r="AG101"/>
      <c r="AH101"/>
      <c r="AI101"/>
      <c r="AJ101" s="16" t="s">
        <v>155</v>
      </c>
      <c r="AK101"/>
      <c r="AL101" s="16">
        <v>4913</v>
      </c>
      <c r="AM101" s="16" t="s">
        <v>6</v>
      </c>
      <c r="AN101"/>
      <c r="AO101" s="19" t="s">
        <v>1335</v>
      </c>
      <c r="AP101" s="19" t="s">
        <v>888</v>
      </c>
      <c r="AQ101" s="19" t="s">
        <v>889</v>
      </c>
      <c r="AR101" s="19" t="s">
        <v>1336</v>
      </c>
      <c r="AS101" s="21" t="s">
        <v>1337</v>
      </c>
      <c r="AT101" s="21" t="s">
        <v>1337</v>
      </c>
      <c r="AU101" s="19" t="s">
        <v>1338</v>
      </c>
      <c r="AV101" s="19" t="s">
        <v>1339</v>
      </c>
      <c r="AW101" s="19">
        <f>LEN(SUBSTITUTE(AV101, ", "," "))</f>
        <v>55</v>
      </c>
      <c r="AX101" s="21" t="s">
        <v>1340</v>
      </c>
      <c r="AY101" s="21" t="s">
        <v>1341</v>
      </c>
      <c r="AZ101" s="21" t="s">
        <v>1342</v>
      </c>
      <c r="BA101" s="19"/>
      <c r="BB101" s="19"/>
      <c r="BC101" s="21" t="s">
        <v>1343</v>
      </c>
      <c r="BD101" s="19"/>
      <c r="BE101" s="19"/>
      <c r="BF101" s="19"/>
      <c r="BG101" s="21" t="s">
        <v>835</v>
      </c>
      <c r="BH101" s="21" t="s">
        <v>1344</v>
      </c>
      <c r="BI101" s="19"/>
      <c r="BJ101" s="19"/>
      <c r="BK101" s="19"/>
      <c r="BL101" s="21" t="s">
        <v>1345</v>
      </c>
      <c r="BM101" s="21" t="s">
        <v>838</v>
      </c>
      <c r="BN101" s="21" t="s">
        <v>753</v>
      </c>
      <c r="BO101" s="19"/>
      <c r="BP101" s="19"/>
      <c r="BQ101" s="19" t="s">
        <v>1346</v>
      </c>
      <c r="BR101" s="19"/>
      <c r="BS101" s="19"/>
      <c r="BT101" s="19"/>
      <c r="BU101" s="19"/>
      <c r="BV101" s="19"/>
      <c r="BW101" s="19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1633</v>
      </c>
    </row>
    <row r="102" spans="1:110" ht="12" customHeight="1" x14ac:dyDescent="0.25">
      <c r="A102" s="15" t="s">
        <v>422</v>
      </c>
      <c r="B102" s="16" t="s">
        <v>40</v>
      </c>
      <c r="C102" s="16" t="s">
        <v>494</v>
      </c>
      <c r="D102" t="s">
        <v>198</v>
      </c>
      <c r="E102" s="19" t="s">
        <v>583</v>
      </c>
      <c r="F102" t="s">
        <v>198</v>
      </c>
      <c r="G102" s="19" t="s">
        <v>585</v>
      </c>
      <c r="H102" s="17" t="s">
        <v>84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108</v>
      </c>
      <c r="V102" s="16">
        <f>V101+1</f>
        <v>101</v>
      </c>
      <c r="W102" s="16" t="s">
        <v>67</v>
      </c>
      <c r="X102" s="16" t="s">
        <v>67</v>
      </c>
      <c r="Y102" s="19" t="s">
        <v>67</v>
      </c>
      <c r="Z102" s="18" t="s">
        <v>363</v>
      </c>
      <c r="AA102" s="16" t="s">
        <v>363</v>
      </c>
      <c r="AB102" s="20" t="s">
        <v>363</v>
      </c>
      <c r="AC102" s="19" t="s">
        <v>67</v>
      </c>
      <c r="AD102" s="20" t="s">
        <v>363</v>
      </c>
      <c r="AE102" s="20" t="s">
        <v>363</v>
      </c>
      <c r="AF102" s="19" t="s">
        <v>688</v>
      </c>
      <c r="AG102"/>
      <c r="AH102"/>
      <c r="AI102"/>
      <c r="AJ102" s="16" t="s">
        <v>431</v>
      </c>
      <c r="AK102"/>
      <c r="AL102" s="16">
        <v>4913</v>
      </c>
      <c r="AM102" s="16" t="s">
        <v>21</v>
      </c>
      <c r="AN102"/>
      <c r="AO102" s="19" t="s">
        <v>1335</v>
      </c>
      <c r="AP102" s="19" t="s">
        <v>888</v>
      </c>
      <c r="AQ102" s="19" t="s">
        <v>889</v>
      </c>
      <c r="AR102" s="19" t="s">
        <v>1347</v>
      </c>
      <c r="AS102" s="21" t="s">
        <v>1348</v>
      </c>
      <c r="AT102" s="21" t="s">
        <v>1348</v>
      </c>
      <c r="AU102" s="19" t="s">
        <v>1349</v>
      </c>
      <c r="AV102" s="19" t="s">
        <v>1350</v>
      </c>
      <c r="AW102" s="19">
        <f>LEN(SUBSTITUTE(AV102, ", "," "))</f>
        <v>55</v>
      </c>
      <c r="AX102" s="21" t="s">
        <v>1340</v>
      </c>
      <c r="AY102" s="21" t="s">
        <v>1341</v>
      </c>
      <c r="AZ102" s="21" t="s">
        <v>1342</v>
      </c>
      <c r="BA102" s="19"/>
      <c r="BB102" s="19"/>
      <c r="BC102" s="21" t="s">
        <v>1351</v>
      </c>
      <c r="BD102" s="19"/>
      <c r="BE102" s="19"/>
      <c r="BF102" s="19"/>
      <c r="BG102" s="21" t="s">
        <v>835</v>
      </c>
      <c r="BH102" s="21" t="s">
        <v>1344</v>
      </c>
      <c r="BI102" s="19"/>
      <c r="BJ102" s="19"/>
      <c r="BK102" s="19"/>
      <c r="BL102" s="21" t="s">
        <v>1345</v>
      </c>
      <c r="BM102" s="21" t="s">
        <v>838</v>
      </c>
      <c r="BN102" s="21" t="s">
        <v>753</v>
      </c>
      <c r="BO102" s="19"/>
      <c r="BP102" s="19"/>
      <c r="BQ102" s="19" t="s">
        <v>1352</v>
      </c>
      <c r="BR102" s="19"/>
      <c r="BS102" s="19"/>
      <c r="BT102" s="19"/>
      <c r="BU102" s="19"/>
      <c r="BV102" s="19"/>
      <c r="BW102" s="19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1633</v>
      </c>
    </row>
    <row r="103" spans="1:110" ht="12" customHeight="1" x14ac:dyDescent="0.25">
      <c r="A103" s="15" t="s">
        <v>422</v>
      </c>
      <c r="B103" s="16" t="s">
        <v>40</v>
      </c>
      <c r="C103" s="16" t="s">
        <v>494</v>
      </c>
      <c r="D103" t="s">
        <v>198</v>
      </c>
      <c r="E103" s="19" t="s">
        <v>583</v>
      </c>
      <c r="F103" t="s">
        <v>198</v>
      </c>
      <c r="G103" s="19" t="s">
        <v>585</v>
      </c>
      <c r="H103" s="17" t="s">
        <v>84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109</v>
      </c>
      <c r="V103" s="16">
        <f>V102+1</f>
        <v>102</v>
      </c>
      <c r="W103" s="16" t="s">
        <v>67</v>
      </c>
      <c r="X103" s="16" t="s">
        <v>67</v>
      </c>
      <c r="Y103" s="19" t="s">
        <v>67</v>
      </c>
      <c r="Z103" s="18" t="s">
        <v>129</v>
      </c>
      <c r="AA103" s="16" t="s">
        <v>129</v>
      </c>
      <c r="AB103" s="20" t="s">
        <v>129</v>
      </c>
      <c r="AC103" s="19" t="s">
        <v>67</v>
      </c>
      <c r="AD103" s="20" t="s">
        <v>129</v>
      </c>
      <c r="AE103" s="20" t="s">
        <v>129</v>
      </c>
      <c r="AF103" s="19" t="s">
        <v>689</v>
      </c>
      <c r="AG103"/>
      <c r="AH103"/>
      <c r="AI103"/>
      <c r="AJ103" s="16" t="s">
        <v>244</v>
      </c>
      <c r="AK103"/>
      <c r="AL103" s="16">
        <v>4913</v>
      </c>
      <c r="AM103" s="16" t="s">
        <v>103</v>
      </c>
      <c r="AN103"/>
      <c r="AO103" s="19" t="s">
        <v>1335</v>
      </c>
      <c r="AP103" s="19" t="s">
        <v>888</v>
      </c>
      <c r="AQ103" s="19" t="s">
        <v>889</v>
      </c>
      <c r="AR103" s="19" t="s">
        <v>1353</v>
      </c>
      <c r="AS103" s="21" t="s">
        <v>1354</v>
      </c>
      <c r="AT103" s="21" t="s">
        <v>1354</v>
      </c>
      <c r="AU103" s="19" t="s">
        <v>1355</v>
      </c>
      <c r="AV103" s="19" t="s">
        <v>1356</v>
      </c>
      <c r="AW103" s="19">
        <f>LEN(SUBSTITUTE(AV103, ", "," "))</f>
        <v>55</v>
      </c>
      <c r="AX103" s="21" t="s">
        <v>1340</v>
      </c>
      <c r="AY103" s="21" t="s">
        <v>1341</v>
      </c>
      <c r="AZ103" s="21" t="s">
        <v>1342</v>
      </c>
      <c r="BA103" s="19"/>
      <c r="BB103" s="19"/>
      <c r="BC103" s="21" t="s">
        <v>1357</v>
      </c>
      <c r="BD103" s="19"/>
      <c r="BE103" s="19"/>
      <c r="BF103" s="19"/>
      <c r="BG103" s="21" t="s">
        <v>835</v>
      </c>
      <c r="BH103" s="21" t="s">
        <v>1344</v>
      </c>
      <c r="BI103" s="19"/>
      <c r="BJ103" s="19"/>
      <c r="BK103" s="19"/>
      <c r="BL103" s="21" t="s">
        <v>1345</v>
      </c>
      <c r="BM103" s="21" t="s">
        <v>838</v>
      </c>
      <c r="BN103" s="21" t="s">
        <v>753</v>
      </c>
      <c r="BO103" s="19"/>
      <c r="BP103" s="19"/>
      <c r="BQ103" s="19" t="s">
        <v>1358</v>
      </c>
      <c r="BR103" s="19"/>
      <c r="BS103" s="19"/>
      <c r="BT103" s="19"/>
      <c r="BU103" s="19"/>
      <c r="BV103" s="19"/>
      <c r="BW103" s="19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1633</v>
      </c>
    </row>
    <row r="104" spans="1:110" ht="12" customHeight="1" x14ac:dyDescent="0.25">
      <c r="A104" s="15" t="s">
        <v>422</v>
      </c>
      <c r="B104" s="16" t="s">
        <v>40</v>
      </c>
      <c r="C104" s="16" t="s">
        <v>494</v>
      </c>
      <c r="D104" t="s">
        <v>198</v>
      </c>
      <c r="E104" s="19" t="s">
        <v>583</v>
      </c>
      <c r="F104" t="s">
        <v>198</v>
      </c>
      <c r="G104" s="19" t="s">
        <v>585</v>
      </c>
      <c r="H104" s="17" t="s">
        <v>84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110</v>
      </c>
      <c r="V104" s="16">
        <f>V103+1</f>
        <v>103</v>
      </c>
      <c r="W104" s="16" t="s">
        <v>67</v>
      </c>
      <c r="X104" s="16" t="s">
        <v>67</v>
      </c>
      <c r="Y104" s="19" t="s">
        <v>67</v>
      </c>
      <c r="Z104" s="18" t="s">
        <v>364</v>
      </c>
      <c r="AA104" s="16" t="s">
        <v>364</v>
      </c>
      <c r="AB104" s="20" t="s">
        <v>364</v>
      </c>
      <c r="AC104" s="19" t="s">
        <v>67</v>
      </c>
      <c r="AD104" s="20" t="s">
        <v>364</v>
      </c>
      <c r="AE104" s="20" t="s">
        <v>364</v>
      </c>
      <c r="AF104" s="19" t="s">
        <v>690</v>
      </c>
      <c r="AG104"/>
      <c r="AH104"/>
      <c r="AI104"/>
      <c r="AJ104" s="16" t="s">
        <v>237</v>
      </c>
      <c r="AK104"/>
      <c r="AL104" s="16">
        <v>4913</v>
      </c>
      <c r="AM104" s="16" t="s">
        <v>420</v>
      </c>
      <c r="AN104"/>
      <c r="AO104" s="19" t="s">
        <v>1335</v>
      </c>
      <c r="AP104" s="19" t="s">
        <v>888</v>
      </c>
      <c r="AQ104" s="19" t="s">
        <v>889</v>
      </c>
      <c r="AR104" s="19" t="s">
        <v>1359</v>
      </c>
      <c r="AS104" s="21" t="s">
        <v>1360</v>
      </c>
      <c r="AT104" s="21" t="s">
        <v>1360</v>
      </c>
      <c r="AU104" s="19" t="s">
        <v>1361</v>
      </c>
      <c r="AV104" s="19" t="s">
        <v>1362</v>
      </c>
      <c r="AW104" s="19">
        <f>LEN(SUBSTITUTE(AV104, ", "," "))</f>
        <v>55</v>
      </c>
      <c r="AX104" s="21" t="s">
        <v>1340</v>
      </c>
      <c r="AY104" s="21" t="s">
        <v>1341</v>
      </c>
      <c r="AZ104" s="21" t="s">
        <v>1342</v>
      </c>
      <c r="BA104" s="19"/>
      <c r="BB104" s="19"/>
      <c r="BC104" s="21" t="s">
        <v>1363</v>
      </c>
      <c r="BD104" s="19"/>
      <c r="BE104" s="19"/>
      <c r="BF104" s="19"/>
      <c r="BG104" s="21" t="s">
        <v>835</v>
      </c>
      <c r="BH104" s="21" t="s">
        <v>1344</v>
      </c>
      <c r="BI104" s="19"/>
      <c r="BJ104" s="19"/>
      <c r="BK104" s="19"/>
      <c r="BL104" s="21" t="s">
        <v>1345</v>
      </c>
      <c r="BM104" s="21" t="s">
        <v>838</v>
      </c>
      <c r="BN104" s="21" t="s">
        <v>753</v>
      </c>
      <c r="BO104" s="19"/>
      <c r="BP104" s="19"/>
      <c r="BQ104" s="19" t="s">
        <v>1364</v>
      </c>
      <c r="BR104" s="19"/>
      <c r="BS104" s="19"/>
      <c r="BT104" s="19"/>
      <c r="BU104" s="19"/>
      <c r="BV104" s="19"/>
      <c r="BW104" s="19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1633</v>
      </c>
    </row>
    <row r="105" spans="1:110" ht="12" customHeight="1" x14ac:dyDescent="0.25">
      <c r="A105" s="15" t="s">
        <v>422</v>
      </c>
      <c r="B105" s="16" t="s">
        <v>40</v>
      </c>
      <c r="C105" s="16" t="s">
        <v>494</v>
      </c>
      <c r="D105" t="s">
        <v>198</v>
      </c>
      <c r="E105" s="19" t="s">
        <v>583</v>
      </c>
      <c r="F105" t="s">
        <v>198</v>
      </c>
      <c r="G105" s="19" t="s">
        <v>585</v>
      </c>
      <c r="H105" s="17" t="s">
        <v>84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111</v>
      </c>
      <c r="V105" s="16">
        <f>V104+1</f>
        <v>104</v>
      </c>
      <c r="W105" s="16" t="s">
        <v>67</v>
      </c>
      <c r="X105" s="16" t="s">
        <v>67</v>
      </c>
      <c r="Y105" s="19" t="s">
        <v>67</v>
      </c>
      <c r="Z105" s="18" t="s">
        <v>130</v>
      </c>
      <c r="AA105" s="16" t="s">
        <v>130</v>
      </c>
      <c r="AB105" s="20" t="s">
        <v>130</v>
      </c>
      <c r="AC105" s="19" t="s">
        <v>67</v>
      </c>
      <c r="AD105" s="20" t="s">
        <v>130</v>
      </c>
      <c r="AE105" s="20" t="s">
        <v>130</v>
      </c>
      <c r="AF105" s="19" t="s">
        <v>691</v>
      </c>
      <c r="AG105"/>
      <c r="AH105"/>
      <c r="AI105"/>
      <c r="AJ105" s="16" t="s">
        <v>266</v>
      </c>
      <c r="AK105"/>
      <c r="AL105" s="16">
        <v>4913</v>
      </c>
      <c r="AM105" s="16" t="s">
        <v>446</v>
      </c>
      <c r="AN105"/>
      <c r="AO105" s="19" t="s">
        <v>1335</v>
      </c>
      <c r="AP105" s="19" t="s">
        <v>888</v>
      </c>
      <c r="AQ105" s="19" t="s">
        <v>889</v>
      </c>
      <c r="AR105" s="19" t="s">
        <v>1365</v>
      </c>
      <c r="AS105" s="21" t="s">
        <v>1366</v>
      </c>
      <c r="AT105" s="21" t="s">
        <v>1366</v>
      </c>
      <c r="AU105" s="19" t="s">
        <v>1367</v>
      </c>
      <c r="AV105" s="19" t="s">
        <v>1368</v>
      </c>
      <c r="AW105" s="19">
        <f>LEN(SUBSTITUTE(AV105, ", "," "))</f>
        <v>55</v>
      </c>
      <c r="AX105" s="21" t="s">
        <v>1340</v>
      </c>
      <c r="AY105" s="21" t="s">
        <v>1341</v>
      </c>
      <c r="AZ105" s="21" t="s">
        <v>1342</v>
      </c>
      <c r="BA105" s="19"/>
      <c r="BB105" s="19"/>
      <c r="BC105" s="21" t="s">
        <v>1369</v>
      </c>
      <c r="BD105" s="19"/>
      <c r="BE105" s="19"/>
      <c r="BF105" s="19"/>
      <c r="BG105" s="21" t="s">
        <v>835</v>
      </c>
      <c r="BH105" s="21" t="s">
        <v>1344</v>
      </c>
      <c r="BI105" s="19"/>
      <c r="BJ105" s="19"/>
      <c r="BK105" s="19"/>
      <c r="BL105" s="21" t="s">
        <v>1345</v>
      </c>
      <c r="BM105" s="21" t="s">
        <v>838</v>
      </c>
      <c r="BN105" s="21" t="s">
        <v>753</v>
      </c>
      <c r="BO105" s="19"/>
      <c r="BP105" s="19"/>
      <c r="BQ105" s="19" t="s">
        <v>1370</v>
      </c>
      <c r="BR105" s="19"/>
      <c r="BS105" s="19"/>
      <c r="BT105" s="19"/>
      <c r="BU105" s="19"/>
      <c r="BV105" s="19"/>
      <c r="BW105" s="19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1633</v>
      </c>
    </row>
    <row r="106" spans="1:110" ht="12" customHeight="1" x14ac:dyDescent="0.25">
      <c r="A106" s="15" t="s">
        <v>422</v>
      </c>
      <c r="B106" s="16" t="s">
        <v>40</v>
      </c>
      <c r="C106" s="16" t="s">
        <v>494</v>
      </c>
      <c r="D106" t="s">
        <v>198</v>
      </c>
      <c r="E106" s="19" t="s">
        <v>583</v>
      </c>
      <c r="F106" t="s">
        <v>198</v>
      </c>
      <c r="G106" s="19" t="s">
        <v>585</v>
      </c>
      <c r="H106" s="17" t="s">
        <v>84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112</v>
      </c>
      <c r="V106" s="16">
        <f>V105+1</f>
        <v>105</v>
      </c>
      <c r="W106" s="16" t="s">
        <v>67</v>
      </c>
      <c r="X106" s="16" t="s">
        <v>67</v>
      </c>
      <c r="Y106" s="19" t="s">
        <v>67</v>
      </c>
      <c r="Z106" s="18" t="s">
        <v>368</v>
      </c>
      <c r="AA106" s="16" t="s">
        <v>368</v>
      </c>
      <c r="AB106" s="20" t="s">
        <v>368</v>
      </c>
      <c r="AC106" s="19" t="s">
        <v>67</v>
      </c>
      <c r="AD106" s="20" t="s">
        <v>368</v>
      </c>
      <c r="AE106" s="20" t="s">
        <v>368</v>
      </c>
      <c r="AF106" s="19" t="s">
        <v>692</v>
      </c>
      <c r="AG106"/>
      <c r="AH106"/>
      <c r="AI106"/>
      <c r="AJ106" s="16" t="s">
        <v>463</v>
      </c>
      <c r="AK106"/>
      <c r="AL106" s="16">
        <v>4913</v>
      </c>
      <c r="AM106" s="16" t="s">
        <v>229</v>
      </c>
      <c r="AN106"/>
      <c r="AO106" s="19" t="s">
        <v>1335</v>
      </c>
      <c r="AP106" s="19" t="s">
        <v>888</v>
      </c>
      <c r="AQ106" s="19" t="s">
        <v>889</v>
      </c>
      <c r="AR106" s="19" t="s">
        <v>1371</v>
      </c>
      <c r="AS106" s="21" t="s">
        <v>1372</v>
      </c>
      <c r="AT106" s="21" t="s">
        <v>1372</v>
      </c>
      <c r="AU106" s="19" t="s">
        <v>1373</v>
      </c>
      <c r="AV106" s="19" t="s">
        <v>1374</v>
      </c>
      <c r="AW106" s="19">
        <f>LEN(SUBSTITUTE(AV106, ", "," "))</f>
        <v>55</v>
      </c>
      <c r="AX106" s="21" t="s">
        <v>1340</v>
      </c>
      <c r="AY106" s="21" t="s">
        <v>1341</v>
      </c>
      <c r="AZ106" s="21" t="s">
        <v>1342</v>
      </c>
      <c r="BA106" s="19"/>
      <c r="BB106" s="19"/>
      <c r="BC106" s="21" t="s">
        <v>1375</v>
      </c>
      <c r="BD106" s="19"/>
      <c r="BE106" s="19"/>
      <c r="BF106" s="19"/>
      <c r="BG106" s="21" t="s">
        <v>835</v>
      </c>
      <c r="BH106" s="21" t="s">
        <v>1344</v>
      </c>
      <c r="BI106" s="19"/>
      <c r="BJ106" s="19"/>
      <c r="BK106" s="19"/>
      <c r="BL106" s="21" t="s">
        <v>1345</v>
      </c>
      <c r="BM106" s="21" t="s">
        <v>838</v>
      </c>
      <c r="BN106" s="21" t="s">
        <v>753</v>
      </c>
      <c r="BO106" s="19"/>
      <c r="BP106" s="19"/>
      <c r="BQ106" s="19" t="s">
        <v>1376</v>
      </c>
      <c r="BR106" s="19"/>
      <c r="BS106" s="19"/>
      <c r="BT106" s="19"/>
      <c r="BU106" s="19"/>
      <c r="BV106" s="19"/>
      <c r="BW106" s="19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1633</v>
      </c>
    </row>
    <row r="107" spans="1:110" ht="12" customHeight="1" x14ac:dyDescent="0.25">
      <c r="A107" s="15" t="s">
        <v>422</v>
      </c>
      <c r="B107" s="16" t="s">
        <v>40</v>
      </c>
      <c r="C107" s="16" t="s">
        <v>494</v>
      </c>
      <c r="D107" t="s">
        <v>198</v>
      </c>
      <c r="E107" s="19" t="s">
        <v>583</v>
      </c>
      <c r="F107" t="s">
        <v>198</v>
      </c>
      <c r="G107" s="19" t="s">
        <v>585</v>
      </c>
      <c r="H107" s="17" t="s">
        <v>84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113</v>
      </c>
      <c r="V107" s="16">
        <f>V106+1</f>
        <v>106</v>
      </c>
      <c r="W107" s="16" t="s">
        <v>67</v>
      </c>
      <c r="X107" s="16" t="s">
        <v>67</v>
      </c>
      <c r="Y107" s="19" t="s">
        <v>67</v>
      </c>
      <c r="Z107" s="18" t="s">
        <v>206</v>
      </c>
      <c r="AA107" s="16" t="s">
        <v>206</v>
      </c>
      <c r="AB107" s="20" t="s">
        <v>206</v>
      </c>
      <c r="AC107" s="19" t="s">
        <v>67</v>
      </c>
      <c r="AD107" s="20" t="s">
        <v>206</v>
      </c>
      <c r="AE107" s="20" t="s">
        <v>206</v>
      </c>
      <c r="AF107" s="19" t="s">
        <v>693</v>
      </c>
      <c r="AG107"/>
      <c r="AH107"/>
      <c r="AI107"/>
      <c r="AJ107" s="16" t="s">
        <v>290</v>
      </c>
      <c r="AK107"/>
      <c r="AL107" s="16">
        <v>4913</v>
      </c>
      <c r="AM107" s="16" t="s">
        <v>306</v>
      </c>
      <c r="AN107"/>
      <c r="AO107" s="19" t="s">
        <v>1335</v>
      </c>
      <c r="AP107" s="19" t="s">
        <v>888</v>
      </c>
      <c r="AQ107" s="19" t="s">
        <v>889</v>
      </c>
      <c r="AR107" s="19" t="s">
        <v>1377</v>
      </c>
      <c r="AS107" s="21" t="s">
        <v>1378</v>
      </c>
      <c r="AT107" s="21" t="s">
        <v>1378</v>
      </c>
      <c r="AU107" s="19" t="s">
        <v>1379</v>
      </c>
      <c r="AV107" s="19" t="s">
        <v>1380</v>
      </c>
      <c r="AW107" s="19">
        <f>LEN(SUBSTITUTE(AV107, ", "," "))</f>
        <v>55</v>
      </c>
      <c r="AX107" s="21" t="s">
        <v>1340</v>
      </c>
      <c r="AY107" s="21" t="s">
        <v>1341</v>
      </c>
      <c r="AZ107" s="21" t="s">
        <v>1342</v>
      </c>
      <c r="BA107" s="19"/>
      <c r="BB107" s="19"/>
      <c r="BC107" s="21" t="s">
        <v>1381</v>
      </c>
      <c r="BD107" s="19"/>
      <c r="BE107" s="19"/>
      <c r="BF107" s="19"/>
      <c r="BG107" s="21" t="s">
        <v>835</v>
      </c>
      <c r="BH107" s="21" t="s">
        <v>1344</v>
      </c>
      <c r="BI107" s="19"/>
      <c r="BJ107" s="19"/>
      <c r="BK107" s="19"/>
      <c r="BL107" s="21" t="s">
        <v>1345</v>
      </c>
      <c r="BM107" s="21" t="s">
        <v>838</v>
      </c>
      <c r="BN107" s="21" t="s">
        <v>753</v>
      </c>
      <c r="BO107" s="19"/>
      <c r="BP107" s="19"/>
      <c r="BQ107" s="19" t="s">
        <v>1382</v>
      </c>
      <c r="BR107" s="19"/>
      <c r="BS107" s="19"/>
      <c r="BT107" s="19"/>
      <c r="BU107" s="19"/>
      <c r="BV107" s="19"/>
      <c r="BW107" s="19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1633</v>
      </c>
    </row>
    <row r="108" spans="1:110" ht="12" customHeight="1" x14ac:dyDescent="0.25">
      <c r="A108" s="15" t="s">
        <v>422</v>
      </c>
      <c r="B108" s="16" t="s">
        <v>40</v>
      </c>
      <c r="C108" s="16" t="s">
        <v>494</v>
      </c>
      <c r="D108" t="s">
        <v>198</v>
      </c>
      <c r="E108" s="19" t="s">
        <v>583</v>
      </c>
      <c r="F108" t="s">
        <v>198</v>
      </c>
      <c r="G108" s="19" t="s">
        <v>585</v>
      </c>
      <c r="H108" s="17" t="s">
        <v>84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114</v>
      </c>
      <c r="V108" s="16">
        <f>V107+1</f>
        <v>107</v>
      </c>
      <c r="W108" s="16" t="s">
        <v>67</v>
      </c>
      <c r="X108" s="16" t="s">
        <v>67</v>
      </c>
      <c r="Y108" s="19" t="s">
        <v>67</v>
      </c>
      <c r="Z108" s="18" t="s">
        <v>473</v>
      </c>
      <c r="AA108" s="16" t="s">
        <v>473</v>
      </c>
      <c r="AB108" s="20" t="s">
        <v>473</v>
      </c>
      <c r="AC108" s="19" t="s">
        <v>67</v>
      </c>
      <c r="AD108" s="20" t="s">
        <v>473</v>
      </c>
      <c r="AE108" s="20" t="s">
        <v>473</v>
      </c>
      <c r="AF108" s="19" t="s">
        <v>694</v>
      </c>
      <c r="AG108"/>
      <c r="AH108"/>
      <c r="AI108"/>
      <c r="AJ108" s="16" t="s">
        <v>445</v>
      </c>
      <c r="AK108"/>
      <c r="AL108" s="16">
        <v>4913</v>
      </c>
      <c r="AM108" s="16" t="s">
        <v>92</v>
      </c>
      <c r="AN108"/>
      <c r="AO108" s="19" t="s">
        <v>1335</v>
      </c>
      <c r="AP108" s="19" t="s">
        <v>888</v>
      </c>
      <c r="AQ108" s="19" t="s">
        <v>889</v>
      </c>
      <c r="AR108" s="19" t="s">
        <v>1383</v>
      </c>
      <c r="AS108" s="21" t="s">
        <v>1384</v>
      </c>
      <c r="AT108" s="21" t="s">
        <v>1384</v>
      </c>
      <c r="AU108" s="19" t="s">
        <v>1385</v>
      </c>
      <c r="AV108" s="19" t="s">
        <v>1386</v>
      </c>
      <c r="AW108" s="19">
        <f>LEN(SUBSTITUTE(AV108, ", "," "))</f>
        <v>55</v>
      </c>
      <c r="AX108" s="21" t="s">
        <v>1340</v>
      </c>
      <c r="AY108" s="21" t="s">
        <v>1341</v>
      </c>
      <c r="AZ108" s="21" t="s">
        <v>1342</v>
      </c>
      <c r="BA108" s="19"/>
      <c r="BB108" s="19"/>
      <c r="BC108" s="21" t="s">
        <v>1387</v>
      </c>
      <c r="BD108" s="19"/>
      <c r="BE108" s="19"/>
      <c r="BF108" s="19"/>
      <c r="BG108" s="21" t="s">
        <v>835</v>
      </c>
      <c r="BH108" s="21" t="s">
        <v>1344</v>
      </c>
      <c r="BI108" s="19"/>
      <c r="BJ108" s="19"/>
      <c r="BK108" s="19"/>
      <c r="BL108" s="21" t="s">
        <v>1345</v>
      </c>
      <c r="BM108" s="21" t="s">
        <v>838</v>
      </c>
      <c r="BN108" s="21" t="s">
        <v>753</v>
      </c>
      <c r="BO108" s="19"/>
      <c r="BP108" s="19"/>
      <c r="BQ108" s="19" t="s">
        <v>1388</v>
      </c>
      <c r="BR108" s="19"/>
      <c r="BS108" s="19"/>
      <c r="BT108" s="19"/>
      <c r="BU108" s="19"/>
      <c r="BV108" s="19"/>
      <c r="BW108" s="19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1633</v>
      </c>
    </row>
    <row r="109" spans="1:110" ht="12" customHeight="1" x14ac:dyDescent="0.25">
      <c r="A109" s="15" t="s">
        <v>422</v>
      </c>
      <c r="B109" s="16" t="s">
        <v>40</v>
      </c>
      <c r="C109" s="16" t="s">
        <v>494</v>
      </c>
      <c r="D109" t="s">
        <v>198</v>
      </c>
      <c r="E109" s="19" t="s">
        <v>583</v>
      </c>
      <c r="F109" t="s">
        <v>198</v>
      </c>
      <c r="G109" s="19" t="s">
        <v>585</v>
      </c>
      <c r="H109" s="17" t="s">
        <v>84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115</v>
      </c>
      <c r="V109" s="16">
        <f>V108+1</f>
        <v>108</v>
      </c>
      <c r="W109" s="16" t="s">
        <v>67</v>
      </c>
      <c r="X109" s="16" t="s">
        <v>67</v>
      </c>
      <c r="Y109" s="19" t="s">
        <v>67</v>
      </c>
      <c r="Z109" s="18" t="s">
        <v>489</v>
      </c>
      <c r="AA109" s="16" t="s">
        <v>489</v>
      </c>
      <c r="AB109" s="20" t="s">
        <v>489</v>
      </c>
      <c r="AC109" s="19" t="s">
        <v>67</v>
      </c>
      <c r="AD109" s="20" t="s">
        <v>489</v>
      </c>
      <c r="AE109" s="20" t="s">
        <v>489</v>
      </c>
      <c r="AF109" s="19" t="s">
        <v>695</v>
      </c>
      <c r="AG109"/>
      <c r="AH109"/>
      <c r="AI109"/>
      <c r="AJ109" s="16" t="s">
        <v>268</v>
      </c>
      <c r="AK109"/>
      <c r="AL109" s="16">
        <v>4913</v>
      </c>
      <c r="AM109" s="16" t="s">
        <v>195</v>
      </c>
      <c r="AN109"/>
      <c r="AO109" s="19" t="s">
        <v>1335</v>
      </c>
      <c r="AP109" s="19" t="s">
        <v>888</v>
      </c>
      <c r="AQ109" s="19" t="s">
        <v>889</v>
      </c>
      <c r="AR109" s="19" t="s">
        <v>1389</v>
      </c>
      <c r="AS109" s="21" t="s">
        <v>1390</v>
      </c>
      <c r="AT109" s="21" t="s">
        <v>1390</v>
      </c>
      <c r="AU109" s="19" t="s">
        <v>1391</v>
      </c>
      <c r="AV109" s="19" t="s">
        <v>1391</v>
      </c>
      <c r="AW109" s="19">
        <f>LEN(SUBSTITUTE(AV109, ", "," "))</f>
        <v>59</v>
      </c>
      <c r="AX109" s="21" t="s">
        <v>1340</v>
      </c>
      <c r="AY109" s="21" t="s">
        <v>1341</v>
      </c>
      <c r="AZ109" s="21" t="s">
        <v>1342</v>
      </c>
      <c r="BA109" s="19"/>
      <c r="BB109" s="19"/>
      <c r="BC109" s="21" t="s">
        <v>1392</v>
      </c>
      <c r="BD109" s="19"/>
      <c r="BE109" s="19"/>
      <c r="BF109" s="19"/>
      <c r="BG109" s="21" t="s">
        <v>835</v>
      </c>
      <c r="BH109" s="21" t="s">
        <v>1393</v>
      </c>
      <c r="BI109" s="19"/>
      <c r="BJ109" s="19"/>
      <c r="BK109" s="19"/>
      <c r="BL109" s="21" t="s">
        <v>1345</v>
      </c>
      <c r="BM109" s="21" t="s">
        <v>838</v>
      </c>
      <c r="BN109" s="21" t="s">
        <v>753</v>
      </c>
      <c r="BO109" s="19"/>
      <c r="BP109" s="19"/>
      <c r="BQ109" s="19" t="s">
        <v>1394</v>
      </c>
      <c r="BR109" s="19"/>
      <c r="BS109" s="19"/>
      <c r="BT109" s="19"/>
      <c r="BU109" s="19"/>
      <c r="BV109" s="19"/>
      <c r="BW109" s="1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1633</v>
      </c>
    </row>
    <row r="110" spans="1:110" ht="12" customHeight="1" x14ac:dyDescent="0.25">
      <c r="A110" s="15" t="s">
        <v>422</v>
      </c>
      <c r="B110" s="16" t="s">
        <v>40</v>
      </c>
      <c r="C110" s="16" t="s">
        <v>494</v>
      </c>
      <c r="D110" t="s">
        <v>198</v>
      </c>
      <c r="E110" s="19" t="s">
        <v>583</v>
      </c>
      <c r="F110" t="s">
        <v>198</v>
      </c>
      <c r="G110" s="19" t="s">
        <v>585</v>
      </c>
      <c r="H110" s="17" t="s">
        <v>84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116</v>
      </c>
      <c r="V110" s="16">
        <f>V109+1</f>
        <v>109</v>
      </c>
      <c r="W110" s="16" t="s">
        <v>67</v>
      </c>
      <c r="X110" s="16" t="s">
        <v>67</v>
      </c>
      <c r="Y110" s="19" t="s">
        <v>67</v>
      </c>
      <c r="Z110" s="18" t="s">
        <v>332</v>
      </c>
      <c r="AA110" s="16" t="s">
        <v>332</v>
      </c>
      <c r="AB110" s="20" t="s">
        <v>332</v>
      </c>
      <c r="AC110" s="19" t="s">
        <v>67</v>
      </c>
      <c r="AD110" s="20" t="s">
        <v>332</v>
      </c>
      <c r="AE110" s="20" t="s">
        <v>332</v>
      </c>
      <c r="AF110" s="19" t="s">
        <v>696</v>
      </c>
      <c r="AG110"/>
      <c r="AH110"/>
      <c r="AI110"/>
      <c r="AJ110" s="16" t="s">
        <v>78</v>
      </c>
      <c r="AK110"/>
      <c r="AL110" s="16">
        <v>4913</v>
      </c>
      <c r="AM110" s="16" t="s">
        <v>320</v>
      </c>
      <c r="AN110"/>
      <c r="AO110" s="19" t="s">
        <v>1335</v>
      </c>
      <c r="AP110" s="19" t="s">
        <v>888</v>
      </c>
      <c r="AQ110" s="19" t="s">
        <v>889</v>
      </c>
      <c r="AR110" s="19" t="s">
        <v>1395</v>
      </c>
      <c r="AS110" s="21" t="s">
        <v>1396</v>
      </c>
      <c r="AT110" s="21" t="s">
        <v>1396</v>
      </c>
      <c r="AU110" s="19" t="s">
        <v>1397</v>
      </c>
      <c r="AV110" s="19" t="s">
        <v>1397</v>
      </c>
      <c r="AW110" s="19">
        <f>LEN(SUBSTITUTE(AV110, ", "," "))</f>
        <v>59</v>
      </c>
      <c r="AX110" s="21" t="s">
        <v>1340</v>
      </c>
      <c r="AY110" s="21" t="s">
        <v>1341</v>
      </c>
      <c r="AZ110" s="21" t="s">
        <v>1342</v>
      </c>
      <c r="BA110" s="19"/>
      <c r="BB110" s="19"/>
      <c r="BC110" s="21" t="s">
        <v>1398</v>
      </c>
      <c r="BD110" s="19"/>
      <c r="BE110" s="19"/>
      <c r="BF110" s="19"/>
      <c r="BG110" s="21" t="s">
        <v>835</v>
      </c>
      <c r="BH110" s="21" t="s">
        <v>1393</v>
      </c>
      <c r="BI110" s="19"/>
      <c r="BJ110" s="19"/>
      <c r="BK110" s="19"/>
      <c r="BL110" s="21" t="s">
        <v>1345</v>
      </c>
      <c r="BM110" s="21" t="s">
        <v>838</v>
      </c>
      <c r="BN110" s="21" t="s">
        <v>753</v>
      </c>
      <c r="BO110" s="19"/>
      <c r="BP110" s="19"/>
      <c r="BQ110" s="19" t="s">
        <v>1399</v>
      </c>
      <c r="BR110" s="19"/>
      <c r="BS110" s="19"/>
      <c r="BT110" s="19"/>
      <c r="BU110" s="19"/>
      <c r="BV110" s="19"/>
      <c r="BW110" s="19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1633</v>
      </c>
    </row>
    <row r="111" spans="1:110" ht="12" customHeight="1" x14ac:dyDescent="0.25">
      <c r="A111" s="15" t="s">
        <v>422</v>
      </c>
      <c r="B111" s="16" t="s">
        <v>40</v>
      </c>
      <c r="C111" s="16" t="s">
        <v>494</v>
      </c>
      <c r="D111" t="s">
        <v>198</v>
      </c>
      <c r="E111" s="19" t="s">
        <v>583</v>
      </c>
      <c r="F111" t="s">
        <v>198</v>
      </c>
      <c r="G111" s="19" t="s">
        <v>585</v>
      </c>
      <c r="H111" s="17" t="s">
        <v>84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117</v>
      </c>
      <c r="V111" s="16">
        <f>V110+1</f>
        <v>110</v>
      </c>
      <c r="W111" s="16" t="s">
        <v>67</v>
      </c>
      <c r="X111" s="16" t="s">
        <v>67</v>
      </c>
      <c r="Y111" s="19" t="s">
        <v>67</v>
      </c>
      <c r="Z111" s="18" t="s">
        <v>487</v>
      </c>
      <c r="AA111" s="16" t="s">
        <v>487</v>
      </c>
      <c r="AB111" s="20" t="s">
        <v>487</v>
      </c>
      <c r="AC111" s="19" t="s">
        <v>67</v>
      </c>
      <c r="AD111" s="20" t="s">
        <v>487</v>
      </c>
      <c r="AE111" s="20" t="s">
        <v>487</v>
      </c>
      <c r="AF111" s="19" t="s">
        <v>697</v>
      </c>
      <c r="AG111"/>
      <c r="AH111"/>
      <c r="AI111"/>
      <c r="AJ111" s="16" t="s">
        <v>43</v>
      </c>
      <c r="AK111"/>
      <c r="AL111" s="16">
        <v>4913</v>
      </c>
      <c r="AM111" s="16" t="s">
        <v>157</v>
      </c>
      <c r="AN111"/>
      <c r="AO111" s="19" t="s">
        <v>1335</v>
      </c>
      <c r="AP111" s="19" t="s">
        <v>888</v>
      </c>
      <c r="AQ111" s="19" t="s">
        <v>889</v>
      </c>
      <c r="AR111" s="19" t="s">
        <v>1400</v>
      </c>
      <c r="AS111" s="21" t="s">
        <v>1401</v>
      </c>
      <c r="AT111" s="21" t="s">
        <v>1401</v>
      </c>
      <c r="AU111" s="19" t="s">
        <v>1402</v>
      </c>
      <c r="AV111" s="19" t="s">
        <v>1402</v>
      </c>
      <c r="AW111" s="19">
        <f>LEN(SUBSTITUTE(AV111, ", "," "))</f>
        <v>59</v>
      </c>
      <c r="AX111" s="21" t="s">
        <v>1340</v>
      </c>
      <c r="AY111" s="21" t="s">
        <v>1341</v>
      </c>
      <c r="AZ111" s="21" t="s">
        <v>1342</v>
      </c>
      <c r="BA111" s="19"/>
      <c r="BB111" s="19"/>
      <c r="BC111" s="21" t="s">
        <v>1403</v>
      </c>
      <c r="BD111" s="19"/>
      <c r="BE111" s="19"/>
      <c r="BF111" s="19"/>
      <c r="BG111" s="21" t="s">
        <v>835</v>
      </c>
      <c r="BH111" s="21" t="s">
        <v>1393</v>
      </c>
      <c r="BI111" s="19"/>
      <c r="BJ111" s="19"/>
      <c r="BK111" s="19"/>
      <c r="BL111" s="21" t="s">
        <v>1345</v>
      </c>
      <c r="BM111" s="21" t="s">
        <v>838</v>
      </c>
      <c r="BN111" s="21" t="s">
        <v>753</v>
      </c>
      <c r="BO111" s="19"/>
      <c r="BP111" s="19"/>
      <c r="BQ111" s="19" t="s">
        <v>1404</v>
      </c>
      <c r="BR111" s="19"/>
      <c r="BS111" s="19"/>
      <c r="BT111" s="19"/>
      <c r="BU111" s="19"/>
      <c r="BV111" s="19"/>
      <c r="BW111" s="19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1633</v>
      </c>
    </row>
    <row r="112" spans="1:110" ht="12" customHeight="1" x14ac:dyDescent="0.25">
      <c r="A112" s="15" t="s">
        <v>422</v>
      </c>
      <c r="B112" s="16" t="s">
        <v>40</v>
      </c>
      <c r="C112" s="16" t="s">
        <v>494</v>
      </c>
      <c r="D112" t="s">
        <v>198</v>
      </c>
      <c r="E112" s="19" t="s">
        <v>583</v>
      </c>
      <c r="F112" t="s">
        <v>198</v>
      </c>
      <c r="G112" s="19" t="s">
        <v>585</v>
      </c>
      <c r="H112" s="17" t="s">
        <v>84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118</v>
      </c>
      <c r="V112" s="16">
        <f>V111+1</f>
        <v>111</v>
      </c>
      <c r="W112" s="16" t="s">
        <v>67</v>
      </c>
      <c r="X112" s="16" t="s">
        <v>67</v>
      </c>
      <c r="Y112" s="19" t="s">
        <v>67</v>
      </c>
      <c r="Z112" s="18" t="s">
        <v>333</v>
      </c>
      <c r="AA112" s="16" t="s">
        <v>333</v>
      </c>
      <c r="AB112" s="20" t="s">
        <v>333</v>
      </c>
      <c r="AC112" s="19" t="s">
        <v>67</v>
      </c>
      <c r="AD112" s="20" t="s">
        <v>333</v>
      </c>
      <c r="AE112" s="20" t="s">
        <v>333</v>
      </c>
      <c r="AF112" s="19" t="s">
        <v>698</v>
      </c>
      <c r="AG112"/>
      <c r="AH112"/>
      <c r="AI112"/>
      <c r="AJ112" s="16" t="s">
        <v>455</v>
      </c>
      <c r="AK112"/>
      <c r="AL112" s="16">
        <v>4913</v>
      </c>
      <c r="AM112" s="16" t="s">
        <v>22</v>
      </c>
      <c r="AN112"/>
      <c r="AO112" s="19" t="s">
        <v>1335</v>
      </c>
      <c r="AP112" s="19" t="s">
        <v>888</v>
      </c>
      <c r="AQ112" s="19" t="s">
        <v>889</v>
      </c>
      <c r="AR112" s="19" t="s">
        <v>1405</v>
      </c>
      <c r="AS112" s="21" t="s">
        <v>1406</v>
      </c>
      <c r="AT112" s="21" t="s">
        <v>1406</v>
      </c>
      <c r="AU112" s="19" t="s">
        <v>1407</v>
      </c>
      <c r="AV112" s="19" t="s">
        <v>1407</v>
      </c>
      <c r="AW112" s="19">
        <f>LEN(SUBSTITUTE(AV112, ", "," "))</f>
        <v>59</v>
      </c>
      <c r="AX112" s="21" t="s">
        <v>1340</v>
      </c>
      <c r="AY112" s="21" t="s">
        <v>1341</v>
      </c>
      <c r="AZ112" s="21" t="s">
        <v>1342</v>
      </c>
      <c r="BA112" s="19"/>
      <c r="BB112" s="19"/>
      <c r="BC112" s="21" t="s">
        <v>1408</v>
      </c>
      <c r="BD112" s="19"/>
      <c r="BE112" s="19"/>
      <c r="BF112" s="19"/>
      <c r="BG112" s="21" t="s">
        <v>835</v>
      </c>
      <c r="BH112" s="21" t="s">
        <v>1393</v>
      </c>
      <c r="BI112" s="19"/>
      <c r="BJ112" s="19"/>
      <c r="BK112" s="19"/>
      <c r="BL112" s="21" t="s">
        <v>1345</v>
      </c>
      <c r="BM112" s="21" t="s">
        <v>838</v>
      </c>
      <c r="BN112" s="21" t="s">
        <v>753</v>
      </c>
      <c r="BO112" s="19"/>
      <c r="BP112" s="19"/>
      <c r="BQ112" s="19" t="s">
        <v>1409</v>
      </c>
      <c r="BR112" s="19"/>
      <c r="BS112" s="19"/>
      <c r="BT112" s="19"/>
      <c r="BU112" s="19"/>
      <c r="BV112" s="19"/>
      <c r="BW112" s="19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1633</v>
      </c>
    </row>
    <row r="113" spans="1:110" ht="12" customHeight="1" x14ac:dyDescent="0.25">
      <c r="A113" s="15" t="s">
        <v>422</v>
      </c>
      <c r="B113" s="16" t="s">
        <v>40</v>
      </c>
      <c r="C113" s="16" t="s">
        <v>494</v>
      </c>
      <c r="D113" t="s">
        <v>198</v>
      </c>
      <c r="E113" s="19" t="s">
        <v>583</v>
      </c>
      <c r="F113" t="s">
        <v>198</v>
      </c>
      <c r="G113" s="19" t="s">
        <v>585</v>
      </c>
      <c r="H113" s="17" t="s">
        <v>84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119</v>
      </c>
      <c r="V113" s="16">
        <f>V112+1</f>
        <v>112</v>
      </c>
      <c r="W113" s="16" t="s">
        <v>67</v>
      </c>
      <c r="X113" s="16" t="s">
        <v>67</v>
      </c>
      <c r="Y113" s="19" t="s">
        <v>67</v>
      </c>
      <c r="Z113" s="18" t="s">
        <v>276</v>
      </c>
      <c r="AA113" s="16" t="s">
        <v>276</v>
      </c>
      <c r="AB113" s="20" t="s">
        <v>276</v>
      </c>
      <c r="AC113" s="19" t="s">
        <v>67</v>
      </c>
      <c r="AD113" s="20" t="s">
        <v>276</v>
      </c>
      <c r="AE113" s="20" t="s">
        <v>276</v>
      </c>
      <c r="AF113" s="19" t="s">
        <v>699</v>
      </c>
      <c r="AG113"/>
      <c r="AH113"/>
      <c r="AI113"/>
      <c r="AJ113" s="16" t="s">
        <v>35</v>
      </c>
      <c r="AK113"/>
      <c r="AL113" s="16">
        <v>4913</v>
      </c>
      <c r="AM113" s="16" t="s">
        <v>484</v>
      </c>
      <c r="AN113"/>
      <c r="AO113" s="19" t="s">
        <v>1335</v>
      </c>
      <c r="AP113" s="19" t="s">
        <v>888</v>
      </c>
      <c r="AQ113" s="19" t="s">
        <v>889</v>
      </c>
      <c r="AR113" s="19" t="s">
        <v>1410</v>
      </c>
      <c r="AS113" s="21" t="s">
        <v>1411</v>
      </c>
      <c r="AT113" s="21" t="s">
        <v>1411</v>
      </c>
      <c r="AU113" s="19" t="s">
        <v>1412</v>
      </c>
      <c r="AV113" s="19" t="s">
        <v>1412</v>
      </c>
      <c r="AW113" s="19">
        <f>LEN(SUBSTITUTE(AV113, ", "," "))</f>
        <v>59</v>
      </c>
      <c r="AX113" s="21" t="s">
        <v>1340</v>
      </c>
      <c r="AY113" s="21" t="s">
        <v>1341</v>
      </c>
      <c r="AZ113" s="21" t="s">
        <v>1342</v>
      </c>
      <c r="BA113" s="19"/>
      <c r="BB113" s="19"/>
      <c r="BC113" s="21" t="s">
        <v>1413</v>
      </c>
      <c r="BD113" s="19"/>
      <c r="BE113" s="19"/>
      <c r="BF113" s="19"/>
      <c r="BG113" s="21" t="s">
        <v>835</v>
      </c>
      <c r="BH113" s="21" t="s">
        <v>1393</v>
      </c>
      <c r="BI113" s="19"/>
      <c r="BJ113" s="19"/>
      <c r="BK113" s="19"/>
      <c r="BL113" s="21" t="s">
        <v>1345</v>
      </c>
      <c r="BM113" s="21" t="s">
        <v>838</v>
      </c>
      <c r="BN113" s="21" t="s">
        <v>753</v>
      </c>
      <c r="BO113" s="19"/>
      <c r="BP113" s="19"/>
      <c r="BQ113" s="19" t="s">
        <v>1414</v>
      </c>
      <c r="BR113" s="19"/>
      <c r="BS113" s="19"/>
      <c r="BT113" s="19"/>
      <c r="BU113" s="19"/>
      <c r="BV113" s="19"/>
      <c r="BW113" s="19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1633</v>
      </c>
    </row>
    <row r="114" spans="1:110" ht="12" customHeight="1" x14ac:dyDescent="0.25">
      <c r="A114" s="15" t="s">
        <v>422</v>
      </c>
      <c r="B114" s="16" t="s">
        <v>40</v>
      </c>
      <c r="C114" s="16" t="s">
        <v>494</v>
      </c>
      <c r="D114" t="s">
        <v>198</v>
      </c>
      <c r="E114" s="19" t="s">
        <v>583</v>
      </c>
      <c r="F114" t="s">
        <v>198</v>
      </c>
      <c r="G114" s="19" t="s">
        <v>585</v>
      </c>
      <c r="H114" s="17" t="s">
        <v>84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120</v>
      </c>
      <c r="V114" s="16">
        <f>V113+1</f>
        <v>113</v>
      </c>
      <c r="W114" s="16" t="s">
        <v>67</v>
      </c>
      <c r="X114" s="16" t="s">
        <v>67</v>
      </c>
      <c r="Y114" s="19" t="s">
        <v>67</v>
      </c>
      <c r="Z114" s="18" t="s">
        <v>337</v>
      </c>
      <c r="AA114" s="16" t="s">
        <v>337</v>
      </c>
      <c r="AB114" s="20" t="s">
        <v>337</v>
      </c>
      <c r="AC114" s="19" t="s">
        <v>67</v>
      </c>
      <c r="AD114" s="20" t="s">
        <v>337</v>
      </c>
      <c r="AE114" s="20" t="s">
        <v>337</v>
      </c>
      <c r="AF114" s="19" t="s">
        <v>700</v>
      </c>
      <c r="AG114"/>
      <c r="AH114"/>
      <c r="AI114"/>
      <c r="AJ114" s="16" t="s">
        <v>354</v>
      </c>
      <c r="AK114"/>
      <c r="AL114" s="16">
        <v>4913</v>
      </c>
      <c r="AM114" s="16" t="s">
        <v>435</v>
      </c>
      <c r="AN114"/>
      <c r="AO114" s="19" t="s">
        <v>1335</v>
      </c>
      <c r="AP114" s="19" t="s">
        <v>888</v>
      </c>
      <c r="AQ114" s="19" t="s">
        <v>889</v>
      </c>
      <c r="AR114" s="19" t="s">
        <v>1415</v>
      </c>
      <c r="AS114" s="21" t="s">
        <v>1416</v>
      </c>
      <c r="AT114" s="21" t="s">
        <v>1416</v>
      </c>
      <c r="AU114" s="19" t="s">
        <v>1417</v>
      </c>
      <c r="AV114" s="19" t="s">
        <v>1417</v>
      </c>
      <c r="AW114" s="19">
        <f>LEN(SUBSTITUTE(AV114, ", "," "))</f>
        <v>59</v>
      </c>
      <c r="AX114" s="21" t="s">
        <v>1340</v>
      </c>
      <c r="AY114" s="21" t="s">
        <v>1341</v>
      </c>
      <c r="AZ114" s="21" t="s">
        <v>1342</v>
      </c>
      <c r="BA114" s="19"/>
      <c r="BB114" s="19"/>
      <c r="BC114" s="21" t="s">
        <v>1418</v>
      </c>
      <c r="BD114" s="19"/>
      <c r="BE114" s="19"/>
      <c r="BF114" s="19"/>
      <c r="BG114" s="21" t="s">
        <v>835</v>
      </c>
      <c r="BH114" s="21" t="s">
        <v>1393</v>
      </c>
      <c r="BI114" s="19"/>
      <c r="BJ114" s="19"/>
      <c r="BK114" s="19"/>
      <c r="BL114" s="21" t="s">
        <v>1345</v>
      </c>
      <c r="BM114" s="21" t="s">
        <v>838</v>
      </c>
      <c r="BN114" s="21" t="s">
        <v>753</v>
      </c>
      <c r="BO114" s="19"/>
      <c r="BP114" s="19"/>
      <c r="BQ114" s="19" t="s">
        <v>1419</v>
      </c>
      <c r="BR114" s="19"/>
      <c r="BS114" s="19"/>
      <c r="BT114" s="19"/>
      <c r="BU114" s="19"/>
      <c r="BV114" s="19"/>
      <c r="BW114" s="19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1633</v>
      </c>
    </row>
    <row r="115" spans="1:110" ht="12" customHeight="1" x14ac:dyDescent="0.25">
      <c r="A115" s="15" t="s">
        <v>422</v>
      </c>
      <c r="B115" s="16" t="s">
        <v>40</v>
      </c>
      <c r="C115" s="16" t="s">
        <v>494</v>
      </c>
      <c r="D115" t="s">
        <v>198</v>
      </c>
      <c r="E115" s="19" t="s">
        <v>583</v>
      </c>
      <c r="F115" t="s">
        <v>198</v>
      </c>
      <c r="G115" s="19" t="s">
        <v>585</v>
      </c>
      <c r="H115" s="17" t="s">
        <v>84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121</v>
      </c>
      <c r="V115" s="16">
        <f>V114+1</f>
        <v>114</v>
      </c>
      <c r="W115" s="16" t="s">
        <v>67</v>
      </c>
      <c r="X115" s="16" t="s">
        <v>67</v>
      </c>
      <c r="Y115" s="19" t="s">
        <v>67</v>
      </c>
      <c r="Z115" s="18" t="s">
        <v>29</v>
      </c>
      <c r="AA115" s="16" t="s">
        <v>29</v>
      </c>
      <c r="AB115" s="20" t="s">
        <v>29</v>
      </c>
      <c r="AC115" s="19" t="s">
        <v>67</v>
      </c>
      <c r="AD115" s="20" t="s">
        <v>29</v>
      </c>
      <c r="AE115" s="20" t="s">
        <v>29</v>
      </c>
      <c r="AF115" s="19" t="s">
        <v>701</v>
      </c>
      <c r="AG115"/>
      <c r="AH115"/>
      <c r="AI115"/>
      <c r="AJ115" s="16" t="s">
        <v>286</v>
      </c>
      <c r="AK115"/>
      <c r="AL115" s="16">
        <v>4913</v>
      </c>
      <c r="AM115" s="16" t="s">
        <v>518</v>
      </c>
      <c r="AN115"/>
      <c r="AO115" s="19" t="s">
        <v>1335</v>
      </c>
      <c r="AP115" s="19" t="s">
        <v>888</v>
      </c>
      <c r="AQ115" s="19" t="s">
        <v>889</v>
      </c>
      <c r="AR115" s="19" t="s">
        <v>1420</v>
      </c>
      <c r="AS115" s="21" t="s">
        <v>1421</v>
      </c>
      <c r="AT115" s="21" t="s">
        <v>1421</v>
      </c>
      <c r="AU115" s="19" t="s">
        <v>1422</v>
      </c>
      <c r="AV115" s="19" t="s">
        <v>1422</v>
      </c>
      <c r="AW115" s="19">
        <f>LEN(SUBSTITUTE(AV115, ", "," "))</f>
        <v>59</v>
      </c>
      <c r="AX115" s="21" t="s">
        <v>1340</v>
      </c>
      <c r="AY115" s="21" t="s">
        <v>1341</v>
      </c>
      <c r="AZ115" s="21" t="s">
        <v>1342</v>
      </c>
      <c r="BA115" s="19"/>
      <c r="BB115" s="19"/>
      <c r="BC115" s="21" t="s">
        <v>1423</v>
      </c>
      <c r="BD115" s="19"/>
      <c r="BE115" s="19"/>
      <c r="BF115" s="19"/>
      <c r="BG115" s="21" t="s">
        <v>835</v>
      </c>
      <c r="BH115" s="21" t="s">
        <v>1393</v>
      </c>
      <c r="BI115" s="19"/>
      <c r="BJ115" s="19"/>
      <c r="BK115" s="19"/>
      <c r="BL115" s="21" t="s">
        <v>1345</v>
      </c>
      <c r="BM115" s="21" t="s">
        <v>838</v>
      </c>
      <c r="BN115" s="21" t="s">
        <v>753</v>
      </c>
      <c r="BO115" s="19"/>
      <c r="BP115" s="19"/>
      <c r="BQ115" s="19" t="s">
        <v>1424</v>
      </c>
      <c r="BR115" s="19"/>
      <c r="BS115" s="19"/>
      <c r="BT115" s="19"/>
      <c r="BU115" s="19"/>
      <c r="BV115" s="19"/>
      <c r="BW115" s="19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1633</v>
      </c>
    </row>
    <row r="116" spans="1:110" ht="12" customHeight="1" x14ac:dyDescent="0.25">
      <c r="A116" s="15" t="s">
        <v>422</v>
      </c>
      <c r="B116" s="16" t="s">
        <v>40</v>
      </c>
      <c r="C116" s="16" t="s">
        <v>494</v>
      </c>
      <c r="D116" t="s">
        <v>198</v>
      </c>
      <c r="E116" s="19" t="s">
        <v>583</v>
      </c>
      <c r="F116" t="s">
        <v>198</v>
      </c>
      <c r="G116" s="19" t="s">
        <v>585</v>
      </c>
      <c r="H116" s="17" t="s">
        <v>84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122</v>
      </c>
      <c r="V116" s="16">
        <f>V115+1</f>
        <v>115</v>
      </c>
      <c r="W116" s="16" t="s">
        <v>67</v>
      </c>
      <c r="X116" s="16" t="s">
        <v>67</v>
      </c>
      <c r="Y116" s="19" t="s">
        <v>67</v>
      </c>
      <c r="Z116" s="18" t="s">
        <v>64</v>
      </c>
      <c r="AA116" s="16" t="s">
        <v>64</v>
      </c>
      <c r="AB116" s="20" t="s">
        <v>64</v>
      </c>
      <c r="AC116" s="19" t="s">
        <v>67</v>
      </c>
      <c r="AD116" s="20" t="s">
        <v>64</v>
      </c>
      <c r="AE116" s="20" t="s">
        <v>64</v>
      </c>
      <c r="AF116" s="19" t="s">
        <v>702</v>
      </c>
      <c r="AG116"/>
      <c r="AH116"/>
      <c r="AI116"/>
      <c r="AJ116" s="16" t="s">
        <v>60</v>
      </c>
      <c r="AK116"/>
      <c r="AL116" s="16">
        <v>4913</v>
      </c>
      <c r="AM116" s="16" t="s">
        <v>284</v>
      </c>
      <c r="AN116"/>
      <c r="AO116" s="19" t="s">
        <v>1335</v>
      </c>
      <c r="AP116" s="19" t="s">
        <v>888</v>
      </c>
      <c r="AQ116" s="19" t="s">
        <v>889</v>
      </c>
      <c r="AR116" s="19" t="s">
        <v>1425</v>
      </c>
      <c r="AS116" s="21" t="s">
        <v>1426</v>
      </c>
      <c r="AT116" s="21" t="s">
        <v>1426</v>
      </c>
      <c r="AU116" s="19" t="s">
        <v>1427</v>
      </c>
      <c r="AV116" s="19" t="s">
        <v>1428</v>
      </c>
      <c r="AW116" s="19">
        <f>LEN(SUBSTITUTE(AV116, ", "," "))</f>
        <v>58</v>
      </c>
      <c r="AX116" s="21" t="s">
        <v>1340</v>
      </c>
      <c r="AY116" s="21" t="s">
        <v>1341</v>
      </c>
      <c r="AZ116" s="21" t="s">
        <v>1112</v>
      </c>
      <c r="BA116" s="19"/>
      <c r="BB116" s="19"/>
      <c r="BC116" s="21" t="s">
        <v>1392</v>
      </c>
      <c r="BD116" s="19"/>
      <c r="BE116" s="19"/>
      <c r="BF116" s="19"/>
      <c r="BG116" s="21" t="s">
        <v>835</v>
      </c>
      <c r="BH116" s="21" t="s">
        <v>1429</v>
      </c>
      <c r="BI116" s="19"/>
      <c r="BJ116" s="19"/>
      <c r="BK116" s="19"/>
      <c r="BL116" s="21" t="s">
        <v>1345</v>
      </c>
      <c r="BM116" s="21" t="s">
        <v>838</v>
      </c>
      <c r="BN116" s="21" t="s">
        <v>753</v>
      </c>
      <c r="BO116" s="19"/>
      <c r="BP116" s="19"/>
      <c r="BQ116" s="19" t="s">
        <v>1430</v>
      </c>
      <c r="BR116" s="19"/>
      <c r="BS116" s="19"/>
      <c r="BT116" s="19"/>
      <c r="BU116" s="19"/>
      <c r="BV116" s="19"/>
      <c r="BW116" s="19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1633</v>
      </c>
    </row>
    <row r="117" spans="1:110" ht="12" customHeight="1" x14ac:dyDescent="0.25">
      <c r="A117" s="15" t="s">
        <v>422</v>
      </c>
      <c r="B117" s="16" t="s">
        <v>40</v>
      </c>
      <c r="C117" s="16" t="s">
        <v>494</v>
      </c>
      <c r="D117" t="s">
        <v>198</v>
      </c>
      <c r="E117" s="19" t="s">
        <v>583</v>
      </c>
      <c r="F117" t="s">
        <v>198</v>
      </c>
      <c r="G117" s="19" t="s">
        <v>585</v>
      </c>
      <c r="H117" s="17" t="s">
        <v>84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123</v>
      </c>
      <c r="V117" s="16">
        <f>V116+1</f>
        <v>116</v>
      </c>
      <c r="W117" s="16" t="s">
        <v>67</v>
      </c>
      <c r="X117" s="16" t="s">
        <v>67</v>
      </c>
      <c r="Y117" s="19" t="s">
        <v>67</v>
      </c>
      <c r="Z117" s="18" t="s">
        <v>490</v>
      </c>
      <c r="AA117" s="16" t="s">
        <v>490</v>
      </c>
      <c r="AB117" s="20" t="s">
        <v>490</v>
      </c>
      <c r="AC117" s="19" t="s">
        <v>67</v>
      </c>
      <c r="AD117" s="20" t="s">
        <v>490</v>
      </c>
      <c r="AE117" s="20" t="s">
        <v>490</v>
      </c>
      <c r="AF117" s="19" t="s">
        <v>703</v>
      </c>
      <c r="AG117"/>
      <c r="AH117"/>
      <c r="AI117"/>
      <c r="AJ117" s="16" t="s">
        <v>253</v>
      </c>
      <c r="AK117"/>
      <c r="AL117" s="16">
        <v>4913</v>
      </c>
      <c r="AM117" s="16" t="s">
        <v>450</v>
      </c>
      <c r="AN117"/>
      <c r="AO117" s="19" t="s">
        <v>1335</v>
      </c>
      <c r="AP117" s="19" t="s">
        <v>888</v>
      </c>
      <c r="AQ117" s="19" t="s">
        <v>889</v>
      </c>
      <c r="AR117" s="19" t="s">
        <v>1431</v>
      </c>
      <c r="AS117" s="21" t="s">
        <v>1432</v>
      </c>
      <c r="AT117" s="21" t="s">
        <v>1432</v>
      </c>
      <c r="AU117" s="19" t="s">
        <v>1433</v>
      </c>
      <c r="AV117" s="19" t="s">
        <v>1434</v>
      </c>
      <c r="AW117" s="19">
        <f>LEN(SUBSTITUTE(AV117, ", "," "))</f>
        <v>58</v>
      </c>
      <c r="AX117" s="21" t="s">
        <v>1340</v>
      </c>
      <c r="AY117" s="21" t="s">
        <v>1341</v>
      </c>
      <c r="AZ117" s="21" t="s">
        <v>1112</v>
      </c>
      <c r="BA117" s="19"/>
      <c r="BB117" s="19"/>
      <c r="BC117" s="21" t="s">
        <v>1398</v>
      </c>
      <c r="BD117" s="19"/>
      <c r="BE117" s="19"/>
      <c r="BF117" s="19"/>
      <c r="BG117" s="21" t="s">
        <v>835</v>
      </c>
      <c r="BH117" s="21" t="s">
        <v>1429</v>
      </c>
      <c r="BI117" s="19"/>
      <c r="BJ117" s="19"/>
      <c r="BK117" s="19"/>
      <c r="BL117" s="21" t="s">
        <v>1345</v>
      </c>
      <c r="BM117" s="21" t="s">
        <v>838</v>
      </c>
      <c r="BN117" s="21" t="s">
        <v>753</v>
      </c>
      <c r="BO117" s="19"/>
      <c r="BP117" s="19"/>
      <c r="BQ117" s="19" t="s">
        <v>1435</v>
      </c>
      <c r="BR117" s="19"/>
      <c r="BS117" s="19"/>
      <c r="BT117" s="19"/>
      <c r="BU117" s="19"/>
      <c r="BV117" s="19"/>
      <c r="BW117" s="19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1633</v>
      </c>
    </row>
    <row r="118" spans="1:110" ht="12" customHeight="1" x14ac:dyDescent="0.25">
      <c r="A118" s="15" t="s">
        <v>422</v>
      </c>
      <c r="B118" s="16" t="s">
        <v>40</v>
      </c>
      <c r="C118" s="16" t="s">
        <v>494</v>
      </c>
      <c r="D118" t="s">
        <v>198</v>
      </c>
      <c r="E118" s="19" t="s">
        <v>583</v>
      </c>
      <c r="F118" t="s">
        <v>198</v>
      </c>
      <c r="G118" s="19" t="s">
        <v>585</v>
      </c>
      <c r="H118" s="17" t="s">
        <v>84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124</v>
      </c>
      <c r="V118" s="16">
        <f>V117+1</f>
        <v>117</v>
      </c>
      <c r="W118" s="16" t="s">
        <v>67</v>
      </c>
      <c r="X118" s="16" t="s">
        <v>67</v>
      </c>
      <c r="Y118" s="19" t="s">
        <v>67</v>
      </c>
      <c r="Z118" s="18" t="s">
        <v>65</v>
      </c>
      <c r="AA118" s="16" t="s">
        <v>65</v>
      </c>
      <c r="AB118" s="20" t="s">
        <v>65</v>
      </c>
      <c r="AC118" s="19" t="s">
        <v>67</v>
      </c>
      <c r="AD118" s="20" t="s">
        <v>65</v>
      </c>
      <c r="AE118" s="20" t="s">
        <v>65</v>
      </c>
      <c r="AF118" s="19" t="s">
        <v>704</v>
      </c>
      <c r="AG118"/>
      <c r="AH118"/>
      <c r="AI118"/>
      <c r="AJ118" s="16" t="s">
        <v>303</v>
      </c>
      <c r="AK118"/>
      <c r="AL118" s="16">
        <v>4913</v>
      </c>
      <c r="AM118" s="16" t="s">
        <v>93</v>
      </c>
      <c r="AN118"/>
      <c r="AO118" s="19" t="s">
        <v>1335</v>
      </c>
      <c r="AP118" s="19" t="s">
        <v>888</v>
      </c>
      <c r="AQ118" s="19" t="s">
        <v>889</v>
      </c>
      <c r="AR118" s="19" t="s">
        <v>1436</v>
      </c>
      <c r="AS118" s="21" t="s">
        <v>1437</v>
      </c>
      <c r="AT118" s="21" t="s">
        <v>1437</v>
      </c>
      <c r="AU118" s="19" t="s">
        <v>1438</v>
      </c>
      <c r="AV118" s="19" t="s">
        <v>1439</v>
      </c>
      <c r="AW118" s="19">
        <f>LEN(SUBSTITUTE(AV118, ", "," "))</f>
        <v>58</v>
      </c>
      <c r="AX118" s="21" t="s">
        <v>1340</v>
      </c>
      <c r="AY118" s="21" t="s">
        <v>1341</v>
      </c>
      <c r="AZ118" s="21" t="s">
        <v>1112</v>
      </c>
      <c r="BA118" s="19"/>
      <c r="BB118" s="19"/>
      <c r="BC118" s="21" t="s">
        <v>1403</v>
      </c>
      <c r="BD118" s="19"/>
      <c r="BE118" s="19"/>
      <c r="BF118" s="19"/>
      <c r="BG118" s="21" t="s">
        <v>835</v>
      </c>
      <c r="BH118" s="21" t="s">
        <v>1429</v>
      </c>
      <c r="BI118" s="19"/>
      <c r="BJ118" s="19"/>
      <c r="BK118" s="19"/>
      <c r="BL118" s="21" t="s">
        <v>1345</v>
      </c>
      <c r="BM118" s="21" t="s">
        <v>838</v>
      </c>
      <c r="BN118" s="21" t="s">
        <v>753</v>
      </c>
      <c r="BO118" s="19"/>
      <c r="BP118" s="19"/>
      <c r="BQ118" s="19" t="s">
        <v>1440</v>
      </c>
      <c r="BR118" s="19"/>
      <c r="BS118" s="19"/>
      <c r="BT118" s="19"/>
      <c r="BU118" s="19"/>
      <c r="BV118" s="19"/>
      <c r="BW118" s="19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1633</v>
      </c>
    </row>
    <row r="119" spans="1:110" ht="12" customHeight="1" x14ac:dyDescent="0.25">
      <c r="A119" s="15" t="s">
        <v>422</v>
      </c>
      <c r="B119" s="16" t="s">
        <v>40</v>
      </c>
      <c r="C119" s="16" t="s">
        <v>494</v>
      </c>
      <c r="D119" t="s">
        <v>198</v>
      </c>
      <c r="E119" s="19" t="s">
        <v>583</v>
      </c>
      <c r="F119" t="s">
        <v>198</v>
      </c>
      <c r="G119" s="19" t="s">
        <v>585</v>
      </c>
      <c r="H119" s="17" t="s">
        <v>84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125</v>
      </c>
      <c r="V119" s="16">
        <f>V118+1</f>
        <v>118</v>
      </c>
      <c r="W119" s="16" t="s">
        <v>67</v>
      </c>
      <c r="X119" s="16" t="s">
        <v>67</v>
      </c>
      <c r="Y119" s="19" t="s">
        <v>67</v>
      </c>
      <c r="Z119" s="18" t="s">
        <v>491</v>
      </c>
      <c r="AA119" s="16" t="s">
        <v>491</v>
      </c>
      <c r="AB119" s="20" t="s">
        <v>491</v>
      </c>
      <c r="AC119" s="19" t="s">
        <v>67</v>
      </c>
      <c r="AD119" s="20" t="s">
        <v>491</v>
      </c>
      <c r="AE119" s="20" t="s">
        <v>491</v>
      </c>
      <c r="AF119" s="19" t="s">
        <v>705</v>
      </c>
      <c r="AG119"/>
      <c r="AH119"/>
      <c r="AI119"/>
      <c r="AJ119" s="16" t="s">
        <v>248</v>
      </c>
      <c r="AK119"/>
      <c r="AL119" s="16">
        <v>4913</v>
      </c>
      <c r="AM119" s="16" t="s">
        <v>181</v>
      </c>
      <c r="AN119"/>
      <c r="AO119" s="19" t="s">
        <v>1335</v>
      </c>
      <c r="AP119" s="19" t="s">
        <v>888</v>
      </c>
      <c r="AQ119" s="19" t="s">
        <v>889</v>
      </c>
      <c r="AR119" s="19" t="s">
        <v>1441</v>
      </c>
      <c r="AS119" s="21" t="s">
        <v>1442</v>
      </c>
      <c r="AT119" s="21" t="s">
        <v>1442</v>
      </c>
      <c r="AU119" s="19" t="s">
        <v>1443</v>
      </c>
      <c r="AV119" s="19" t="s">
        <v>1444</v>
      </c>
      <c r="AW119" s="19">
        <f>LEN(SUBSTITUTE(AV119, ", "," "))</f>
        <v>58</v>
      </c>
      <c r="AX119" s="21" t="s">
        <v>1340</v>
      </c>
      <c r="AY119" s="21" t="s">
        <v>1341</v>
      </c>
      <c r="AZ119" s="21" t="s">
        <v>1112</v>
      </c>
      <c r="BA119" s="19"/>
      <c r="BB119" s="19"/>
      <c r="BC119" s="21" t="s">
        <v>1408</v>
      </c>
      <c r="BD119" s="19"/>
      <c r="BE119" s="19"/>
      <c r="BF119" s="19"/>
      <c r="BG119" s="21" t="s">
        <v>835</v>
      </c>
      <c r="BH119" s="21" t="s">
        <v>1429</v>
      </c>
      <c r="BI119" s="19"/>
      <c r="BJ119" s="19"/>
      <c r="BK119" s="19"/>
      <c r="BL119" s="21" t="s">
        <v>1345</v>
      </c>
      <c r="BM119" s="21" t="s">
        <v>838</v>
      </c>
      <c r="BN119" s="21" t="s">
        <v>753</v>
      </c>
      <c r="BO119" s="19"/>
      <c r="BP119" s="19"/>
      <c r="BQ119" s="19" t="s">
        <v>1445</v>
      </c>
      <c r="BR119" s="19"/>
      <c r="BS119" s="19"/>
      <c r="BT119" s="19"/>
      <c r="BU119" s="19"/>
      <c r="BV119" s="19"/>
      <c r="BW119" s="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1633</v>
      </c>
    </row>
    <row r="120" spans="1:110" ht="12" customHeight="1" x14ac:dyDescent="0.25">
      <c r="A120" s="15" t="s">
        <v>422</v>
      </c>
      <c r="B120" s="16" t="s">
        <v>40</v>
      </c>
      <c r="C120" s="16" t="s">
        <v>494</v>
      </c>
      <c r="D120" t="s">
        <v>198</v>
      </c>
      <c r="E120" s="19" t="s">
        <v>583</v>
      </c>
      <c r="F120" t="s">
        <v>198</v>
      </c>
      <c r="G120" s="19" t="s">
        <v>585</v>
      </c>
      <c r="H120" s="17" t="s">
        <v>84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126</v>
      </c>
      <c r="V120" s="16">
        <f>V119+1</f>
        <v>119</v>
      </c>
      <c r="W120" s="16" t="s">
        <v>67</v>
      </c>
      <c r="X120" s="16" t="s">
        <v>67</v>
      </c>
      <c r="Y120" s="19" t="s">
        <v>67</v>
      </c>
      <c r="Z120" s="18" t="s">
        <v>66</v>
      </c>
      <c r="AA120" s="16" t="s">
        <v>66</v>
      </c>
      <c r="AB120" s="20" t="s">
        <v>66</v>
      </c>
      <c r="AC120" s="19" t="s">
        <v>67</v>
      </c>
      <c r="AD120" s="20" t="s">
        <v>66</v>
      </c>
      <c r="AE120" s="20" t="s">
        <v>66</v>
      </c>
      <c r="AF120" s="19" t="s">
        <v>706</v>
      </c>
      <c r="AG120"/>
      <c r="AH120"/>
      <c r="AI120"/>
      <c r="AJ120" s="16" t="s">
        <v>0</v>
      </c>
      <c r="AK120"/>
      <c r="AL120" s="16">
        <v>4913</v>
      </c>
      <c r="AM120" s="16" t="s">
        <v>340</v>
      </c>
      <c r="AN120"/>
      <c r="AO120" s="19" t="s">
        <v>1335</v>
      </c>
      <c r="AP120" s="19" t="s">
        <v>888</v>
      </c>
      <c r="AQ120" s="19" t="s">
        <v>889</v>
      </c>
      <c r="AR120" s="19" t="s">
        <v>1446</v>
      </c>
      <c r="AS120" s="21" t="s">
        <v>1447</v>
      </c>
      <c r="AT120" s="21" t="s">
        <v>1447</v>
      </c>
      <c r="AU120" s="19" t="s">
        <v>1448</v>
      </c>
      <c r="AV120" s="19" t="s">
        <v>1449</v>
      </c>
      <c r="AW120" s="19">
        <f>LEN(SUBSTITUTE(AV120, ", "," "))</f>
        <v>58</v>
      </c>
      <c r="AX120" s="21" t="s">
        <v>1340</v>
      </c>
      <c r="AY120" s="21" t="s">
        <v>1341</v>
      </c>
      <c r="AZ120" s="21" t="s">
        <v>1112</v>
      </c>
      <c r="BA120" s="19"/>
      <c r="BB120" s="19"/>
      <c r="BC120" s="21" t="s">
        <v>1413</v>
      </c>
      <c r="BD120" s="19"/>
      <c r="BE120" s="19"/>
      <c r="BF120" s="19"/>
      <c r="BG120" s="21" t="s">
        <v>835</v>
      </c>
      <c r="BH120" s="21" t="s">
        <v>1429</v>
      </c>
      <c r="BI120" s="19"/>
      <c r="BJ120" s="19"/>
      <c r="BK120" s="19"/>
      <c r="BL120" s="21" t="s">
        <v>1345</v>
      </c>
      <c r="BM120" s="21" t="s">
        <v>838</v>
      </c>
      <c r="BN120" s="21" t="s">
        <v>753</v>
      </c>
      <c r="BO120" s="19"/>
      <c r="BP120" s="19"/>
      <c r="BQ120" s="19" t="s">
        <v>1450</v>
      </c>
      <c r="BR120" s="19"/>
      <c r="BS120" s="19"/>
      <c r="BT120" s="19"/>
      <c r="BU120" s="19"/>
      <c r="BV120" s="19"/>
      <c r="BW120" s="19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1633</v>
      </c>
    </row>
    <row r="121" spans="1:110" ht="12" customHeight="1" x14ac:dyDescent="0.25">
      <c r="A121" s="15" t="s">
        <v>422</v>
      </c>
      <c r="B121" s="16" t="s">
        <v>40</v>
      </c>
      <c r="C121" s="16" t="s">
        <v>494</v>
      </c>
      <c r="D121" t="s">
        <v>198</v>
      </c>
      <c r="E121" s="19" t="s">
        <v>583</v>
      </c>
      <c r="F121" t="s">
        <v>198</v>
      </c>
      <c r="G121" s="19" t="s">
        <v>585</v>
      </c>
      <c r="H121" s="17" t="s">
        <v>84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127</v>
      </c>
      <c r="V121" s="16">
        <f>V120+1</f>
        <v>120</v>
      </c>
      <c r="W121" s="16" t="s">
        <v>67</v>
      </c>
      <c r="X121" s="16" t="s">
        <v>67</v>
      </c>
      <c r="Y121" s="19" t="s">
        <v>67</v>
      </c>
      <c r="Z121" s="18" t="s">
        <v>110</v>
      </c>
      <c r="AA121" s="16" t="s">
        <v>110</v>
      </c>
      <c r="AB121" s="20" t="s">
        <v>110</v>
      </c>
      <c r="AC121" s="19" t="s">
        <v>67</v>
      </c>
      <c r="AD121" s="20" t="s">
        <v>110</v>
      </c>
      <c r="AE121" s="20" t="s">
        <v>110</v>
      </c>
      <c r="AF121" s="19" t="s">
        <v>707</v>
      </c>
      <c r="AG121"/>
      <c r="AH121"/>
      <c r="AI121"/>
      <c r="AJ121" s="16" t="s">
        <v>441</v>
      </c>
      <c r="AK121"/>
      <c r="AL121" s="16">
        <v>4913</v>
      </c>
      <c r="AM121" s="16" t="s">
        <v>8</v>
      </c>
      <c r="AN121"/>
      <c r="AO121" s="19" t="s">
        <v>1335</v>
      </c>
      <c r="AP121" s="19" t="s">
        <v>888</v>
      </c>
      <c r="AQ121" s="19" t="s">
        <v>889</v>
      </c>
      <c r="AR121" s="19" t="s">
        <v>1451</v>
      </c>
      <c r="AS121" s="21" t="s">
        <v>1452</v>
      </c>
      <c r="AT121" s="21" t="s">
        <v>1452</v>
      </c>
      <c r="AU121" s="19" t="s">
        <v>1453</v>
      </c>
      <c r="AV121" s="19" t="s">
        <v>1454</v>
      </c>
      <c r="AW121" s="19">
        <f>LEN(SUBSTITUTE(AV121, ", "," "))</f>
        <v>58</v>
      </c>
      <c r="AX121" s="21" t="s">
        <v>1340</v>
      </c>
      <c r="AY121" s="21" t="s">
        <v>1341</v>
      </c>
      <c r="AZ121" s="21" t="s">
        <v>1112</v>
      </c>
      <c r="BA121" s="19"/>
      <c r="BB121" s="19"/>
      <c r="BC121" s="21" t="s">
        <v>1418</v>
      </c>
      <c r="BD121" s="19"/>
      <c r="BE121" s="19"/>
      <c r="BF121" s="19"/>
      <c r="BG121" s="21" t="s">
        <v>835</v>
      </c>
      <c r="BH121" s="21" t="s">
        <v>1429</v>
      </c>
      <c r="BI121" s="19"/>
      <c r="BJ121" s="19"/>
      <c r="BK121" s="19"/>
      <c r="BL121" s="21" t="s">
        <v>1345</v>
      </c>
      <c r="BM121" s="21" t="s">
        <v>838</v>
      </c>
      <c r="BN121" s="21" t="s">
        <v>753</v>
      </c>
      <c r="BO121" s="19"/>
      <c r="BP121" s="19"/>
      <c r="BQ121" s="19" t="s">
        <v>1455</v>
      </c>
      <c r="BR121" s="19"/>
      <c r="BS121" s="19"/>
      <c r="BT121" s="19"/>
      <c r="BU121" s="19"/>
      <c r="BV121" s="19"/>
      <c r="BW121" s="19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1633</v>
      </c>
    </row>
    <row r="122" spans="1:110" ht="12" customHeight="1" x14ac:dyDescent="0.25">
      <c r="A122" s="15" t="s">
        <v>422</v>
      </c>
      <c r="B122" s="16" t="s">
        <v>40</v>
      </c>
      <c r="C122" s="16" t="s">
        <v>494</v>
      </c>
      <c r="D122" t="s">
        <v>198</v>
      </c>
      <c r="E122" s="19" t="s">
        <v>583</v>
      </c>
      <c r="F122" t="s">
        <v>198</v>
      </c>
      <c r="G122" s="19" t="s">
        <v>585</v>
      </c>
      <c r="H122" s="17" t="s">
        <v>84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128</v>
      </c>
      <c r="V122" s="16">
        <f>V121+1</f>
        <v>121</v>
      </c>
      <c r="W122" s="16" t="s">
        <v>67</v>
      </c>
      <c r="X122" s="16" t="s">
        <v>67</v>
      </c>
      <c r="Y122" s="19" t="s">
        <v>67</v>
      </c>
      <c r="Z122" s="18" t="s">
        <v>161</v>
      </c>
      <c r="AA122" s="16" t="s">
        <v>161</v>
      </c>
      <c r="AB122" s="20" t="s">
        <v>161</v>
      </c>
      <c r="AC122" s="19" t="s">
        <v>67</v>
      </c>
      <c r="AD122" s="20" t="s">
        <v>161</v>
      </c>
      <c r="AE122" s="20" t="s">
        <v>161</v>
      </c>
      <c r="AF122" s="19" t="s">
        <v>708</v>
      </c>
      <c r="AG122"/>
      <c r="AH122"/>
      <c r="AI122"/>
      <c r="AJ122" s="16" t="s">
        <v>114</v>
      </c>
      <c r="AK122"/>
      <c r="AL122" s="16">
        <v>4913</v>
      </c>
      <c r="AM122" s="16" t="s">
        <v>205</v>
      </c>
      <c r="AN122"/>
      <c r="AO122" s="19" t="s">
        <v>1335</v>
      </c>
      <c r="AP122" s="19" t="s">
        <v>888</v>
      </c>
      <c r="AQ122" s="19" t="s">
        <v>889</v>
      </c>
      <c r="AR122" s="19" t="s">
        <v>1456</v>
      </c>
      <c r="AS122" s="21" t="s">
        <v>1457</v>
      </c>
      <c r="AT122" s="21" t="s">
        <v>1457</v>
      </c>
      <c r="AU122" s="19" t="s">
        <v>1458</v>
      </c>
      <c r="AV122" s="19" t="s">
        <v>1459</v>
      </c>
      <c r="AW122" s="19">
        <f>LEN(SUBSTITUTE(AV122, ", "," "))</f>
        <v>58</v>
      </c>
      <c r="AX122" s="21" t="s">
        <v>1340</v>
      </c>
      <c r="AY122" s="21" t="s">
        <v>1341</v>
      </c>
      <c r="AZ122" s="21" t="s">
        <v>1112</v>
      </c>
      <c r="BA122" s="19"/>
      <c r="BB122" s="19"/>
      <c r="BC122" s="21" t="s">
        <v>1423</v>
      </c>
      <c r="BD122" s="19"/>
      <c r="BE122" s="19"/>
      <c r="BF122" s="19"/>
      <c r="BG122" s="21" t="s">
        <v>835</v>
      </c>
      <c r="BH122" s="21" t="s">
        <v>1429</v>
      </c>
      <c r="BI122" s="19"/>
      <c r="BJ122" s="19"/>
      <c r="BK122" s="19"/>
      <c r="BL122" s="21" t="s">
        <v>1345</v>
      </c>
      <c r="BM122" s="21" t="s">
        <v>838</v>
      </c>
      <c r="BN122" s="21" t="s">
        <v>753</v>
      </c>
      <c r="BO122" s="19"/>
      <c r="BP122" s="19"/>
      <c r="BQ122" s="19" t="s">
        <v>1460</v>
      </c>
      <c r="BR122" s="19"/>
      <c r="BS122" s="19"/>
      <c r="BT122" s="19"/>
      <c r="BU122" s="19"/>
      <c r="BV122" s="19"/>
      <c r="BW122" s="19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1633</v>
      </c>
    </row>
    <row r="123" spans="1:110" ht="12" customHeight="1" x14ac:dyDescent="0.25">
      <c r="A123" s="15" t="s">
        <v>422</v>
      </c>
      <c r="B123" s="16" t="s">
        <v>40</v>
      </c>
      <c r="C123" s="16" t="s">
        <v>494</v>
      </c>
      <c r="D123" t="s">
        <v>198</v>
      </c>
      <c r="E123" s="19" t="s">
        <v>583</v>
      </c>
      <c r="F123" t="s">
        <v>198</v>
      </c>
      <c r="G123" s="19" t="s">
        <v>585</v>
      </c>
      <c r="H123" s="17" t="s">
        <v>84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129</v>
      </c>
      <c r="V123" s="16">
        <f>V122+1</f>
        <v>122</v>
      </c>
      <c r="W123" s="16" t="s">
        <v>67</v>
      </c>
      <c r="X123" s="16" t="s">
        <v>67</v>
      </c>
      <c r="Y123" s="19" t="s">
        <v>67</v>
      </c>
      <c r="Z123" s="18" t="s">
        <v>227</v>
      </c>
      <c r="AA123" s="16" t="s">
        <v>227</v>
      </c>
      <c r="AB123" s="20" t="s">
        <v>227</v>
      </c>
      <c r="AC123" s="19" t="s">
        <v>67</v>
      </c>
      <c r="AD123" s="20" t="s">
        <v>227</v>
      </c>
      <c r="AE123" s="20" t="s">
        <v>227</v>
      </c>
      <c r="AF123" s="19" t="s">
        <v>709</v>
      </c>
      <c r="AG123"/>
      <c r="AH123"/>
      <c r="AI123"/>
      <c r="AJ123" s="16" t="s">
        <v>301</v>
      </c>
      <c r="AK123"/>
      <c r="AL123" s="16">
        <v>4913</v>
      </c>
      <c r="AM123" s="16" t="s">
        <v>281</v>
      </c>
      <c r="AN123"/>
      <c r="AO123" s="19" t="s">
        <v>824</v>
      </c>
      <c r="AP123" s="19" t="s">
        <v>825</v>
      </c>
      <c r="AQ123" s="19" t="s">
        <v>826</v>
      </c>
      <c r="AR123" s="19" t="s">
        <v>1461</v>
      </c>
      <c r="AS123" s="21" t="s">
        <v>1462</v>
      </c>
      <c r="AT123" s="21" t="s">
        <v>1462</v>
      </c>
      <c r="AU123" s="19" t="s">
        <v>1463</v>
      </c>
      <c r="AV123" s="19" t="s">
        <v>1464</v>
      </c>
      <c r="AW123" s="19">
        <f>LEN(SUBSTITUTE(AV123, ", "," "))</f>
        <v>59</v>
      </c>
      <c r="AX123" s="21" t="s">
        <v>1465</v>
      </c>
      <c r="AY123" s="21" t="s">
        <v>832</v>
      </c>
      <c r="AZ123" s="21" t="s">
        <v>1237</v>
      </c>
      <c r="BA123" s="21" t="s">
        <v>1466</v>
      </c>
      <c r="BB123" s="19"/>
      <c r="BC123" s="21" t="s">
        <v>952</v>
      </c>
      <c r="BD123" s="21" t="s">
        <v>1467</v>
      </c>
      <c r="BE123" s="19"/>
      <c r="BF123" s="19"/>
      <c r="BG123" s="21" t="s">
        <v>835</v>
      </c>
      <c r="BH123" s="21" t="s">
        <v>1468</v>
      </c>
      <c r="BI123" s="19"/>
      <c r="BJ123" s="19"/>
      <c r="BK123" s="19"/>
      <c r="BL123" s="21" t="s">
        <v>751</v>
      </c>
      <c r="BM123" s="21" t="s">
        <v>838</v>
      </c>
      <c r="BN123" s="21" t="s">
        <v>753</v>
      </c>
      <c r="BO123" s="19"/>
      <c r="BP123" s="19"/>
      <c r="BQ123" s="19" t="s">
        <v>1469</v>
      </c>
      <c r="BR123" s="19"/>
      <c r="BS123" s="19"/>
      <c r="BT123" s="19"/>
      <c r="BU123" s="19"/>
      <c r="BV123" s="19"/>
      <c r="BW123" s="19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1633</v>
      </c>
    </row>
    <row r="124" spans="1:110" ht="12" customHeight="1" x14ac:dyDescent="0.25">
      <c r="A124" s="15" t="s">
        <v>422</v>
      </c>
      <c r="B124" s="16" t="s">
        <v>40</v>
      </c>
      <c r="C124" s="16" t="s">
        <v>494</v>
      </c>
      <c r="D124" t="s">
        <v>198</v>
      </c>
      <c r="E124" s="19" t="s">
        <v>583</v>
      </c>
      <c r="F124" t="s">
        <v>198</v>
      </c>
      <c r="G124" s="19" t="s">
        <v>585</v>
      </c>
      <c r="H124" s="17" t="s">
        <v>84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130</v>
      </c>
      <c r="V124" s="16">
        <f>V123+1</f>
        <v>123</v>
      </c>
      <c r="W124" s="16" t="s">
        <v>67</v>
      </c>
      <c r="X124" s="16" t="s">
        <v>67</v>
      </c>
      <c r="Y124" s="19" t="s">
        <v>67</v>
      </c>
      <c r="Z124" s="18" t="s">
        <v>59</v>
      </c>
      <c r="AA124" s="16" t="s">
        <v>59</v>
      </c>
      <c r="AB124" s="20" t="s">
        <v>59</v>
      </c>
      <c r="AC124" s="19" t="s">
        <v>67</v>
      </c>
      <c r="AD124" s="20" t="s">
        <v>59</v>
      </c>
      <c r="AE124" s="20" t="s">
        <v>59</v>
      </c>
      <c r="AF124" s="19" t="s">
        <v>710</v>
      </c>
      <c r="AG124"/>
      <c r="AH124"/>
      <c r="AI124"/>
      <c r="AJ124" s="16" t="s">
        <v>100</v>
      </c>
      <c r="AK124"/>
      <c r="AL124" s="16">
        <v>4913</v>
      </c>
      <c r="AM124" s="16" t="s">
        <v>436</v>
      </c>
      <c r="AN124"/>
      <c r="AO124" s="19" t="s">
        <v>824</v>
      </c>
      <c r="AP124" s="19" t="s">
        <v>825</v>
      </c>
      <c r="AQ124" s="19" t="s">
        <v>826</v>
      </c>
      <c r="AR124" s="19" t="s">
        <v>1470</v>
      </c>
      <c r="AS124" s="21" t="s">
        <v>1471</v>
      </c>
      <c r="AT124" s="21" t="s">
        <v>1471</v>
      </c>
      <c r="AU124" s="19" t="s">
        <v>1472</v>
      </c>
      <c r="AV124" s="19" t="s">
        <v>1473</v>
      </c>
      <c r="AW124" s="19">
        <f>LEN(SUBSTITUTE(AV124, ", "," "))</f>
        <v>57</v>
      </c>
      <c r="AX124" s="21" t="s">
        <v>1465</v>
      </c>
      <c r="AY124" s="21" t="s">
        <v>832</v>
      </c>
      <c r="AZ124" s="21" t="s">
        <v>1237</v>
      </c>
      <c r="BA124" s="21" t="s">
        <v>1466</v>
      </c>
      <c r="BB124" s="19"/>
      <c r="BC124" s="21" t="s">
        <v>952</v>
      </c>
      <c r="BD124" s="21" t="s">
        <v>1474</v>
      </c>
      <c r="BE124" s="19"/>
      <c r="BF124" s="19"/>
      <c r="BG124" s="21" t="s">
        <v>835</v>
      </c>
      <c r="BH124" s="21" t="s">
        <v>1475</v>
      </c>
      <c r="BI124" s="19"/>
      <c r="BJ124" s="19"/>
      <c r="BK124" s="19"/>
      <c r="BL124" s="21" t="s">
        <v>751</v>
      </c>
      <c r="BM124" s="21" t="s">
        <v>838</v>
      </c>
      <c r="BN124" s="21" t="s">
        <v>753</v>
      </c>
      <c r="BO124" s="19"/>
      <c r="BP124" s="19"/>
      <c r="BQ124" s="19" t="s">
        <v>1476</v>
      </c>
      <c r="BR124" s="19"/>
      <c r="BS124" s="19"/>
      <c r="BT124" s="19"/>
      <c r="BU124" s="19"/>
      <c r="BV124" s="19"/>
      <c r="BW124" s="19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1633</v>
      </c>
    </row>
    <row r="125" spans="1:110" ht="12" customHeight="1" x14ac:dyDescent="0.25">
      <c r="A125" s="15" t="s">
        <v>422</v>
      </c>
      <c r="B125" s="16" t="s">
        <v>40</v>
      </c>
      <c r="C125" s="16" t="s">
        <v>494</v>
      </c>
      <c r="D125" t="s">
        <v>198</v>
      </c>
      <c r="E125" s="19" t="s">
        <v>583</v>
      </c>
      <c r="F125" t="s">
        <v>198</v>
      </c>
      <c r="G125" s="19" t="s">
        <v>585</v>
      </c>
      <c r="H125" s="17" t="s">
        <v>84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131</v>
      </c>
      <c r="V125" s="16">
        <f>V124+1</f>
        <v>124</v>
      </c>
      <c r="W125" s="16" t="s">
        <v>67</v>
      </c>
      <c r="X125" s="16" t="s">
        <v>67</v>
      </c>
      <c r="Y125" s="19" t="s">
        <v>67</v>
      </c>
      <c r="Z125" s="18" t="s">
        <v>486</v>
      </c>
      <c r="AA125" s="16" t="s">
        <v>486</v>
      </c>
      <c r="AB125" s="20" t="s">
        <v>486</v>
      </c>
      <c r="AC125" s="19" t="s">
        <v>67</v>
      </c>
      <c r="AD125" s="20" t="s">
        <v>486</v>
      </c>
      <c r="AE125" s="20" t="s">
        <v>486</v>
      </c>
      <c r="AF125" s="19" t="s">
        <v>711</v>
      </c>
      <c r="AG125"/>
      <c r="AH125"/>
      <c r="AI125"/>
      <c r="AJ125" s="16" t="s">
        <v>112</v>
      </c>
      <c r="AK125"/>
      <c r="AL125" s="16">
        <v>4913</v>
      </c>
      <c r="AM125" s="16" t="s">
        <v>519</v>
      </c>
      <c r="AN125"/>
      <c r="AO125" s="19" t="s">
        <v>824</v>
      </c>
      <c r="AP125" s="19" t="s">
        <v>825</v>
      </c>
      <c r="AQ125" s="19" t="s">
        <v>826</v>
      </c>
      <c r="AR125" s="19" t="s">
        <v>1477</v>
      </c>
      <c r="AS125" s="21" t="s">
        <v>1478</v>
      </c>
      <c r="AT125" s="21" t="s">
        <v>1478</v>
      </c>
      <c r="AU125" s="19" t="s">
        <v>1479</v>
      </c>
      <c r="AV125" s="19" t="s">
        <v>1480</v>
      </c>
      <c r="AW125" s="19">
        <f>LEN(SUBSTITUTE(AV125, ", "," "))</f>
        <v>59</v>
      </c>
      <c r="AX125" s="21" t="s">
        <v>1465</v>
      </c>
      <c r="AY125" s="21" t="s">
        <v>832</v>
      </c>
      <c r="AZ125" s="21" t="s">
        <v>1237</v>
      </c>
      <c r="BA125" s="21" t="s">
        <v>1481</v>
      </c>
      <c r="BB125" s="19"/>
      <c r="BC125" s="21" t="s">
        <v>952</v>
      </c>
      <c r="BD125" s="21" t="s">
        <v>1467</v>
      </c>
      <c r="BE125" s="19"/>
      <c r="BF125" s="19"/>
      <c r="BG125" s="21" t="s">
        <v>835</v>
      </c>
      <c r="BH125" s="21" t="s">
        <v>1468</v>
      </c>
      <c r="BI125" s="19"/>
      <c r="BJ125" s="19"/>
      <c r="BK125" s="19"/>
      <c r="BL125" s="21" t="s">
        <v>751</v>
      </c>
      <c r="BM125" s="21" t="s">
        <v>838</v>
      </c>
      <c r="BN125" s="21" t="s">
        <v>753</v>
      </c>
      <c r="BO125" s="19"/>
      <c r="BP125" s="19"/>
      <c r="BQ125" s="19" t="s">
        <v>1482</v>
      </c>
      <c r="BR125" s="19"/>
      <c r="BS125" s="19"/>
      <c r="BT125" s="19"/>
      <c r="BU125" s="19"/>
      <c r="BV125" s="19"/>
      <c r="BW125" s="19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1633</v>
      </c>
    </row>
    <row r="126" spans="1:110" ht="12" customHeight="1" x14ac:dyDescent="0.25">
      <c r="A126" s="15" t="s">
        <v>422</v>
      </c>
      <c r="B126" s="16" t="s">
        <v>40</v>
      </c>
      <c r="C126" s="16" t="s">
        <v>494</v>
      </c>
      <c r="D126" t="s">
        <v>198</v>
      </c>
      <c r="E126" s="19" t="s">
        <v>583</v>
      </c>
      <c r="F126" t="s">
        <v>198</v>
      </c>
      <c r="G126" s="19" t="s">
        <v>585</v>
      </c>
      <c r="H126" s="17" t="s">
        <v>84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132</v>
      </c>
      <c r="V126" s="16">
        <f>V125+1</f>
        <v>125</v>
      </c>
      <c r="W126" s="16" t="s">
        <v>67</v>
      </c>
      <c r="X126" s="16" t="s">
        <v>67</v>
      </c>
      <c r="Y126" s="19" t="s">
        <v>67</v>
      </c>
      <c r="Z126" s="18" t="s">
        <v>485</v>
      </c>
      <c r="AA126" s="16" t="s">
        <v>485</v>
      </c>
      <c r="AB126" s="20" t="s">
        <v>485</v>
      </c>
      <c r="AC126" s="19" t="s">
        <v>67</v>
      </c>
      <c r="AD126" s="20" t="s">
        <v>485</v>
      </c>
      <c r="AE126" s="20" t="s">
        <v>485</v>
      </c>
      <c r="AF126" s="19" t="s">
        <v>712</v>
      </c>
      <c r="AG126"/>
      <c r="AH126"/>
      <c r="AI126"/>
      <c r="AJ126" s="16" t="s">
        <v>406</v>
      </c>
      <c r="AK126"/>
      <c r="AL126" s="16">
        <v>4913</v>
      </c>
      <c r="AM126" s="16" t="s">
        <v>351</v>
      </c>
      <c r="AN126"/>
      <c r="AO126" s="19" t="s">
        <v>824</v>
      </c>
      <c r="AP126" s="19" t="s">
        <v>825</v>
      </c>
      <c r="AQ126" s="19" t="s">
        <v>826</v>
      </c>
      <c r="AR126" s="19" t="s">
        <v>1483</v>
      </c>
      <c r="AS126" s="21" t="s">
        <v>1484</v>
      </c>
      <c r="AT126" s="21" t="s">
        <v>1484</v>
      </c>
      <c r="AU126" s="19" t="s">
        <v>1485</v>
      </c>
      <c r="AV126" s="19" t="s">
        <v>1486</v>
      </c>
      <c r="AW126" s="19">
        <f>LEN(SUBSTITUTE(AV126, ", "," "))</f>
        <v>57</v>
      </c>
      <c r="AX126" s="21" t="s">
        <v>1465</v>
      </c>
      <c r="AY126" s="21" t="s">
        <v>832</v>
      </c>
      <c r="AZ126" s="21" t="s">
        <v>1237</v>
      </c>
      <c r="BA126" s="21" t="s">
        <v>1481</v>
      </c>
      <c r="BB126" s="19"/>
      <c r="BC126" s="21" t="s">
        <v>952</v>
      </c>
      <c r="BD126" s="21" t="s">
        <v>1474</v>
      </c>
      <c r="BE126" s="19"/>
      <c r="BF126" s="19"/>
      <c r="BG126" s="21" t="s">
        <v>835</v>
      </c>
      <c r="BH126" s="21" t="s">
        <v>1475</v>
      </c>
      <c r="BI126" s="19"/>
      <c r="BJ126" s="19"/>
      <c r="BK126" s="19"/>
      <c r="BL126" s="21" t="s">
        <v>751</v>
      </c>
      <c r="BM126" s="21" t="s">
        <v>838</v>
      </c>
      <c r="BN126" s="21" t="s">
        <v>753</v>
      </c>
      <c r="BO126" s="19"/>
      <c r="BP126" s="19"/>
      <c r="BQ126" s="19" t="s">
        <v>1487</v>
      </c>
      <c r="BR126" s="19"/>
      <c r="BS126" s="19"/>
      <c r="BT126" s="19"/>
      <c r="BU126" s="19"/>
      <c r="BV126" s="19"/>
      <c r="BW126" s="19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1633</v>
      </c>
    </row>
    <row r="127" spans="1:110" ht="12" customHeight="1" x14ac:dyDescent="0.25">
      <c r="A127" s="15" t="s">
        <v>422</v>
      </c>
      <c r="B127" s="16" t="s">
        <v>40</v>
      </c>
      <c r="C127" s="16" t="s">
        <v>494</v>
      </c>
      <c r="D127" t="s">
        <v>198</v>
      </c>
      <c r="E127" s="19" t="s">
        <v>583</v>
      </c>
      <c r="F127" t="s">
        <v>198</v>
      </c>
      <c r="G127" s="19" t="s">
        <v>585</v>
      </c>
      <c r="H127" s="17" t="s">
        <v>84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133</v>
      </c>
      <c r="V127" s="16">
        <f>V126+1</f>
        <v>126</v>
      </c>
      <c r="W127" s="16" t="s">
        <v>67</v>
      </c>
      <c r="X127" s="16" t="s">
        <v>67</v>
      </c>
      <c r="Y127" s="19" t="s">
        <v>67</v>
      </c>
      <c r="Z127" s="18" t="s">
        <v>217</v>
      </c>
      <c r="AA127" s="16" t="s">
        <v>217</v>
      </c>
      <c r="AB127" s="20" t="s">
        <v>217</v>
      </c>
      <c r="AC127" s="19" t="s">
        <v>67</v>
      </c>
      <c r="AD127" s="20" t="s">
        <v>217</v>
      </c>
      <c r="AE127" s="20" t="s">
        <v>217</v>
      </c>
      <c r="AF127" s="19" t="s">
        <v>713</v>
      </c>
      <c r="AG127"/>
      <c r="AH127"/>
      <c r="AI127"/>
      <c r="AJ127" s="16" t="s">
        <v>346</v>
      </c>
      <c r="AK127"/>
      <c r="AL127" s="16">
        <v>4913</v>
      </c>
      <c r="AM127" s="16" t="s">
        <v>1</v>
      </c>
      <c r="AN127"/>
      <c r="AO127" s="19" t="s">
        <v>824</v>
      </c>
      <c r="AP127" s="19" t="s">
        <v>825</v>
      </c>
      <c r="AQ127" s="19" t="s">
        <v>826</v>
      </c>
      <c r="AR127" s="19" t="s">
        <v>1488</v>
      </c>
      <c r="AS127" s="21" t="s">
        <v>1489</v>
      </c>
      <c r="AT127" s="21" t="s">
        <v>1489</v>
      </c>
      <c r="AU127" s="19" t="s">
        <v>1490</v>
      </c>
      <c r="AV127" s="19" t="s">
        <v>1491</v>
      </c>
      <c r="AW127" s="19">
        <f>LEN(SUBSTITUTE(AV127, ", "," "))</f>
        <v>60</v>
      </c>
      <c r="AX127" s="21" t="s">
        <v>1465</v>
      </c>
      <c r="AY127" s="21" t="s">
        <v>832</v>
      </c>
      <c r="AZ127" s="21" t="s">
        <v>1237</v>
      </c>
      <c r="BA127" s="21" t="s">
        <v>1492</v>
      </c>
      <c r="BB127" s="19"/>
      <c r="BC127" s="21" t="s">
        <v>952</v>
      </c>
      <c r="BD127" s="21" t="s">
        <v>1467</v>
      </c>
      <c r="BE127" s="19"/>
      <c r="BF127" s="19"/>
      <c r="BG127" s="21" t="s">
        <v>835</v>
      </c>
      <c r="BH127" s="21" t="s">
        <v>1468</v>
      </c>
      <c r="BI127" s="19"/>
      <c r="BJ127" s="19"/>
      <c r="BK127" s="19"/>
      <c r="BL127" s="21" t="s">
        <v>751</v>
      </c>
      <c r="BM127" s="21" t="s">
        <v>838</v>
      </c>
      <c r="BN127" s="21" t="s">
        <v>753</v>
      </c>
      <c r="BO127" s="19"/>
      <c r="BP127" s="19"/>
      <c r="BQ127" s="19" t="s">
        <v>1493</v>
      </c>
      <c r="BR127" s="19"/>
      <c r="BS127" s="19"/>
      <c r="BT127" s="19"/>
      <c r="BU127" s="19"/>
      <c r="BV127" s="19"/>
      <c r="BW127" s="19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1633</v>
      </c>
    </row>
    <row r="128" spans="1:110" ht="12" customHeight="1" x14ac:dyDescent="0.25">
      <c r="A128" s="15" t="s">
        <v>422</v>
      </c>
      <c r="B128" s="16" t="s">
        <v>40</v>
      </c>
      <c r="C128" s="16" t="s">
        <v>494</v>
      </c>
      <c r="D128" t="s">
        <v>198</v>
      </c>
      <c r="E128" s="19" t="s">
        <v>583</v>
      </c>
      <c r="F128" t="s">
        <v>198</v>
      </c>
      <c r="G128" s="19" t="s">
        <v>585</v>
      </c>
      <c r="H128" s="17" t="s">
        <v>84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134</v>
      </c>
      <c r="V128" s="16">
        <f>V127+1</f>
        <v>127</v>
      </c>
      <c r="W128" s="16" t="s">
        <v>67</v>
      </c>
      <c r="X128" s="16" t="s">
        <v>67</v>
      </c>
      <c r="Y128" s="19" t="s">
        <v>67</v>
      </c>
      <c r="Z128" s="18" t="s">
        <v>208</v>
      </c>
      <c r="AA128" s="16" t="s">
        <v>208</v>
      </c>
      <c r="AB128" s="20" t="s">
        <v>208</v>
      </c>
      <c r="AC128" s="19" t="s">
        <v>67</v>
      </c>
      <c r="AD128" s="20" t="s">
        <v>208</v>
      </c>
      <c r="AE128" s="20" t="s">
        <v>208</v>
      </c>
      <c r="AF128" s="19" t="s">
        <v>714</v>
      </c>
      <c r="AG128"/>
      <c r="AH128"/>
      <c r="AI128"/>
      <c r="AJ128" s="16" t="s">
        <v>454</v>
      </c>
      <c r="AK128"/>
      <c r="AL128" s="16">
        <v>4913</v>
      </c>
      <c r="AM128" s="16" t="s">
        <v>94</v>
      </c>
      <c r="AN128"/>
      <c r="AO128" s="19" t="s">
        <v>824</v>
      </c>
      <c r="AP128" s="19" t="s">
        <v>825</v>
      </c>
      <c r="AQ128" s="19" t="s">
        <v>826</v>
      </c>
      <c r="AR128" s="19" t="s">
        <v>1494</v>
      </c>
      <c r="AS128" s="21" t="s">
        <v>1495</v>
      </c>
      <c r="AT128" s="21" t="s">
        <v>1495</v>
      </c>
      <c r="AU128" s="19" t="s">
        <v>1496</v>
      </c>
      <c r="AV128" s="19" t="s">
        <v>1497</v>
      </c>
      <c r="AW128" s="19">
        <f>LEN(SUBSTITUTE(AV128, ", "," "))</f>
        <v>58</v>
      </c>
      <c r="AX128" s="21" t="s">
        <v>1465</v>
      </c>
      <c r="AY128" s="21" t="s">
        <v>832</v>
      </c>
      <c r="AZ128" s="21" t="s">
        <v>1237</v>
      </c>
      <c r="BA128" s="21" t="s">
        <v>1492</v>
      </c>
      <c r="BB128" s="19"/>
      <c r="BC128" s="21" t="s">
        <v>952</v>
      </c>
      <c r="BD128" s="21" t="s">
        <v>1474</v>
      </c>
      <c r="BE128" s="19"/>
      <c r="BF128" s="19"/>
      <c r="BG128" s="21" t="s">
        <v>835</v>
      </c>
      <c r="BH128" s="21" t="s">
        <v>1475</v>
      </c>
      <c r="BI128" s="19"/>
      <c r="BJ128" s="19"/>
      <c r="BK128" s="19"/>
      <c r="BL128" s="21" t="s">
        <v>751</v>
      </c>
      <c r="BM128" s="21" t="s">
        <v>838</v>
      </c>
      <c r="BN128" s="21" t="s">
        <v>753</v>
      </c>
      <c r="BO128" s="19"/>
      <c r="BP128" s="19"/>
      <c r="BQ128" s="19" t="s">
        <v>1498</v>
      </c>
      <c r="BR128" s="19"/>
      <c r="BS128" s="19"/>
      <c r="BT128" s="19"/>
      <c r="BU128" s="19"/>
      <c r="BV128" s="19"/>
      <c r="BW128" s="19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1633</v>
      </c>
    </row>
    <row r="129" spans="1:110" ht="12" customHeight="1" x14ac:dyDescent="0.25">
      <c r="A129" s="15" t="s">
        <v>422</v>
      </c>
      <c r="B129" s="16" t="s">
        <v>40</v>
      </c>
      <c r="C129" s="16" t="s">
        <v>494</v>
      </c>
      <c r="D129" t="s">
        <v>198</v>
      </c>
      <c r="E129" s="19" t="s">
        <v>583</v>
      </c>
      <c r="F129" t="s">
        <v>198</v>
      </c>
      <c r="G129" s="19" t="s">
        <v>585</v>
      </c>
      <c r="H129" s="17" t="s">
        <v>84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135</v>
      </c>
      <c r="V129" s="16">
        <f>V128+1</f>
        <v>128</v>
      </c>
      <c r="W129" s="16" t="s">
        <v>67</v>
      </c>
      <c r="X129" s="16" t="s">
        <v>67</v>
      </c>
      <c r="Y129" s="19" t="s">
        <v>67</v>
      </c>
      <c r="Z129" s="18" t="s">
        <v>507</v>
      </c>
      <c r="AA129" s="16" t="s">
        <v>507</v>
      </c>
      <c r="AB129" s="20" t="s">
        <v>507</v>
      </c>
      <c r="AC129" s="19" t="s">
        <v>67</v>
      </c>
      <c r="AD129" s="20" t="s">
        <v>507</v>
      </c>
      <c r="AE129" s="20" t="s">
        <v>507</v>
      </c>
      <c r="AF129" s="19" t="s">
        <v>715</v>
      </c>
      <c r="AG129"/>
      <c r="AH129"/>
      <c r="AI129"/>
      <c r="AJ129" s="16" t="s">
        <v>83</v>
      </c>
      <c r="AK129"/>
      <c r="AL129" s="16">
        <v>4913</v>
      </c>
      <c r="AM129" s="16" t="s">
        <v>182</v>
      </c>
      <c r="AN129"/>
      <c r="AO129" s="19" t="s">
        <v>824</v>
      </c>
      <c r="AP129" s="19" t="s">
        <v>825</v>
      </c>
      <c r="AQ129" s="19" t="s">
        <v>826</v>
      </c>
      <c r="AR129" s="19" t="s">
        <v>1499</v>
      </c>
      <c r="AS129" s="21" t="s">
        <v>1500</v>
      </c>
      <c r="AT129" s="21" t="s">
        <v>1500</v>
      </c>
      <c r="AU129" s="19" t="s">
        <v>1501</v>
      </c>
      <c r="AV129" s="19" t="s">
        <v>1502</v>
      </c>
      <c r="AW129" s="19">
        <f>LEN(SUBSTITUTE(AV129, ", "," "))</f>
        <v>60</v>
      </c>
      <c r="AX129" s="21" t="s">
        <v>1465</v>
      </c>
      <c r="AY129" s="21" t="s">
        <v>832</v>
      </c>
      <c r="AZ129" s="21" t="s">
        <v>1237</v>
      </c>
      <c r="BA129" s="21" t="s">
        <v>1503</v>
      </c>
      <c r="BB129" s="19"/>
      <c r="BC129" s="21" t="s">
        <v>952</v>
      </c>
      <c r="BD129" s="21" t="s">
        <v>1467</v>
      </c>
      <c r="BE129" s="19"/>
      <c r="BF129" s="19"/>
      <c r="BG129" s="21" t="s">
        <v>835</v>
      </c>
      <c r="BH129" s="21" t="s">
        <v>1468</v>
      </c>
      <c r="BI129" s="19"/>
      <c r="BJ129" s="19"/>
      <c r="BK129" s="19"/>
      <c r="BL129" s="21" t="s">
        <v>751</v>
      </c>
      <c r="BM129" s="21" t="s">
        <v>838</v>
      </c>
      <c r="BN129" s="21" t="s">
        <v>753</v>
      </c>
      <c r="BO129" s="19"/>
      <c r="BP129" s="19"/>
      <c r="BQ129" s="19" t="s">
        <v>1504</v>
      </c>
      <c r="BR129" s="19"/>
      <c r="BS129" s="19"/>
      <c r="BT129" s="19"/>
      <c r="BU129" s="19"/>
      <c r="BV129" s="19"/>
      <c r="BW129" s="1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1633</v>
      </c>
    </row>
    <row r="130" spans="1:110" ht="12" customHeight="1" x14ac:dyDescent="0.25">
      <c r="A130" s="15" t="s">
        <v>422</v>
      </c>
      <c r="B130" s="16" t="s">
        <v>40</v>
      </c>
      <c r="C130" s="16" t="s">
        <v>494</v>
      </c>
      <c r="D130" t="s">
        <v>198</v>
      </c>
      <c r="E130" s="19" t="s">
        <v>583</v>
      </c>
      <c r="F130" t="s">
        <v>198</v>
      </c>
      <c r="G130" s="19" t="s">
        <v>585</v>
      </c>
      <c r="H130" s="17" t="s">
        <v>84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136</v>
      </c>
      <c r="V130" s="16">
        <f>V129+1</f>
        <v>129</v>
      </c>
      <c r="W130" s="16" t="s">
        <v>67</v>
      </c>
      <c r="X130" s="16" t="s">
        <v>67</v>
      </c>
      <c r="Y130" s="19" t="s">
        <v>67</v>
      </c>
      <c r="Z130" s="18" t="s">
        <v>506</v>
      </c>
      <c r="AA130" s="16" t="s">
        <v>506</v>
      </c>
      <c r="AB130" s="20" t="s">
        <v>506</v>
      </c>
      <c r="AC130" s="19" t="s">
        <v>67</v>
      </c>
      <c r="AD130" s="20" t="s">
        <v>506</v>
      </c>
      <c r="AE130" s="20" t="s">
        <v>506</v>
      </c>
      <c r="AF130" s="19" t="s">
        <v>716</v>
      </c>
      <c r="AG130"/>
      <c r="AH130"/>
      <c r="AI130"/>
      <c r="AJ130" s="16" t="s">
        <v>438</v>
      </c>
      <c r="AK130"/>
      <c r="AL130" s="16">
        <v>4913</v>
      </c>
      <c r="AM130" s="16" t="s">
        <v>548</v>
      </c>
      <c r="AN130"/>
      <c r="AO130" s="19" t="s">
        <v>824</v>
      </c>
      <c r="AP130" s="19" t="s">
        <v>825</v>
      </c>
      <c r="AQ130" s="19" t="s">
        <v>826</v>
      </c>
      <c r="AR130" s="19" t="s">
        <v>1505</v>
      </c>
      <c r="AS130" s="21" t="s">
        <v>1506</v>
      </c>
      <c r="AT130" s="21" t="s">
        <v>1506</v>
      </c>
      <c r="AU130" s="19" t="s">
        <v>1507</v>
      </c>
      <c r="AV130" s="19" t="s">
        <v>1508</v>
      </c>
      <c r="AW130" s="19">
        <f>LEN(SUBSTITUTE(AV130, ", "," "))</f>
        <v>58</v>
      </c>
      <c r="AX130" s="21" t="s">
        <v>1465</v>
      </c>
      <c r="AY130" s="21" t="s">
        <v>832</v>
      </c>
      <c r="AZ130" s="21" t="s">
        <v>1237</v>
      </c>
      <c r="BA130" s="21" t="s">
        <v>1503</v>
      </c>
      <c r="BB130" s="19"/>
      <c r="BC130" s="21" t="s">
        <v>952</v>
      </c>
      <c r="BD130" s="21" t="s">
        <v>1474</v>
      </c>
      <c r="BE130" s="19"/>
      <c r="BF130" s="19"/>
      <c r="BG130" s="21" t="s">
        <v>835</v>
      </c>
      <c r="BH130" s="21" t="s">
        <v>1475</v>
      </c>
      <c r="BI130" s="19"/>
      <c r="BJ130" s="19"/>
      <c r="BK130" s="19"/>
      <c r="BL130" s="21" t="s">
        <v>751</v>
      </c>
      <c r="BM130" s="21" t="s">
        <v>838</v>
      </c>
      <c r="BN130" s="21" t="s">
        <v>753</v>
      </c>
      <c r="BO130" s="19"/>
      <c r="BP130" s="19"/>
      <c r="BQ130" s="19" t="s">
        <v>1509</v>
      </c>
      <c r="BR130" s="19"/>
      <c r="BS130" s="19"/>
      <c r="BT130" s="19"/>
      <c r="BU130" s="19"/>
      <c r="BV130" s="19"/>
      <c r="BW130" s="19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1633</v>
      </c>
    </row>
    <row r="131" spans="1:110" ht="12" customHeight="1" x14ac:dyDescent="0.25">
      <c r="A131" s="15" t="s">
        <v>422</v>
      </c>
      <c r="B131" s="16" t="s">
        <v>40</v>
      </c>
      <c r="C131" s="16" t="s">
        <v>494</v>
      </c>
      <c r="D131" t="s">
        <v>198</v>
      </c>
      <c r="E131" s="19" t="s">
        <v>583</v>
      </c>
      <c r="F131" t="s">
        <v>198</v>
      </c>
      <c r="G131" s="19" t="s">
        <v>585</v>
      </c>
      <c r="H131" s="17" t="s">
        <v>84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137</v>
      </c>
      <c r="V131" s="16">
        <f>V130+1</f>
        <v>130</v>
      </c>
      <c r="W131" s="16" t="s">
        <v>67</v>
      </c>
      <c r="X131" s="16" t="s">
        <v>67</v>
      </c>
      <c r="Y131" s="19" t="s">
        <v>67</v>
      </c>
      <c r="Z131" s="18" t="s">
        <v>86</v>
      </c>
      <c r="AA131" s="16" t="s">
        <v>86</v>
      </c>
      <c r="AB131" s="20" t="s">
        <v>86</v>
      </c>
      <c r="AC131" s="19" t="s">
        <v>67</v>
      </c>
      <c r="AD131" s="20" t="s">
        <v>86</v>
      </c>
      <c r="AE131" s="20" t="s">
        <v>86</v>
      </c>
      <c r="AF131" s="19" t="s">
        <v>717</v>
      </c>
      <c r="AG131"/>
      <c r="AH131"/>
      <c r="AI131"/>
      <c r="AJ131" s="16" t="s">
        <v>510</v>
      </c>
      <c r="AK131"/>
      <c r="AL131" s="16">
        <v>4913</v>
      </c>
      <c r="AM131" s="16" t="s">
        <v>9</v>
      </c>
      <c r="AN131"/>
      <c r="AO131" s="19" t="s">
        <v>824</v>
      </c>
      <c r="AP131" s="19" t="s">
        <v>825</v>
      </c>
      <c r="AQ131" s="19" t="s">
        <v>826</v>
      </c>
      <c r="AR131" s="19" t="s">
        <v>1510</v>
      </c>
      <c r="AS131" s="21" t="s">
        <v>1511</v>
      </c>
      <c r="AT131" s="21" t="s">
        <v>1511</v>
      </c>
      <c r="AU131" s="19" t="s">
        <v>1512</v>
      </c>
      <c r="AV131" s="19" t="s">
        <v>1513</v>
      </c>
      <c r="AW131" s="19">
        <f>LEN(SUBSTITUTE(AV131, ", "," "))</f>
        <v>60</v>
      </c>
      <c r="AX131" s="21" t="s">
        <v>1465</v>
      </c>
      <c r="AY131" s="21" t="s">
        <v>832</v>
      </c>
      <c r="AZ131" s="21" t="s">
        <v>1237</v>
      </c>
      <c r="BA131" s="21" t="s">
        <v>1514</v>
      </c>
      <c r="BB131" s="19"/>
      <c r="BC131" s="21" t="s">
        <v>963</v>
      </c>
      <c r="BD131" s="21" t="s">
        <v>1467</v>
      </c>
      <c r="BE131" s="19"/>
      <c r="BF131" s="19"/>
      <c r="BG131" s="21" t="s">
        <v>835</v>
      </c>
      <c r="BH131" s="21" t="s">
        <v>1468</v>
      </c>
      <c r="BI131" s="19"/>
      <c r="BJ131" s="19"/>
      <c r="BK131" s="19"/>
      <c r="BL131" s="21" t="s">
        <v>751</v>
      </c>
      <c r="BM131" s="21" t="s">
        <v>838</v>
      </c>
      <c r="BN131" s="21" t="s">
        <v>753</v>
      </c>
      <c r="BO131" s="19"/>
      <c r="BP131" s="19"/>
      <c r="BQ131" s="19" t="s">
        <v>1515</v>
      </c>
      <c r="BR131" s="19"/>
      <c r="BS131" s="19"/>
      <c r="BT131" s="19"/>
      <c r="BU131" s="19"/>
      <c r="BV131" s="19"/>
      <c r="BW131" s="19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1633</v>
      </c>
    </row>
    <row r="132" spans="1:110" ht="12" customHeight="1" x14ac:dyDescent="0.25">
      <c r="A132" s="15" t="s">
        <v>422</v>
      </c>
      <c r="B132" s="16" t="s">
        <v>40</v>
      </c>
      <c r="C132" s="16" t="s">
        <v>494</v>
      </c>
      <c r="D132" t="s">
        <v>198</v>
      </c>
      <c r="E132" s="19" t="s">
        <v>583</v>
      </c>
      <c r="F132" t="s">
        <v>198</v>
      </c>
      <c r="G132" s="19" t="s">
        <v>585</v>
      </c>
      <c r="H132" s="17" t="s">
        <v>84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138</v>
      </c>
      <c r="V132" s="16">
        <f>V131+1</f>
        <v>131</v>
      </c>
      <c r="W132" s="16" t="s">
        <v>67</v>
      </c>
      <c r="X132" s="16" t="s">
        <v>67</v>
      </c>
      <c r="Y132" s="19" t="s">
        <v>67</v>
      </c>
      <c r="Z132" s="18" t="s">
        <v>174</v>
      </c>
      <c r="AA132" s="16" t="s">
        <v>174</v>
      </c>
      <c r="AB132" s="20" t="s">
        <v>174</v>
      </c>
      <c r="AC132" s="19" t="s">
        <v>67</v>
      </c>
      <c r="AD132" s="20" t="s">
        <v>174</v>
      </c>
      <c r="AE132" s="20" t="s">
        <v>174</v>
      </c>
      <c r="AF132" s="19" t="s">
        <v>718</v>
      </c>
      <c r="AG132"/>
      <c r="AH132"/>
      <c r="AI132"/>
      <c r="AJ132" s="16" t="s">
        <v>299</v>
      </c>
      <c r="AK132"/>
      <c r="AL132" s="16">
        <v>4913</v>
      </c>
      <c r="AM132" s="16" t="s">
        <v>24</v>
      </c>
      <c r="AN132"/>
      <c r="AO132" s="19" t="s">
        <v>824</v>
      </c>
      <c r="AP132" s="19" t="s">
        <v>825</v>
      </c>
      <c r="AQ132" s="19" t="s">
        <v>826</v>
      </c>
      <c r="AR132" s="19" t="s">
        <v>1516</v>
      </c>
      <c r="AS132" s="21" t="s">
        <v>1517</v>
      </c>
      <c r="AT132" s="21" t="s">
        <v>1517</v>
      </c>
      <c r="AU132" s="19" t="s">
        <v>1518</v>
      </c>
      <c r="AV132" s="19" t="s">
        <v>1519</v>
      </c>
      <c r="AW132" s="19">
        <f>LEN(SUBSTITUTE(AV132, ", "," "))</f>
        <v>58</v>
      </c>
      <c r="AX132" s="21" t="s">
        <v>1465</v>
      </c>
      <c r="AY132" s="21" t="s">
        <v>832</v>
      </c>
      <c r="AZ132" s="21" t="s">
        <v>1237</v>
      </c>
      <c r="BA132" s="21" t="s">
        <v>1514</v>
      </c>
      <c r="BB132" s="19"/>
      <c r="BC132" s="21" t="s">
        <v>963</v>
      </c>
      <c r="BD132" s="21" t="s">
        <v>1474</v>
      </c>
      <c r="BE132" s="19"/>
      <c r="BF132" s="19"/>
      <c r="BG132" s="21" t="s">
        <v>835</v>
      </c>
      <c r="BH132" s="21" t="s">
        <v>1475</v>
      </c>
      <c r="BI132" s="19"/>
      <c r="BJ132" s="19"/>
      <c r="BK132" s="19"/>
      <c r="BL132" s="21" t="s">
        <v>751</v>
      </c>
      <c r="BM132" s="21" t="s">
        <v>838</v>
      </c>
      <c r="BN132" s="21" t="s">
        <v>753</v>
      </c>
      <c r="BO132" s="19"/>
      <c r="BP132" s="19"/>
      <c r="BQ132" s="19" t="s">
        <v>1520</v>
      </c>
      <c r="BR132" s="19"/>
      <c r="BS132" s="19"/>
      <c r="BT132" s="19"/>
      <c r="BU132" s="19"/>
      <c r="BV132" s="19"/>
      <c r="BW132" s="19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1633</v>
      </c>
    </row>
    <row r="133" spans="1:110" ht="12" customHeight="1" x14ac:dyDescent="0.25">
      <c r="A133" s="15" t="s">
        <v>422</v>
      </c>
      <c r="B133" s="16" t="s">
        <v>40</v>
      </c>
      <c r="C133" s="16" t="s">
        <v>494</v>
      </c>
      <c r="D133" t="s">
        <v>198</v>
      </c>
      <c r="E133" s="19" t="s">
        <v>583</v>
      </c>
      <c r="F133" t="s">
        <v>198</v>
      </c>
      <c r="G133" s="19" t="s">
        <v>585</v>
      </c>
      <c r="H133" s="17" t="s">
        <v>84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139</v>
      </c>
      <c r="V133" s="16">
        <f>V132+1</f>
        <v>132</v>
      </c>
      <c r="W133" s="16" t="s">
        <v>67</v>
      </c>
      <c r="X133" s="16" t="s">
        <v>67</v>
      </c>
      <c r="Y133" s="19" t="s">
        <v>67</v>
      </c>
      <c r="Z133" s="18" t="s">
        <v>302</v>
      </c>
      <c r="AA133" s="16" t="s">
        <v>302</v>
      </c>
      <c r="AB133" s="20" t="s">
        <v>302</v>
      </c>
      <c r="AC133" s="19" t="s">
        <v>67</v>
      </c>
      <c r="AD133" s="20" t="s">
        <v>302</v>
      </c>
      <c r="AE133" s="20" t="s">
        <v>302</v>
      </c>
      <c r="AF133" s="19" t="s">
        <v>719</v>
      </c>
      <c r="AG133"/>
      <c r="AH133"/>
      <c r="AI133"/>
      <c r="AJ133" s="16" t="s">
        <v>412</v>
      </c>
      <c r="AK133"/>
      <c r="AL133" s="16">
        <v>4913</v>
      </c>
      <c r="AM133" s="16" t="s">
        <v>551</v>
      </c>
      <c r="AN133"/>
      <c r="AO133" s="19" t="s">
        <v>824</v>
      </c>
      <c r="AP133" s="19" t="s">
        <v>825</v>
      </c>
      <c r="AQ133" s="19" t="s">
        <v>826</v>
      </c>
      <c r="AR133" s="19" t="s">
        <v>1521</v>
      </c>
      <c r="AS133" s="21" t="s">
        <v>1522</v>
      </c>
      <c r="AT133" s="21" t="s">
        <v>1522</v>
      </c>
      <c r="AU133" s="19" t="s">
        <v>1523</v>
      </c>
      <c r="AV133" s="19" t="s">
        <v>1524</v>
      </c>
      <c r="AW133" s="19">
        <f>LEN(SUBSTITUTE(AV133, ", "," "))</f>
        <v>60</v>
      </c>
      <c r="AX133" s="21" t="s">
        <v>1465</v>
      </c>
      <c r="AY133" s="21" t="s">
        <v>832</v>
      </c>
      <c r="AZ133" s="21" t="s">
        <v>1237</v>
      </c>
      <c r="BA133" s="21" t="s">
        <v>1525</v>
      </c>
      <c r="BB133" s="19"/>
      <c r="BC133" s="21" t="s">
        <v>963</v>
      </c>
      <c r="BD133" s="21" t="s">
        <v>1467</v>
      </c>
      <c r="BE133" s="19"/>
      <c r="BF133" s="19"/>
      <c r="BG133" s="21" t="s">
        <v>835</v>
      </c>
      <c r="BH133" s="21" t="s">
        <v>1468</v>
      </c>
      <c r="BI133" s="19"/>
      <c r="BJ133" s="19"/>
      <c r="BK133" s="19"/>
      <c r="BL133" s="21" t="s">
        <v>751</v>
      </c>
      <c r="BM133" s="21" t="s">
        <v>838</v>
      </c>
      <c r="BN133" s="21" t="s">
        <v>753</v>
      </c>
      <c r="BO133" s="19"/>
      <c r="BP133" s="19"/>
      <c r="BQ133" s="19" t="s">
        <v>1526</v>
      </c>
      <c r="BR133" s="19"/>
      <c r="BS133" s="19"/>
      <c r="BT133" s="19"/>
      <c r="BU133" s="19"/>
      <c r="BV133" s="19"/>
      <c r="BW133" s="19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1633</v>
      </c>
    </row>
    <row r="134" spans="1:110" ht="12" customHeight="1" x14ac:dyDescent="0.25">
      <c r="A134" s="15" t="s">
        <v>422</v>
      </c>
      <c r="B134" s="16" t="s">
        <v>40</v>
      </c>
      <c r="C134" s="16" t="s">
        <v>494</v>
      </c>
      <c r="D134" t="s">
        <v>198</v>
      </c>
      <c r="E134" s="19" t="s">
        <v>583</v>
      </c>
      <c r="F134" t="s">
        <v>198</v>
      </c>
      <c r="G134" s="19" t="s">
        <v>585</v>
      </c>
      <c r="H134" s="17" t="s">
        <v>84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140</v>
      </c>
      <c r="V134" s="16">
        <f>V133+1</f>
        <v>133</v>
      </c>
      <c r="W134" s="16" t="s">
        <v>67</v>
      </c>
      <c r="X134" s="16" t="s">
        <v>67</v>
      </c>
      <c r="Y134" s="19" t="s">
        <v>67</v>
      </c>
      <c r="Z134" s="18" t="s">
        <v>574</v>
      </c>
      <c r="AA134" s="16" t="s">
        <v>574</v>
      </c>
      <c r="AB134" s="20" t="s">
        <v>574</v>
      </c>
      <c r="AC134" s="19" t="s">
        <v>67</v>
      </c>
      <c r="AD134" s="20" t="s">
        <v>574</v>
      </c>
      <c r="AE134" s="20" t="s">
        <v>574</v>
      </c>
      <c r="AF134" s="19" t="s">
        <v>720</v>
      </c>
      <c r="AG134"/>
      <c r="AH134"/>
      <c r="AI134"/>
      <c r="AJ134" s="16" t="s">
        <v>482</v>
      </c>
      <c r="AK134"/>
      <c r="AL134" s="16">
        <v>4913</v>
      </c>
      <c r="AM134" s="16" t="s">
        <v>437</v>
      </c>
      <c r="AN134"/>
      <c r="AO134" s="19" t="s">
        <v>824</v>
      </c>
      <c r="AP134" s="19" t="s">
        <v>825</v>
      </c>
      <c r="AQ134" s="19" t="s">
        <v>826</v>
      </c>
      <c r="AR134" s="19" t="s">
        <v>1527</v>
      </c>
      <c r="AS134" s="21" t="s">
        <v>1528</v>
      </c>
      <c r="AT134" s="21" t="s">
        <v>1528</v>
      </c>
      <c r="AU134" s="19" t="s">
        <v>1529</v>
      </c>
      <c r="AV134" s="19" t="s">
        <v>1530</v>
      </c>
      <c r="AW134" s="19">
        <f>LEN(SUBSTITUTE(AV134, ", "," "))</f>
        <v>58</v>
      </c>
      <c r="AX134" s="21" t="s">
        <v>1465</v>
      </c>
      <c r="AY134" s="21" t="s">
        <v>832</v>
      </c>
      <c r="AZ134" s="21" t="s">
        <v>1237</v>
      </c>
      <c r="BA134" s="21" t="s">
        <v>1525</v>
      </c>
      <c r="BB134" s="19"/>
      <c r="BC134" s="21" t="s">
        <v>963</v>
      </c>
      <c r="BD134" s="21" t="s">
        <v>1474</v>
      </c>
      <c r="BE134" s="19"/>
      <c r="BF134" s="19"/>
      <c r="BG134" s="21" t="s">
        <v>835</v>
      </c>
      <c r="BH134" s="21" t="s">
        <v>1475</v>
      </c>
      <c r="BI134" s="19"/>
      <c r="BJ134" s="19"/>
      <c r="BK134" s="19"/>
      <c r="BL134" s="21" t="s">
        <v>751</v>
      </c>
      <c r="BM134" s="21" t="s">
        <v>838</v>
      </c>
      <c r="BN134" s="21" t="s">
        <v>753</v>
      </c>
      <c r="BO134" s="19"/>
      <c r="BP134" s="19"/>
      <c r="BQ134" s="19" t="s">
        <v>1531</v>
      </c>
      <c r="BR134" s="19"/>
      <c r="BS134" s="19"/>
      <c r="BT134" s="19"/>
      <c r="BU134" s="19"/>
      <c r="BV134" s="19"/>
      <c r="BW134" s="19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1633</v>
      </c>
    </row>
    <row r="135" spans="1:110" ht="12" customHeight="1" x14ac:dyDescent="0.25">
      <c r="A135" s="15" t="s">
        <v>422</v>
      </c>
      <c r="B135" s="16" t="s">
        <v>40</v>
      </c>
      <c r="C135" s="16" t="s">
        <v>494</v>
      </c>
      <c r="D135" t="s">
        <v>198</v>
      </c>
      <c r="E135" s="19" t="s">
        <v>583</v>
      </c>
      <c r="F135" t="s">
        <v>198</v>
      </c>
      <c r="G135" s="19" t="s">
        <v>585</v>
      </c>
      <c r="H135" s="17" t="s">
        <v>84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141</v>
      </c>
      <c r="V135" s="16">
        <f>V134+1</f>
        <v>134</v>
      </c>
      <c r="W135" s="16" t="s">
        <v>67</v>
      </c>
      <c r="X135" s="16" t="s">
        <v>67</v>
      </c>
      <c r="Y135" s="19" t="s">
        <v>67</v>
      </c>
      <c r="Z135" s="18" t="s">
        <v>415</v>
      </c>
      <c r="AA135" s="16" t="s">
        <v>415</v>
      </c>
      <c r="AB135" s="20" t="s">
        <v>415</v>
      </c>
      <c r="AC135" s="19" t="s">
        <v>67</v>
      </c>
      <c r="AD135" s="20" t="s">
        <v>415</v>
      </c>
      <c r="AE135" s="20" t="s">
        <v>415</v>
      </c>
      <c r="AF135" s="19" t="s">
        <v>721</v>
      </c>
      <c r="AG135"/>
      <c r="AH135"/>
      <c r="AI135"/>
      <c r="AJ135" s="16" t="s">
        <v>413</v>
      </c>
      <c r="AK135"/>
      <c r="AL135" s="16">
        <v>4913</v>
      </c>
      <c r="AM135" s="16" t="s">
        <v>520</v>
      </c>
      <c r="AN135"/>
      <c r="AO135" s="19" t="s">
        <v>824</v>
      </c>
      <c r="AP135" s="19" t="s">
        <v>825</v>
      </c>
      <c r="AQ135" s="19" t="s">
        <v>826</v>
      </c>
      <c r="AR135" s="19" t="s">
        <v>1532</v>
      </c>
      <c r="AS135" s="21" t="s">
        <v>1533</v>
      </c>
      <c r="AT135" s="21" t="s">
        <v>1533</v>
      </c>
      <c r="AU135" s="19" t="s">
        <v>1534</v>
      </c>
      <c r="AV135" s="19" t="s">
        <v>1535</v>
      </c>
      <c r="AW135" s="19">
        <f>LEN(SUBSTITUTE(AV135, ", "," "))</f>
        <v>55</v>
      </c>
      <c r="AX135" s="21" t="s">
        <v>1465</v>
      </c>
      <c r="AY135" s="21" t="s">
        <v>832</v>
      </c>
      <c r="AZ135" s="21" t="s">
        <v>1237</v>
      </c>
      <c r="BA135" s="21" t="s">
        <v>1536</v>
      </c>
      <c r="BB135" s="19"/>
      <c r="BC135" s="21" t="s">
        <v>963</v>
      </c>
      <c r="BD135" s="21" t="s">
        <v>1467</v>
      </c>
      <c r="BE135" s="19"/>
      <c r="BF135" s="19"/>
      <c r="BG135" s="21" t="s">
        <v>835</v>
      </c>
      <c r="BH135" s="21" t="s">
        <v>1468</v>
      </c>
      <c r="BI135" s="19"/>
      <c r="BJ135" s="19"/>
      <c r="BK135" s="19"/>
      <c r="BL135" s="21" t="s">
        <v>751</v>
      </c>
      <c r="BM135" s="21" t="s">
        <v>838</v>
      </c>
      <c r="BN135" s="21" t="s">
        <v>753</v>
      </c>
      <c r="BO135" s="19"/>
      <c r="BP135" s="19"/>
      <c r="BQ135" s="19" t="s">
        <v>1537</v>
      </c>
      <c r="BR135" s="19"/>
      <c r="BS135" s="19"/>
      <c r="BT135" s="19"/>
      <c r="BU135" s="19"/>
      <c r="BV135" s="19"/>
      <c r="BW135" s="19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1633</v>
      </c>
    </row>
    <row r="136" spans="1:110" ht="12" customHeight="1" x14ac:dyDescent="0.25">
      <c r="A136" s="15" t="s">
        <v>422</v>
      </c>
      <c r="B136" s="16" t="s">
        <v>40</v>
      </c>
      <c r="C136" s="16" t="s">
        <v>494</v>
      </c>
      <c r="D136" t="s">
        <v>198</v>
      </c>
      <c r="E136" s="19" t="s">
        <v>583</v>
      </c>
      <c r="F136" t="s">
        <v>198</v>
      </c>
      <c r="G136" s="19" t="s">
        <v>585</v>
      </c>
      <c r="H136" s="17" t="s">
        <v>84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142</v>
      </c>
      <c r="V136" s="16">
        <f>V135+1</f>
        <v>135</v>
      </c>
      <c r="W136" s="16" t="s">
        <v>67</v>
      </c>
      <c r="X136" s="16" t="s">
        <v>67</v>
      </c>
      <c r="Y136" s="19" t="s">
        <v>67</v>
      </c>
      <c r="Z136" s="18" t="s">
        <v>425</v>
      </c>
      <c r="AA136" s="16" t="s">
        <v>425</v>
      </c>
      <c r="AB136" s="20" t="s">
        <v>425</v>
      </c>
      <c r="AC136" s="19" t="s">
        <v>67</v>
      </c>
      <c r="AD136" s="20" t="s">
        <v>425</v>
      </c>
      <c r="AE136" s="20" t="s">
        <v>425</v>
      </c>
      <c r="AF136" s="19" t="s">
        <v>722</v>
      </c>
      <c r="AG136"/>
      <c r="AH136"/>
      <c r="AI136"/>
      <c r="AJ136" s="16" t="s">
        <v>223</v>
      </c>
      <c r="AK136"/>
      <c r="AL136" s="16">
        <v>4913</v>
      </c>
      <c r="AM136" s="16" t="s">
        <v>19</v>
      </c>
      <c r="AN136"/>
      <c r="AO136" s="19" t="s">
        <v>824</v>
      </c>
      <c r="AP136" s="19" t="s">
        <v>825</v>
      </c>
      <c r="AQ136" s="19" t="s">
        <v>826</v>
      </c>
      <c r="AR136" s="19" t="s">
        <v>1538</v>
      </c>
      <c r="AS136" s="21" t="s">
        <v>1539</v>
      </c>
      <c r="AT136" s="21" t="s">
        <v>1539</v>
      </c>
      <c r="AU136" s="19" t="s">
        <v>1540</v>
      </c>
      <c r="AV136" s="19" t="s">
        <v>1541</v>
      </c>
      <c r="AW136" s="19">
        <f>LEN(SUBSTITUTE(AV136, ", "," "))</f>
        <v>59</v>
      </c>
      <c r="AX136" s="21" t="s">
        <v>1465</v>
      </c>
      <c r="AY136" s="21" t="s">
        <v>832</v>
      </c>
      <c r="AZ136" s="21" t="s">
        <v>1237</v>
      </c>
      <c r="BA136" s="21" t="s">
        <v>1536</v>
      </c>
      <c r="BB136" s="19"/>
      <c r="BC136" s="21" t="s">
        <v>963</v>
      </c>
      <c r="BD136" s="21" t="s">
        <v>1474</v>
      </c>
      <c r="BE136" s="19"/>
      <c r="BF136" s="19"/>
      <c r="BG136" s="21" t="s">
        <v>835</v>
      </c>
      <c r="BH136" s="21" t="s">
        <v>1475</v>
      </c>
      <c r="BI136" s="19"/>
      <c r="BJ136" s="19"/>
      <c r="BK136" s="19"/>
      <c r="BL136" s="21" t="s">
        <v>751</v>
      </c>
      <c r="BM136" s="21" t="s">
        <v>838</v>
      </c>
      <c r="BN136" s="21" t="s">
        <v>753</v>
      </c>
      <c r="BO136" s="19"/>
      <c r="BP136" s="19"/>
      <c r="BQ136" s="19" t="s">
        <v>1542</v>
      </c>
      <c r="BR136" s="19"/>
      <c r="BS136" s="19"/>
      <c r="BT136" s="19"/>
      <c r="BU136" s="19"/>
      <c r="BV136" s="19"/>
      <c r="BW136" s="19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1633</v>
      </c>
    </row>
    <row r="137" spans="1:110" ht="12" customHeight="1" x14ac:dyDescent="0.25">
      <c r="A137" s="15" t="s">
        <v>422</v>
      </c>
      <c r="B137" s="16" t="s">
        <v>40</v>
      </c>
      <c r="C137" s="16" t="s">
        <v>494</v>
      </c>
      <c r="D137" t="s">
        <v>198</v>
      </c>
      <c r="E137" s="19" t="s">
        <v>583</v>
      </c>
      <c r="F137" t="s">
        <v>198</v>
      </c>
      <c r="G137" s="19" t="s">
        <v>585</v>
      </c>
      <c r="H137" s="17" t="s">
        <v>84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143</v>
      </c>
      <c r="V137" s="16">
        <f>V136+1</f>
        <v>136</v>
      </c>
      <c r="W137" s="16" t="s">
        <v>67</v>
      </c>
      <c r="X137" s="16" t="s">
        <v>67</v>
      </c>
      <c r="Y137" s="19" t="s">
        <v>67</v>
      </c>
      <c r="Z137" s="18" t="s">
        <v>330</v>
      </c>
      <c r="AA137" s="16" t="s">
        <v>330</v>
      </c>
      <c r="AB137" s="20" t="s">
        <v>330</v>
      </c>
      <c r="AC137" s="19" t="s">
        <v>67</v>
      </c>
      <c r="AD137" s="20" t="s">
        <v>330</v>
      </c>
      <c r="AE137" s="20" t="s">
        <v>330</v>
      </c>
      <c r="AF137" s="19" t="s">
        <v>723</v>
      </c>
      <c r="AG137"/>
      <c r="AH137"/>
      <c r="AI137"/>
      <c r="AJ137" s="16" t="s">
        <v>384</v>
      </c>
      <c r="AK137"/>
      <c r="AL137" s="16">
        <v>4913</v>
      </c>
      <c r="AM137" s="16" t="s">
        <v>335</v>
      </c>
      <c r="AN137"/>
      <c r="AO137" s="19" t="s">
        <v>824</v>
      </c>
      <c r="AP137" s="19" t="s">
        <v>825</v>
      </c>
      <c r="AQ137" s="19" t="s">
        <v>826</v>
      </c>
      <c r="AR137" s="19" t="s">
        <v>1543</v>
      </c>
      <c r="AS137" s="21" t="s">
        <v>1544</v>
      </c>
      <c r="AT137" s="21" t="s">
        <v>1544</v>
      </c>
      <c r="AU137" s="19" t="s">
        <v>1545</v>
      </c>
      <c r="AV137" s="19" t="s">
        <v>1546</v>
      </c>
      <c r="AW137" s="19">
        <f>LEN(SUBSTITUTE(AV137, ", "," "))</f>
        <v>55</v>
      </c>
      <c r="AX137" s="21" t="s">
        <v>1465</v>
      </c>
      <c r="AY137" s="21" t="s">
        <v>832</v>
      </c>
      <c r="AZ137" s="21" t="s">
        <v>1237</v>
      </c>
      <c r="BA137" s="21" t="s">
        <v>1547</v>
      </c>
      <c r="BB137" s="19"/>
      <c r="BC137" s="21" t="s">
        <v>963</v>
      </c>
      <c r="BD137" s="21" t="s">
        <v>1467</v>
      </c>
      <c r="BE137" s="19"/>
      <c r="BF137" s="19"/>
      <c r="BG137" s="21" t="s">
        <v>835</v>
      </c>
      <c r="BH137" s="21" t="s">
        <v>1468</v>
      </c>
      <c r="BI137" s="19"/>
      <c r="BJ137" s="19"/>
      <c r="BK137" s="19"/>
      <c r="BL137" s="21" t="s">
        <v>751</v>
      </c>
      <c r="BM137" s="21" t="s">
        <v>838</v>
      </c>
      <c r="BN137" s="21" t="s">
        <v>753</v>
      </c>
      <c r="BO137" s="19"/>
      <c r="BP137" s="19"/>
      <c r="BQ137" s="19" t="s">
        <v>1548</v>
      </c>
      <c r="BR137" s="19"/>
      <c r="BS137" s="19"/>
      <c r="BT137" s="19"/>
      <c r="BU137" s="19"/>
      <c r="BV137" s="19"/>
      <c r="BW137" s="19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1633</v>
      </c>
    </row>
    <row r="138" spans="1:110" ht="12" customHeight="1" x14ac:dyDescent="0.25">
      <c r="A138" s="15" t="s">
        <v>422</v>
      </c>
      <c r="B138" s="16" t="s">
        <v>40</v>
      </c>
      <c r="C138" s="16" t="s">
        <v>494</v>
      </c>
      <c r="D138" t="s">
        <v>198</v>
      </c>
      <c r="E138" s="19" t="s">
        <v>583</v>
      </c>
      <c r="F138" t="s">
        <v>198</v>
      </c>
      <c r="G138" s="19" t="s">
        <v>585</v>
      </c>
      <c r="H138" s="17" t="s">
        <v>84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144</v>
      </c>
      <c r="V138" s="16">
        <f>V137+1</f>
        <v>137</v>
      </c>
      <c r="W138" s="16" t="s">
        <v>67</v>
      </c>
      <c r="X138" s="16" t="s">
        <v>67</v>
      </c>
      <c r="Y138" s="19" t="s">
        <v>67</v>
      </c>
      <c r="Z138" s="18" t="s">
        <v>327</v>
      </c>
      <c r="AA138" s="16" t="s">
        <v>327</v>
      </c>
      <c r="AB138" s="20" t="s">
        <v>327</v>
      </c>
      <c r="AC138" s="19" t="s">
        <v>67</v>
      </c>
      <c r="AD138" s="20" t="s">
        <v>327</v>
      </c>
      <c r="AE138" s="20" t="s">
        <v>327</v>
      </c>
      <c r="AF138" s="19" t="s">
        <v>724</v>
      </c>
      <c r="AG138"/>
      <c r="AH138"/>
      <c r="AI138"/>
      <c r="AJ138" s="16" t="s">
        <v>525</v>
      </c>
      <c r="AK138"/>
      <c r="AL138" s="16">
        <v>4913</v>
      </c>
      <c r="AM138" s="16" t="s">
        <v>95</v>
      </c>
      <c r="AN138"/>
      <c r="AO138" s="19" t="s">
        <v>824</v>
      </c>
      <c r="AP138" s="19" t="s">
        <v>825</v>
      </c>
      <c r="AQ138" s="19" t="s">
        <v>826</v>
      </c>
      <c r="AR138" s="19" t="s">
        <v>1549</v>
      </c>
      <c r="AS138" s="21" t="s">
        <v>1550</v>
      </c>
      <c r="AT138" s="21" t="s">
        <v>1550</v>
      </c>
      <c r="AU138" s="19" t="s">
        <v>1551</v>
      </c>
      <c r="AV138" s="19" t="s">
        <v>1552</v>
      </c>
      <c r="AW138" s="19">
        <f>LEN(SUBSTITUTE(AV138, ", "," "))</f>
        <v>59</v>
      </c>
      <c r="AX138" s="21" t="s">
        <v>1465</v>
      </c>
      <c r="AY138" s="21" t="s">
        <v>832</v>
      </c>
      <c r="AZ138" s="21" t="s">
        <v>1237</v>
      </c>
      <c r="BA138" s="21" t="s">
        <v>1547</v>
      </c>
      <c r="BB138" s="19"/>
      <c r="BC138" s="21" t="s">
        <v>963</v>
      </c>
      <c r="BD138" s="21" t="s">
        <v>1474</v>
      </c>
      <c r="BE138" s="19"/>
      <c r="BF138" s="19"/>
      <c r="BG138" s="21" t="s">
        <v>835</v>
      </c>
      <c r="BH138" s="21" t="s">
        <v>1475</v>
      </c>
      <c r="BI138" s="19"/>
      <c r="BJ138" s="19"/>
      <c r="BK138" s="19"/>
      <c r="BL138" s="21" t="s">
        <v>751</v>
      </c>
      <c r="BM138" s="21" t="s">
        <v>838</v>
      </c>
      <c r="BN138" s="21" t="s">
        <v>753</v>
      </c>
      <c r="BO138" s="19"/>
      <c r="BP138" s="19"/>
      <c r="BQ138" s="19" t="s">
        <v>1553</v>
      </c>
      <c r="BR138" s="19"/>
      <c r="BS138" s="19"/>
      <c r="BT138" s="19"/>
      <c r="BU138" s="19"/>
      <c r="BV138" s="19"/>
      <c r="BW138" s="19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1633</v>
      </c>
    </row>
    <row r="139" spans="1:110" ht="12" customHeight="1" x14ac:dyDescent="0.25">
      <c r="A139" s="15" t="s">
        <v>422</v>
      </c>
      <c r="B139" s="16" t="s">
        <v>40</v>
      </c>
      <c r="C139" s="16" t="s">
        <v>494</v>
      </c>
      <c r="D139" t="s">
        <v>198</v>
      </c>
      <c r="E139" s="19" t="s">
        <v>583</v>
      </c>
      <c r="F139" t="s">
        <v>198</v>
      </c>
      <c r="G139" s="19" t="s">
        <v>585</v>
      </c>
      <c r="H139" s="17" t="s">
        <v>84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145</v>
      </c>
      <c r="V139" s="16">
        <f>V138+1</f>
        <v>138</v>
      </c>
      <c r="W139" s="16" t="s">
        <v>67</v>
      </c>
      <c r="X139" s="16" t="s">
        <v>67</v>
      </c>
      <c r="Y139" s="19" t="s">
        <v>67</v>
      </c>
      <c r="Z139" s="18" t="s">
        <v>381</v>
      </c>
      <c r="AA139" s="16" t="s">
        <v>381</v>
      </c>
      <c r="AB139" s="20" t="s">
        <v>381</v>
      </c>
      <c r="AC139" s="19" t="s">
        <v>67</v>
      </c>
      <c r="AD139" s="20" t="s">
        <v>381</v>
      </c>
      <c r="AE139" s="20" t="s">
        <v>381</v>
      </c>
      <c r="AF139" s="19" t="s">
        <v>725</v>
      </c>
      <c r="AG139"/>
      <c r="AH139"/>
      <c r="AI139"/>
      <c r="AJ139" s="16" t="s">
        <v>397</v>
      </c>
      <c r="AK139"/>
      <c r="AL139" s="16">
        <v>4913</v>
      </c>
      <c r="AM139" s="16" t="s">
        <v>183</v>
      </c>
      <c r="AN139"/>
      <c r="AO139" s="19" t="s">
        <v>824</v>
      </c>
      <c r="AP139" s="19" t="s">
        <v>825</v>
      </c>
      <c r="AQ139" s="19" t="s">
        <v>826</v>
      </c>
      <c r="AR139" s="19" t="s">
        <v>1554</v>
      </c>
      <c r="AS139" s="21" t="s">
        <v>1555</v>
      </c>
      <c r="AT139" s="21" t="s">
        <v>1555</v>
      </c>
      <c r="AU139" s="19" t="s">
        <v>1556</v>
      </c>
      <c r="AV139" s="19" t="s">
        <v>1557</v>
      </c>
      <c r="AW139" s="19">
        <f>LEN(SUBSTITUTE(AV139, ", "," "))</f>
        <v>57</v>
      </c>
      <c r="AX139" s="21" t="s">
        <v>1465</v>
      </c>
      <c r="AY139" s="21" t="s">
        <v>832</v>
      </c>
      <c r="AZ139" s="21" t="s">
        <v>1237</v>
      </c>
      <c r="BA139" s="21" t="s">
        <v>1558</v>
      </c>
      <c r="BB139" s="19"/>
      <c r="BC139" s="21" t="s">
        <v>952</v>
      </c>
      <c r="BD139" s="21" t="s">
        <v>1559</v>
      </c>
      <c r="BE139" s="19"/>
      <c r="BF139" s="19"/>
      <c r="BG139" s="21" t="s">
        <v>835</v>
      </c>
      <c r="BH139" s="21" t="s">
        <v>1468</v>
      </c>
      <c r="BI139" s="19"/>
      <c r="BJ139" s="19"/>
      <c r="BK139" s="19"/>
      <c r="BL139" s="21" t="s">
        <v>751</v>
      </c>
      <c r="BM139" s="21" t="s">
        <v>838</v>
      </c>
      <c r="BN139" s="21" t="s">
        <v>753</v>
      </c>
      <c r="BO139" s="19"/>
      <c r="BP139" s="19"/>
      <c r="BQ139" s="19" t="s">
        <v>1560</v>
      </c>
      <c r="BR139" s="19"/>
      <c r="BS139" s="19"/>
      <c r="BT139" s="19"/>
      <c r="BU139" s="19"/>
      <c r="BV139" s="19"/>
      <c r="BW139" s="1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1633</v>
      </c>
    </row>
    <row r="140" spans="1:110" ht="12" customHeight="1" x14ac:dyDescent="0.25">
      <c r="A140" s="15" t="s">
        <v>422</v>
      </c>
      <c r="B140" s="16" t="s">
        <v>40</v>
      </c>
      <c r="C140" s="16" t="s">
        <v>494</v>
      </c>
      <c r="D140" t="s">
        <v>198</v>
      </c>
      <c r="E140" s="19" t="s">
        <v>583</v>
      </c>
      <c r="F140" t="s">
        <v>198</v>
      </c>
      <c r="G140" s="19" t="s">
        <v>585</v>
      </c>
      <c r="H140" s="17" t="s">
        <v>84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146</v>
      </c>
      <c r="V140" s="16">
        <f>V139+1</f>
        <v>139</v>
      </c>
      <c r="W140" s="16" t="s">
        <v>67</v>
      </c>
      <c r="X140" s="16" t="s">
        <v>67</v>
      </c>
      <c r="Y140" s="19" t="s">
        <v>67</v>
      </c>
      <c r="Z140" s="18" t="s">
        <v>144</v>
      </c>
      <c r="AA140" s="16" t="s">
        <v>144</v>
      </c>
      <c r="AB140" s="20" t="s">
        <v>144</v>
      </c>
      <c r="AC140" s="19" t="s">
        <v>67</v>
      </c>
      <c r="AD140" s="20" t="s">
        <v>144</v>
      </c>
      <c r="AE140" s="20" t="s">
        <v>144</v>
      </c>
      <c r="AF140" s="19" t="s">
        <v>726</v>
      </c>
      <c r="AG140"/>
      <c r="AH140"/>
      <c r="AI140"/>
      <c r="AJ140" s="16" t="s">
        <v>382</v>
      </c>
      <c r="AK140"/>
      <c r="AL140" s="16">
        <v>4913</v>
      </c>
      <c r="AM140" s="16" t="s">
        <v>459</v>
      </c>
      <c r="AN140"/>
      <c r="AO140" s="19" t="s">
        <v>824</v>
      </c>
      <c r="AP140" s="19" t="s">
        <v>825</v>
      </c>
      <c r="AQ140" s="19" t="s">
        <v>826</v>
      </c>
      <c r="AR140" s="19" t="s">
        <v>1561</v>
      </c>
      <c r="AS140" s="21" t="s">
        <v>1562</v>
      </c>
      <c r="AT140" s="21" t="s">
        <v>1562</v>
      </c>
      <c r="AU140" s="19" t="s">
        <v>1563</v>
      </c>
      <c r="AV140" s="19" t="s">
        <v>1564</v>
      </c>
      <c r="AW140" s="19">
        <f>LEN(SUBSTITUTE(AV140, ", "," "))</f>
        <v>57</v>
      </c>
      <c r="AX140" s="21" t="s">
        <v>1465</v>
      </c>
      <c r="AY140" s="21" t="s">
        <v>832</v>
      </c>
      <c r="AZ140" s="21" t="s">
        <v>1237</v>
      </c>
      <c r="BA140" s="21" t="s">
        <v>1558</v>
      </c>
      <c r="BB140" s="19"/>
      <c r="BC140" s="21" t="s">
        <v>952</v>
      </c>
      <c r="BD140" s="21" t="s">
        <v>1467</v>
      </c>
      <c r="BE140" s="19"/>
      <c r="BF140" s="19"/>
      <c r="BG140" s="21" t="s">
        <v>835</v>
      </c>
      <c r="BH140" s="21" t="s">
        <v>1468</v>
      </c>
      <c r="BI140" s="19"/>
      <c r="BJ140" s="19"/>
      <c r="BK140" s="19"/>
      <c r="BL140" s="21" t="s">
        <v>751</v>
      </c>
      <c r="BM140" s="21" t="s">
        <v>838</v>
      </c>
      <c r="BN140" s="21" t="s">
        <v>753</v>
      </c>
      <c r="BO140" s="19"/>
      <c r="BP140" s="19"/>
      <c r="BQ140" s="19" t="s">
        <v>1565</v>
      </c>
      <c r="BR140" s="19"/>
      <c r="BS140" s="19"/>
      <c r="BT140" s="19"/>
      <c r="BU140" s="19"/>
      <c r="BV140" s="19"/>
      <c r="BW140" s="19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1633</v>
      </c>
    </row>
    <row r="141" spans="1:110" ht="12" customHeight="1" x14ac:dyDescent="0.25">
      <c r="A141" s="15" t="s">
        <v>422</v>
      </c>
      <c r="B141" s="16" t="s">
        <v>40</v>
      </c>
      <c r="C141" s="16" t="s">
        <v>494</v>
      </c>
      <c r="D141" t="s">
        <v>198</v>
      </c>
      <c r="E141" s="19" t="s">
        <v>583</v>
      </c>
      <c r="F141" t="s">
        <v>198</v>
      </c>
      <c r="G141" s="19" t="s">
        <v>585</v>
      </c>
      <c r="H141" s="17" t="s">
        <v>84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147</v>
      </c>
      <c r="V141" s="16">
        <f>V140+1</f>
        <v>140</v>
      </c>
      <c r="W141" s="16" t="s">
        <v>67</v>
      </c>
      <c r="X141" s="16" t="s">
        <v>67</v>
      </c>
      <c r="Y141" s="19" t="s">
        <v>67</v>
      </c>
      <c r="Z141" s="18" t="s">
        <v>193</v>
      </c>
      <c r="AA141" s="16" t="s">
        <v>193</v>
      </c>
      <c r="AB141" s="20" t="s">
        <v>193</v>
      </c>
      <c r="AC141" s="19" t="s">
        <v>67</v>
      </c>
      <c r="AD141" s="20" t="s">
        <v>193</v>
      </c>
      <c r="AE141" s="20" t="s">
        <v>193</v>
      </c>
      <c r="AF141" s="19" t="s">
        <v>727</v>
      </c>
      <c r="AG141"/>
      <c r="AH141"/>
      <c r="AI141"/>
      <c r="AJ141" s="16" t="s">
        <v>581</v>
      </c>
      <c r="AK141"/>
      <c r="AL141" s="16">
        <v>4913</v>
      </c>
      <c r="AM141" s="16" t="s">
        <v>10</v>
      </c>
      <c r="AN141"/>
      <c r="AO141" s="19" t="s">
        <v>824</v>
      </c>
      <c r="AP141" s="19" t="s">
        <v>825</v>
      </c>
      <c r="AQ141" s="19" t="s">
        <v>826</v>
      </c>
      <c r="AR141" s="19" t="s">
        <v>1566</v>
      </c>
      <c r="AS141" s="21" t="s">
        <v>1567</v>
      </c>
      <c r="AT141" s="21" t="s">
        <v>1567</v>
      </c>
      <c r="AU141" s="19" t="s">
        <v>1568</v>
      </c>
      <c r="AV141" s="19" t="s">
        <v>1569</v>
      </c>
      <c r="AW141" s="19">
        <f>LEN(SUBSTITUTE(AV141, ", "," "))</f>
        <v>57</v>
      </c>
      <c r="AX141" s="21" t="s">
        <v>1465</v>
      </c>
      <c r="AY141" s="21" t="s">
        <v>832</v>
      </c>
      <c r="AZ141" s="21" t="s">
        <v>1237</v>
      </c>
      <c r="BA141" s="21" t="s">
        <v>1570</v>
      </c>
      <c r="BB141" s="19"/>
      <c r="BC141" s="21" t="s">
        <v>952</v>
      </c>
      <c r="BD141" s="21" t="s">
        <v>1559</v>
      </c>
      <c r="BE141" s="19"/>
      <c r="BF141" s="19"/>
      <c r="BG141" s="21" t="s">
        <v>835</v>
      </c>
      <c r="BH141" s="21" t="s">
        <v>1468</v>
      </c>
      <c r="BI141" s="19"/>
      <c r="BJ141" s="19"/>
      <c r="BK141" s="19"/>
      <c r="BL141" s="21" t="s">
        <v>751</v>
      </c>
      <c r="BM141" s="21" t="s">
        <v>838</v>
      </c>
      <c r="BN141" s="21" t="s">
        <v>753</v>
      </c>
      <c r="BO141" s="19"/>
      <c r="BP141" s="19"/>
      <c r="BQ141" s="19" t="s">
        <v>1571</v>
      </c>
      <c r="BR141" s="19"/>
      <c r="BS141" s="19"/>
      <c r="BT141" s="19"/>
      <c r="BU141" s="19"/>
      <c r="BV141" s="19"/>
      <c r="BW141" s="19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1633</v>
      </c>
    </row>
    <row r="142" spans="1:110" ht="12" customHeight="1" x14ac:dyDescent="0.25">
      <c r="A142" s="15" t="s">
        <v>422</v>
      </c>
      <c r="B142" s="16" t="s">
        <v>40</v>
      </c>
      <c r="C142" s="16" t="s">
        <v>494</v>
      </c>
      <c r="D142" t="s">
        <v>198</v>
      </c>
      <c r="E142" s="19" t="s">
        <v>583</v>
      </c>
      <c r="F142" t="s">
        <v>198</v>
      </c>
      <c r="G142" s="19" t="s">
        <v>585</v>
      </c>
      <c r="H142" s="17" t="s">
        <v>84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148</v>
      </c>
      <c r="V142" s="16">
        <f>V141+1</f>
        <v>141</v>
      </c>
      <c r="W142" s="16" t="s">
        <v>67</v>
      </c>
      <c r="X142" s="16" t="s">
        <v>67</v>
      </c>
      <c r="Y142" s="19" t="s">
        <v>67</v>
      </c>
      <c r="Z142" s="18" t="s">
        <v>187</v>
      </c>
      <c r="AA142" s="16" t="s">
        <v>187</v>
      </c>
      <c r="AB142" s="20" t="s">
        <v>187</v>
      </c>
      <c r="AC142" s="19" t="s">
        <v>67</v>
      </c>
      <c r="AD142" s="20" t="s">
        <v>187</v>
      </c>
      <c r="AE142" s="20" t="s">
        <v>187</v>
      </c>
      <c r="AF142" s="19" t="s">
        <v>728</v>
      </c>
      <c r="AG142"/>
      <c r="AH142"/>
      <c r="AI142"/>
      <c r="AJ142" s="16" t="s">
        <v>383</v>
      </c>
      <c r="AK142"/>
      <c r="AL142" s="16">
        <v>4913</v>
      </c>
      <c r="AM142" s="16" t="s">
        <v>427</v>
      </c>
      <c r="AN142"/>
      <c r="AO142" s="19" t="s">
        <v>824</v>
      </c>
      <c r="AP142" s="19" t="s">
        <v>825</v>
      </c>
      <c r="AQ142" s="19" t="s">
        <v>826</v>
      </c>
      <c r="AR142" s="19" t="s">
        <v>1572</v>
      </c>
      <c r="AS142" s="21" t="s">
        <v>1573</v>
      </c>
      <c r="AT142" s="21" t="s">
        <v>1573</v>
      </c>
      <c r="AU142" s="19" t="s">
        <v>1574</v>
      </c>
      <c r="AV142" s="19" t="s">
        <v>1575</v>
      </c>
      <c r="AW142" s="19">
        <f>LEN(SUBSTITUTE(AV142, ", "," "))</f>
        <v>57</v>
      </c>
      <c r="AX142" s="21" t="s">
        <v>1465</v>
      </c>
      <c r="AY142" s="21" t="s">
        <v>832</v>
      </c>
      <c r="AZ142" s="21" t="s">
        <v>1237</v>
      </c>
      <c r="BA142" s="21" t="s">
        <v>1570</v>
      </c>
      <c r="BB142" s="19"/>
      <c r="BC142" s="21" t="s">
        <v>952</v>
      </c>
      <c r="BD142" s="21" t="s">
        <v>1467</v>
      </c>
      <c r="BE142" s="19"/>
      <c r="BF142" s="19"/>
      <c r="BG142" s="21" t="s">
        <v>835</v>
      </c>
      <c r="BH142" s="21" t="s">
        <v>1468</v>
      </c>
      <c r="BI142" s="19"/>
      <c r="BJ142" s="19"/>
      <c r="BK142" s="19"/>
      <c r="BL142" s="21" t="s">
        <v>751</v>
      </c>
      <c r="BM142" s="21" t="s">
        <v>838</v>
      </c>
      <c r="BN142" s="21" t="s">
        <v>753</v>
      </c>
      <c r="BO142" s="19"/>
      <c r="BP142" s="19"/>
      <c r="BQ142" s="19" t="s">
        <v>1576</v>
      </c>
      <c r="BR142" s="19"/>
      <c r="BS142" s="19"/>
      <c r="BT142" s="19"/>
      <c r="BU142" s="19"/>
      <c r="BV142" s="19"/>
      <c r="BW142" s="19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1633</v>
      </c>
    </row>
    <row r="143" spans="1:110" ht="12" customHeight="1" x14ac:dyDescent="0.25">
      <c r="A143" s="15" t="s">
        <v>422</v>
      </c>
      <c r="B143" s="16" t="s">
        <v>40</v>
      </c>
      <c r="C143" s="16" t="s">
        <v>494</v>
      </c>
      <c r="D143" t="s">
        <v>198</v>
      </c>
      <c r="E143" s="19" t="s">
        <v>583</v>
      </c>
      <c r="F143" t="s">
        <v>198</v>
      </c>
      <c r="G143" s="19" t="s">
        <v>585</v>
      </c>
      <c r="H143" s="17" t="s">
        <v>84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149</v>
      </c>
      <c r="V143" s="16">
        <f>V142+1</f>
        <v>142</v>
      </c>
      <c r="W143" s="16" t="s">
        <v>67</v>
      </c>
      <c r="X143" s="16" t="s">
        <v>67</v>
      </c>
      <c r="Y143" s="19" t="s">
        <v>67</v>
      </c>
      <c r="Z143" s="18" t="s">
        <v>545</v>
      </c>
      <c r="AA143" s="16" t="s">
        <v>545</v>
      </c>
      <c r="AB143" s="20" t="s">
        <v>545</v>
      </c>
      <c r="AC143" s="19" t="s">
        <v>67</v>
      </c>
      <c r="AD143" s="20" t="s">
        <v>545</v>
      </c>
      <c r="AE143" s="20" t="s">
        <v>545</v>
      </c>
      <c r="AF143" s="19" t="s">
        <v>729</v>
      </c>
      <c r="AG143"/>
      <c r="AH143"/>
      <c r="AI143"/>
      <c r="AJ143" s="16" t="s">
        <v>432</v>
      </c>
      <c r="AK143"/>
      <c r="AL143" s="16">
        <v>4913</v>
      </c>
      <c r="AM143" s="16" t="s">
        <v>96</v>
      </c>
      <c r="AN143"/>
      <c r="AO143" s="19" t="s">
        <v>824</v>
      </c>
      <c r="AP143" s="19" t="s">
        <v>825</v>
      </c>
      <c r="AQ143" s="19" t="s">
        <v>826</v>
      </c>
      <c r="AR143" s="19" t="s">
        <v>1577</v>
      </c>
      <c r="AS143" s="21" t="s">
        <v>1578</v>
      </c>
      <c r="AT143" s="21" t="s">
        <v>1578</v>
      </c>
      <c r="AU143" s="19" t="s">
        <v>1579</v>
      </c>
      <c r="AV143" s="19" t="s">
        <v>1580</v>
      </c>
      <c r="AW143" s="19">
        <f>LEN(SUBSTITUTE(AV143, ", "," "))</f>
        <v>58</v>
      </c>
      <c r="AX143" s="21" t="s">
        <v>1465</v>
      </c>
      <c r="AY143" s="21" t="s">
        <v>832</v>
      </c>
      <c r="AZ143" s="21" t="s">
        <v>1237</v>
      </c>
      <c r="BA143" s="21" t="s">
        <v>1581</v>
      </c>
      <c r="BB143" s="19"/>
      <c r="BC143" s="21" t="s">
        <v>952</v>
      </c>
      <c r="BD143" s="21" t="s">
        <v>1559</v>
      </c>
      <c r="BE143" s="19"/>
      <c r="BF143" s="19"/>
      <c r="BG143" s="21" t="s">
        <v>835</v>
      </c>
      <c r="BH143" s="21" t="s">
        <v>1468</v>
      </c>
      <c r="BI143" s="19"/>
      <c r="BJ143" s="19"/>
      <c r="BK143" s="19"/>
      <c r="BL143" s="21" t="s">
        <v>751</v>
      </c>
      <c r="BM143" s="21" t="s">
        <v>838</v>
      </c>
      <c r="BN143" s="21" t="s">
        <v>753</v>
      </c>
      <c r="BO143" s="19"/>
      <c r="BP143" s="19"/>
      <c r="BQ143" s="19" t="s">
        <v>1582</v>
      </c>
      <c r="BR143" s="19"/>
      <c r="BS143" s="19"/>
      <c r="BT143" s="19"/>
      <c r="BU143" s="19"/>
      <c r="BV143" s="19"/>
      <c r="BW143" s="19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1633</v>
      </c>
    </row>
    <row r="144" spans="1:110" ht="12" customHeight="1" x14ac:dyDescent="0.25">
      <c r="A144" s="15" t="s">
        <v>422</v>
      </c>
      <c r="B144" s="16" t="s">
        <v>40</v>
      </c>
      <c r="C144" s="16" t="s">
        <v>494</v>
      </c>
      <c r="D144" t="s">
        <v>198</v>
      </c>
      <c r="E144" s="19" t="s">
        <v>583</v>
      </c>
      <c r="F144" t="s">
        <v>198</v>
      </c>
      <c r="G144" s="19" t="s">
        <v>585</v>
      </c>
      <c r="H144" s="17" t="s">
        <v>84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150</v>
      </c>
      <c r="V144" s="16">
        <f>V143+1</f>
        <v>143</v>
      </c>
      <c r="W144" s="16" t="s">
        <v>67</v>
      </c>
      <c r="X144" s="16" t="s">
        <v>67</v>
      </c>
      <c r="Y144" s="19" t="s">
        <v>67</v>
      </c>
      <c r="Z144" s="18" t="s">
        <v>414</v>
      </c>
      <c r="AA144" s="16" t="s">
        <v>414</v>
      </c>
      <c r="AB144" s="20" t="s">
        <v>414</v>
      </c>
      <c r="AC144" s="19" t="s">
        <v>67</v>
      </c>
      <c r="AD144" s="20" t="s">
        <v>414</v>
      </c>
      <c r="AE144" s="20" t="s">
        <v>414</v>
      </c>
      <c r="AF144" s="19" t="s">
        <v>730</v>
      </c>
      <c r="AG144"/>
      <c r="AH144"/>
      <c r="AI144"/>
      <c r="AJ144" s="16" t="s">
        <v>207</v>
      </c>
      <c r="AK144"/>
      <c r="AL144" s="16">
        <v>4913</v>
      </c>
      <c r="AM144" s="16" t="s">
        <v>550</v>
      </c>
      <c r="AN144"/>
      <c r="AO144" s="19" t="s">
        <v>824</v>
      </c>
      <c r="AP144" s="19" t="s">
        <v>825</v>
      </c>
      <c r="AQ144" s="19" t="s">
        <v>826</v>
      </c>
      <c r="AR144" s="19" t="s">
        <v>1583</v>
      </c>
      <c r="AS144" s="21" t="s">
        <v>1584</v>
      </c>
      <c r="AT144" s="21" t="s">
        <v>1584</v>
      </c>
      <c r="AU144" s="19" t="s">
        <v>1585</v>
      </c>
      <c r="AV144" s="19" t="s">
        <v>1586</v>
      </c>
      <c r="AW144" s="19">
        <f>LEN(SUBSTITUTE(AV144, ", "," "))</f>
        <v>58</v>
      </c>
      <c r="AX144" s="21" t="s">
        <v>1465</v>
      </c>
      <c r="AY144" s="21" t="s">
        <v>832</v>
      </c>
      <c r="AZ144" s="21" t="s">
        <v>1237</v>
      </c>
      <c r="BA144" s="21" t="s">
        <v>1581</v>
      </c>
      <c r="BB144" s="19"/>
      <c r="BC144" s="21" t="s">
        <v>952</v>
      </c>
      <c r="BD144" s="21" t="s">
        <v>1467</v>
      </c>
      <c r="BE144" s="19"/>
      <c r="BF144" s="19"/>
      <c r="BG144" s="21" t="s">
        <v>835</v>
      </c>
      <c r="BH144" s="21" t="s">
        <v>1468</v>
      </c>
      <c r="BI144" s="19"/>
      <c r="BJ144" s="19"/>
      <c r="BK144" s="19"/>
      <c r="BL144" s="21" t="s">
        <v>751</v>
      </c>
      <c r="BM144" s="21" t="s">
        <v>838</v>
      </c>
      <c r="BN144" s="21" t="s">
        <v>753</v>
      </c>
      <c r="BO144" s="19"/>
      <c r="BP144" s="19"/>
      <c r="BQ144" s="19" t="s">
        <v>1587</v>
      </c>
      <c r="BR144" s="19"/>
      <c r="BS144" s="19"/>
      <c r="BT144" s="19"/>
      <c r="BU144" s="19"/>
      <c r="BV144" s="19"/>
      <c r="BW144" s="19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1633</v>
      </c>
    </row>
    <row r="145" spans="1:110" ht="12" customHeight="1" x14ac:dyDescent="0.25">
      <c r="A145" s="15" t="s">
        <v>422</v>
      </c>
      <c r="B145" s="16" t="s">
        <v>40</v>
      </c>
      <c r="C145" s="16" t="s">
        <v>494</v>
      </c>
      <c r="D145" t="s">
        <v>198</v>
      </c>
      <c r="E145" s="19" t="s">
        <v>583</v>
      </c>
      <c r="F145" t="s">
        <v>198</v>
      </c>
      <c r="G145" s="19" t="s">
        <v>585</v>
      </c>
      <c r="H145" s="17" t="s">
        <v>84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151</v>
      </c>
      <c r="V145" s="16">
        <f>V144+1</f>
        <v>144</v>
      </c>
      <c r="W145" s="16" t="s">
        <v>67</v>
      </c>
      <c r="X145" s="16" t="s">
        <v>67</v>
      </c>
      <c r="Y145" s="19" t="s">
        <v>67</v>
      </c>
      <c r="Z145" s="18" t="s">
        <v>209</v>
      </c>
      <c r="AA145" s="16" t="s">
        <v>209</v>
      </c>
      <c r="AB145" s="20" t="s">
        <v>209</v>
      </c>
      <c r="AC145" s="19" t="s">
        <v>67</v>
      </c>
      <c r="AD145" s="20" t="s">
        <v>209</v>
      </c>
      <c r="AE145" s="20" t="s">
        <v>209</v>
      </c>
      <c r="AF145" s="19" t="s">
        <v>731</v>
      </c>
      <c r="AG145"/>
      <c r="AH145"/>
      <c r="AI145"/>
      <c r="AJ145" s="16" t="s">
        <v>162</v>
      </c>
      <c r="AK145"/>
      <c r="AL145" s="16">
        <v>4913</v>
      </c>
      <c r="AM145" s="16" t="s">
        <v>117</v>
      </c>
      <c r="AN145"/>
      <c r="AO145" s="19" t="s">
        <v>824</v>
      </c>
      <c r="AP145" s="19" t="s">
        <v>825</v>
      </c>
      <c r="AQ145" s="19" t="s">
        <v>826</v>
      </c>
      <c r="AR145" s="19" t="s">
        <v>1588</v>
      </c>
      <c r="AS145" s="21" t="s">
        <v>1589</v>
      </c>
      <c r="AT145" s="21" t="s">
        <v>1589</v>
      </c>
      <c r="AU145" s="19" t="s">
        <v>1590</v>
      </c>
      <c r="AV145" s="19" t="s">
        <v>1591</v>
      </c>
      <c r="AW145" s="19">
        <f>LEN(SUBSTITUTE(AV145, ", "," "))</f>
        <v>58</v>
      </c>
      <c r="AX145" s="21" t="s">
        <v>1465</v>
      </c>
      <c r="AY145" s="21" t="s">
        <v>832</v>
      </c>
      <c r="AZ145" s="21" t="s">
        <v>1237</v>
      </c>
      <c r="BA145" s="21" t="s">
        <v>1592</v>
      </c>
      <c r="BB145" s="19"/>
      <c r="BC145" s="21" t="s">
        <v>952</v>
      </c>
      <c r="BD145" s="21" t="s">
        <v>1559</v>
      </c>
      <c r="BE145" s="19"/>
      <c r="BF145" s="19"/>
      <c r="BG145" s="21" t="s">
        <v>835</v>
      </c>
      <c r="BH145" s="21" t="s">
        <v>1468</v>
      </c>
      <c r="BI145" s="19"/>
      <c r="BJ145" s="19"/>
      <c r="BK145" s="19"/>
      <c r="BL145" s="21" t="s">
        <v>751</v>
      </c>
      <c r="BM145" s="21" t="s">
        <v>838</v>
      </c>
      <c r="BN145" s="21" t="s">
        <v>753</v>
      </c>
      <c r="BO145" s="19"/>
      <c r="BP145" s="19"/>
      <c r="BQ145" s="19" t="s">
        <v>1593</v>
      </c>
      <c r="BR145" s="19"/>
      <c r="BS145" s="19"/>
      <c r="BT145" s="19"/>
      <c r="BU145" s="19"/>
      <c r="BV145" s="19"/>
      <c r="BW145" s="19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1633</v>
      </c>
    </row>
    <row r="146" spans="1:110" ht="12" customHeight="1" x14ac:dyDescent="0.25">
      <c r="A146" s="15" t="s">
        <v>422</v>
      </c>
      <c r="B146" s="16" t="s">
        <v>40</v>
      </c>
      <c r="C146" s="16" t="s">
        <v>494</v>
      </c>
      <c r="D146" t="s">
        <v>198</v>
      </c>
      <c r="E146" s="19" t="s">
        <v>583</v>
      </c>
      <c r="F146" t="s">
        <v>198</v>
      </c>
      <c r="G146" s="19" t="s">
        <v>585</v>
      </c>
      <c r="H146" s="17" t="s">
        <v>84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152</v>
      </c>
      <c r="V146" s="16">
        <f>V145+1</f>
        <v>145</v>
      </c>
      <c r="W146" s="16" t="s">
        <v>67</v>
      </c>
      <c r="X146" s="16" t="s">
        <v>67</v>
      </c>
      <c r="Y146" s="19" t="s">
        <v>67</v>
      </c>
      <c r="Z146" s="18" t="s">
        <v>275</v>
      </c>
      <c r="AA146" s="16" t="s">
        <v>275</v>
      </c>
      <c r="AB146" s="20" t="s">
        <v>275</v>
      </c>
      <c r="AC146" s="19" t="s">
        <v>67</v>
      </c>
      <c r="AD146" s="20" t="s">
        <v>275</v>
      </c>
      <c r="AE146" s="20" t="s">
        <v>275</v>
      </c>
      <c r="AF146" s="19" t="s">
        <v>732</v>
      </c>
      <c r="AG146"/>
      <c r="AH146"/>
      <c r="AI146"/>
      <c r="AJ146" s="16" t="s">
        <v>149</v>
      </c>
      <c r="AK146"/>
      <c r="AL146" s="16">
        <v>4913</v>
      </c>
      <c r="AM146" s="16" t="s">
        <v>154</v>
      </c>
      <c r="AN146"/>
      <c r="AO146" s="19" t="s">
        <v>824</v>
      </c>
      <c r="AP146" s="19" t="s">
        <v>825</v>
      </c>
      <c r="AQ146" s="19" t="s">
        <v>826</v>
      </c>
      <c r="AR146" s="19" t="s">
        <v>1594</v>
      </c>
      <c r="AS146" s="21" t="s">
        <v>1595</v>
      </c>
      <c r="AT146" s="21" t="s">
        <v>1595</v>
      </c>
      <c r="AU146" s="19" t="s">
        <v>1596</v>
      </c>
      <c r="AV146" s="19" t="s">
        <v>1597</v>
      </c>
      <c r="AW146" s="19">
        <f>LEN(SUBSTITUTE(AV146, ", "," "))</f>
        <v>58</v>
      </c>
      <c r="AX146" s="21" t="s">
        <v>1465</v>
      </c>
      <c r="AY146" s="21" t="s">
        <v>832</v>
      </c>
      <c r="AZ146" s="21" t="s">
        <v>1237</v>
      </c>
      <c r="BA146" s="21" t="s">
        <v>1592</v>
      </c>
      <c r="BB146" s="19"/>
      <c r="BC146" s="21" t="s">
        <v>952</v>
      </c>
      <c r="BD146" s="21" t="s">
        <v>1467</v>
      </c>
      <c r="BE146" s="19"/>
      <c r="BF146" s="19"/>
      <c r="BG146" s="21" t="s">
        <v>835</v>
      </c>
      <c r="BH146" s="21" t="s">
        <v>1468</v>
      </c>
      <c r="BI146" s="19"/>
      <c r="BJ146" s="19"/>
      <c r="BK146" s="19"/>
      <c r="BL146" s="21" t="s">
        <v>751</v>
      </c>
      <c r="BM146" s="21" t="s">
        <v>838</v>
      </c>
      <c r="BN146" s="21" t="s">
        <v>753</v>
      </c>
      <c r="BO146" s="19"/>
      <c r="BP146" s="19"/>
      <c r="BQ146" s="19" t="s">
        <v>1598</v>
      </c>
      <c r="BR146" s="19"/>
      <c r="BS146" s="19"/>
      <c r="BT146" s="19"/>
      <c r="BU146" s="19"/>
      <c r="BV146" s="19"/>
      <c r="BW146" s="19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1633</v>
      </c>
    </row>
    <row r="147" spans="1:110" ht="12" customHeight="1" x14ac:dyDescent="0.25">
      <c r="A147" s="15" t="s">
        <v>422</v>
      </c>
      <c r="B147" s="16" t="s">
        <v>40</v>
      </c>
      <c r="C147" s="16" t="s">
        <v>494</v>
      </c>
      <c r="D147" t="s">
        <v>198</v>
      </c>
      <c r="E147" s="19" t="s">
        <v>583</v>
      </c>
      <c r="F147" t="s">
        <v>198</v>
      </c>
      <c r="G147" s="19" t="s">
        <v>585</v>
      </c>
      <c r="H147" s="17" t="s">
        <v>84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153</v>
      </c>
      <c r="V147" s="16">
        <f>V146+1</f>
        <v>146</v>
      </c>
      <c r="W147" s="16" t="s">
        <v>67</v>
      </c>
      <c r="X147" s="16" t="s">
        <v>67</v>
      </c>
      <c r="Y147" s="19" t="s">
        <v>67</v>
      </c>
      <c r="Z147" s="18" t="s">
        <v>201</v>
      </c>
      <c r="AA147" s="16" t="s">
        <v>201</v>
      </c>
      <c r="AB147" s="20" t="s">
        <v>201</v>
      </c>
      <c r="AC147" s="19" t="s">
        <v>67</v>
      </c>
      <c r="AD147" s="20" t="s">
        <v>201</v>
      </c>
      <c r="AE147" s="20" t="s">
        <v>201</v>
      </c>
      <c r="AF147" s="19" t="s">
        <v>733</v>
      </c>
      <c r="AG147"/>
      <c r="AH147"/>
      <c r="AI147"/>
      <c r="AJ147" s="16" t="s">
        <v>271</v>
      </c>
      <c r="AK147"/>
      <c r="AL147" s="16">
        <v>4913</v>
      </c>
      <c r="AM147" s="16" t="s">
        <v>285</v>
      </c>
      <c r="AN147"/>
      <c r="AO147" s="19" t="s">
        <v>1599</v>
      </c>
      <c r="AP147" s="19"/>
      <c r="AQ147" s="19"/>
      <c r="AR147" s="19" t="s">
        <v>1600</v>
      </c>
      <c r="AS147" s="21" t="s">
        <v>1601</v>
      </c>
      <c r="AT147" s="21" t="s">
        <v>1601</v>
      </c>
      <c r="AU147" s="19" t="s">
        <v>1602</v>
      </c>
      <c r="AV147" s="19" t="s">
        <v>1602</v>
      </c>
      <c r="AW147" s="19">
        <f>LEN(SUBSTITUTE(AV147, ", "," "))</f>
        <v>46</v>
      </c>
      <c r="AX147" s="21" t="s">
        <v>1603</v>
      </c>
      <c r="AY147" s="21" t="s">
        <v>1604</v>
      </c>
      <c r="AZ147" s="21" t="s">
        <v>1605</v>
      </c>
      <c r="BA147" s="19"/>
      <c r="BB147" s="19"/>
      <c r="BC147" s="21" t="s">
        <v>1606</v>
      </c>
      <c r="BD147" s="19"/>
      <c r="BE147" s="19"/>
      <c r="BF147" s="19"/>
      <c r="BG147" s="21" t="s">
        <v>835</v>
      </c>
      <c r="BH147" s="21" t="s">
        <v>1237</v>
      </c>
      <c r="BI147" s="19"/>
      <c r="BJ147" s="19"/>
      <c r="BK147" s="19"/>
      <c r="BL147" s="21" t="s">
        <v>1345</v>
      </c>
      <c r="BM147" s="21" t="s">
        <v>838</v>
      </c>
      <c r="BN147" s="21" t="s">
        <v>753</v>
      </c>
      <c r="BO147" s="19"/>
      <c r="BP147" s="19"/>
      <c r="BQ147" s="19" t="s">
        <v>1607</v>
      </c>
      <c r="BR147" s="19"/>
      <c r="BS147" s="19"/>
      <c r="BT147" s="19"/>
      <c r="BU147" s="19"/>
      <c r="BV147" s="19"/>
      <c r="BW147" s="19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1633</v>
      </c>
    </row>
    <row r="148" spans="1:110" ht="12" customHeight="1" x14ac:dyDescent="0.25">
      <c r="A148" s="15" t="s">
        <v>422</v>
      </c>
      <c r="B148" s="16" t="s">
        <v>40</v>
      </c>
      <c r="C148" s="16" t="s">
        <v>494</v>
      </c>
      <c r="D148" t="s">
        <v>198</v>
      </c>
      <c r="E148" s="19" t="s">
        <v>583</v>
      </c>
      <c r="F148" t="s">
        <v>198</v>
      </c>
      <c r="G148" s="19" t="s">
        <v>585</v>
      </c>
      <c r="H148" s="17" t="s">
        <v>84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154</v>
      </c>
      <c r="V148" s="16">
        <f>V147+1</f>
        <v>147</v>
      </c>
      <c r="W148" s="16" t="s">
        <v>67</v>
      </c>
      <c r="X148" s="16" t="s">
        <v>67</v>
      </c>
      <c r="Y148" s="19" t="s">
        <v>67</v>
      </c>
      <c r="Z148" s="18" t="s">
        <v>395</v>
      </c>
      <c r="AA148" s="16" t="s">
        <v>395</v>
      </c>
      <c r="AB148" s="20" t="s">
        <v>395</v>
      </c>
      <c r="AC148" s="19" t="s">
        <v>67</v>
      </c>
      <c r="AD148" s="20" t="s">
        <v>395</v>
      </c>
      <c r="AE148" s="20" t="s">
        <v>395</v>
      </c>
      <c r="AF148" s="19" t="s">
        <v>734</v>
      </c>
      <c r="AG148"/>
      <c r="AH148"/>
      <c r="AI148"/>
      <c r="AJ148" s="16" t="s">
        <v>539</v>
      </c>
      <c r="AK148"/>
      <c r="AL148" s="16">
        <v>4913</v>
      </c>
      <c r="AM148" s="16" t="s">
        <v>570</v>
      </c>
      <c r="AN148"/>
      <c r="AO148" s="19" t="s">
        <v>1599</v>
      </c>
      <c r="AP148" s="19"/>
      <c r="AQ148" s="19"/>
      <c r="AR148" s="19" t="s">
        <v>1608</v>
      </c>
      <c r="AS148" s="21" t="s">
        <v>1609</v>
      </c>
      <c r="AT148" s="21" t="s">
        <v>1609</v>
      </c>
      <c r="AU148" s="19" t="s">
        <v>1610</v>
      </c>
      <c r="AV148" s="19" t="s">
        <v>1610</v>
      </c>
      <c r="AW148" s="19">
        <f>LEN(SUBSTITUTE(AV148, ", "," "))</f>
        <v>52</v>
      </c>
      <c r="AX148" s="21" t="s">
        <v>1603</v>
      </c>
      <c r="AY148" s="21" t="s">
        <v>1604</v>
      </c>
      <c r="AZ148" s="21" t="s">
        <v>1611</v>
      </c>
      <c r="BA148" s="19"/>
      <c r="BB148" s="19"/>
      <c r="BC148" s="21" t="s">
        <v>1612</v>
      </c>
      <c r="BD148" s="19"/>
      <c r="BE148" s="19"/>
      <c r="BF148" s="19"/>
      <c r="BG148" s="21" t="s">
        <v>835</v>
      </c>
      <c r="BH148" s="21" t="s">
        <v>1613</v>
      </c>
      <c r="BI148" s="19"/>
      <c r="BJ148" s="19"/>
      <c r="BK148" s="19"/>
      <c r="BL148" s="21" t="s">
        <v>1345</v>
      </c>
      <c r="BM148" s="21" t="s">
        <v>838</v>
      </c>
      <c r="BN148" s="21" t="s">
        <v>753</v>
      </c>
      <c r="BO148" s="19"/>
      <c r="BP148" s="19"/>
      <c r="BQ148" s="19" t="s">
        <v>1614</v>
      </c>
      <c r="BR148" s="19"/>
      <c r="BS148" s="19"/>
      <c r="BT148" s="19"/>
      <c r="BU148" s="19"/>
      <c r="BV148" s="19"/>
      <c r="BW148" s="19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1633</v>
      </c>
    </row>
    <row r="149" spans="1:110" ht="12" customHeight="1" x14ac:dyDescent="0.25">
      <c r="A149" s="15" t="s">
        <v>422</v>
      </c>
      <c r="B149" s="16" t="s">
        <v>40</v>
      </c>
      <c r="C149" s="16" t="s">
        <v>494</v>
      </c>
      <c r="D149" t="s">
        <v>198</v>
      </c>
      <c r="E149" s="19" t="s">
        <v>583</v>
      </c>
      <c r="F149" t="s">
        <v>198</v>
      </c>
      <c r="G149" s="19" t="s">
        <v>585</v>
      </c>
      <c r="H149" s="17" t="s">
        <v>84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155</v>
      </c>
      <c r="V149" s="16">
        <f>V148+1</f>
        <v>148</v>
      </c>
      <c r="W149" s="16" t="s">
        <v>67</v>
      </c>
      <c r="X149" s="16" t="s">
        <v>67</v>
      </c>
      <c r="Y149" s="19" t="s">
        <v>67</v>
      </c>
      <c r="Z149" s="18" t="s">
        <v>428</v>
      </c>
      <c r="AA149" s="16" t="s">
        <v>428</v>
      </c>
      <c r="AB149" s="20" t="s">
        <v>428</v>
      </c>
      <c r="AC149" s="19" t="s">
        <v>67</v>
      </c>
      <c r="AD149" s="20" t="s">
        <v>428</v>
      </c>
      <c r="AE149" s="20" t="s">
        <v>428</v>
      </c>
      <c r="AF149" s="19" t="s">
        <v>735</v>
      </c>
      <c r="AG149"/>
      <c r="AH149"/>
      <c r="AI149"/>
      <c r="AJ149" s="16" t="s">
        <v>458</v>
      </c>
      <c r="AK149"/>
      <c r="AL149" s="16">
        <v>4913</v>
      </c>
      <c r="AM149" s="16" t="s">
        <v>158</v>
      </c>
      <c r="AN149"/>
      <c r="AO149" s="19" t="s">
        <v>1615</v>
      </c>
      <c r="AP149" s="19"/>
      <c r="AQ149" s="19"/>
      <c r="AR149" s="19" t="s">
        <v>1616</v>
      </c>
      <c r="AS149" s="21" t="s">
        <v>1617</v>
      </c>
      <c r="AT149" s="21" t="s">
        <v>1617</v>
      </c>
      <c r="AU149" s="19" t="s">
        <v>1618</v>
      </c>
      <c r="AV149" s="19" t="s">
        <v>1618</v>
      </c>
      <c r="AW149" s="19">
        <f>LEN(SUBSTITUTE(AV149, ", "," "))</f>
        <v>43</v>
      </c>
      <c r="AX149" s="21" t="s">
        <v>1619</v>
      </c>
      <c r="AY149" s="21" t="s">
        <v>1620</v>
      </c>
      <c r="AZ149" s="21" t="s">
        <v>1621</v>
      </c>
      <c r="BA149" s="19"/>
      <c r="BB149" s="19"/>
      <c r="BC149" s="19"/>
      <c r="BD149" s="19"/>
      <c r="BE149" s="19"/>
      <c r="BF149" s="19"/>
      <c r="BG149" s="21" t="s">
        <v>835</v>
      </c>
      <c r="BH149" s="21" t="s">
        <v>1237</v>
      </c>
      <c r="BI149" s="19"/>
      <c r="BJ149" s="19"/>
      <c r="BK149" s="19"/>
      <c r="BL149" s="21" t="s">
        <v>1345</v>
      </c>
      <c r="BM149" s="21" t="s">
        <v>838</v>
      </c>
      <c r="BN149" s="21" t="s">
        <v>753</v>
      </c>
      <c r="BO149" s="19"/>
      <c r="BP149" s="19"/>
      <c r="BQ149" s="19" t="s">
        <v>1622</v>
      </c>
      <c r="BR149" s="19"/>
      <c r="BS149" s="19"/>
      <c r="BT149" s="19"/>
      <c r="BU149" s="19"/>
      <c r="BV149" s="19"/>
      <c r="BW149" s="1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1633</v>
      </c>
    </row>
    <row r="150" spans="1:110" ht="12" customHeight="1" x14ac:dyDescent="0.25">
      <c r="A150" s="15" t="s">
        <v>422</v>
      </c>
      <c r="B150" s="16" t="s">
        <v>40</v>
      </c>
      <c r="C150" s="16" t="s">
        <v>494</v>
      </c>
      <c r="D150" t="s">
        <v>198</v>
      </c>
      <c r="E150" s="19" t="s">
        <v>583</v>
      </c>
      <c r="F150" t="s">
        <v>198</v>
      </c>
      <c r="G150" s="19" t="s">
        <v>585</v>
      </c>
      <c r="H150" s="17" t="s">
        <v>84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156</v>
      </c>
      <c r="V150" s="16">
        <f>V149+1</f>
        <v>149</v>
      </c>
      <c r="W150" s="16" t="s">
        <v>67</v>
      </c>
      <c r="X150" s="16" t="s">
        <v>67</v>
      </c>
      <c r="Y150" s="19" t="s">
        <v>67</v>
      </c>
      <c r="Z150" s="18" t="s">
        <v>537</v>
      </c>
      <c r="AA150" s="16" t="s">
        <v>537</v>
      </c>
      <c r="AB150" s="20" t="s">
        <v>537</v>
      </c>
      <c r="AC150" s="19" t="s">
        <v>67</v>
      </c>
      <c r="AD150" s="20" t="s">
        <v>537</v>
      </c>
      <c r="AE150" s="20" t="s">
        <v>537</v>
      </c>
      <c r="AF150" s="19" t="s">
        <v>736</v>
      </c>
      <c r="AG150"/>
      <c r="AH150"/>
      <c r="AI150"/>
      <c r="AJ150" s="16" t="s">
        <v>359</v>
      </c>
      <c r="AK150"/>
      <c r="AL150" s="16">
        <v>4913</v>
      </c>
      <c r="AM150" s="16" t="s">
        <v>529</v>
      </c>
      <c r="AN150"/>
      <c r="AO150" s="19" t="s">
        <v>1615</v>
      </c>
      <c r="AP150" s="19"/>
      <c r="AQ150" s="19"/>
      <c r="AR150" s="19" t="s">
        <v>1623</v>
      </c>
      <c r="AS150" s="21" t="s">
        <v>1624</v>
      </c>
      <c r="AT150" s="21" t="s">
        <v>1624</v>
      </c>
      <c r="AU150" s="19" t="s">
        <v>1625</v>
      </c>
      <c r="AV150" s="19" t="s">
        <v>1625</v>
      </c>
      <c r="AW150" s="19">
        <f>LEN(SUBSTITUTE(AV150, ", "," "))</f>
        <v>43</v>
      </c>
      <c r="AX150" s="21" t="s">
        <v>1619</v>
      </c>
      <c r="AY150" s="21" t="s">
        <v>1620</v>
      </c>
      <c r="AZ150" s="21" t="s">
        <v>1626</v>
      </c>
      <c r="BA150" s="19"/>
      <c r="BB150" s="19"/>
      <c r="BC150" s="19"/>
      <c r="BD150" s="19"/>
      <c r="BE150" s="19"/>
      <c r="BF150" s="19"/>
      <c r="BG150" s="21" t="s">
        <v>835</v>
      </c>
      <c r="BH150" s="21" t="s">
        <v>1237</v>
      </c>
      <c r="BI150" s="19"/>
      <c r="BJ150" s="19"/>
      <c r="BK150" s="19"/>
      <c r="BL150" s="21" t="s">
        <v>1345</v>
      </c>
      <c r="BM150" s="21" t="s">
        <v>838</v>
      </c>
      <c r="BN150" s="21" t="s">
        <v>753</v>
      </c>
      <c r="BO150" s="19"/>
      <c r="BP150" s="19"/>
      <c r="BQ150" s="19" t="s">
        <v>1627</v>
      </c>
      <c r="BR150" s="19"/>
      <c r="BS150" s="19"/>
      <c r="BT150" s="19"/>
      <c r="BU150" s="19"/>
      <c r="BV150" s="19"/>
      <c r="BW150" s="19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1633</v>
      </c>
    </row>
    <row r="151" spans="1:110" ht="12" customHeight="1" x14ac:dyDescent="0.25">
      <c r="A151" s="15" t="s">
        <v>422</v>
      </c>
      <c r="B151" s="16" t="s">
        <v>40</v>
      </c>
      <c r="C151" s="16" t="s">
        <v>494</v>
      </c>
      <c r="D151" t="s">
        <v>198</v>
      </c>
      <c r="E151" s="19" t="s">
        <v>583</v>
      </c>
      <c r="F151" t="s">
        <v>198</v>
      </c>
      <c r="G151" s="19" t="s">
        <v>585</v>
      </c>
      <c r="H151" s="17" t="s">
        <v>84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157</v>
      </c>
      <c r="V151" s="16">
        <f>V150+1</f>
        <v>150</v>
      </c>
      <c r="W151" s="16" t="s">
        <v>67</v>
      </c>
      <c r="X151" s="16" t="s">
        <v>67</v>
      </c>
      <c r="Y151" s="19" t="s">
        <v>67</v>
      </c>
      <c r="Z151" s="18" t="s">
        <v>212</v>
      </c>
      <c r="AA151" s="16" t="s">
        <v>212</v>
      </c>
      <c r="AB151" s="20" t="s">
        <v>212</v>
      </c>
      <c r="AC151" s="19" t="s">
        <v>67</v>
      </c>
      <c r="AD151" s="20" t="s">
        <v>212</v>
      </c>
      <c r="AE151" s="20" t="s">
        <v>212</v>
      </c>
      <c r="AF151" s="19" t="s">
        <v>737</v>
      </c>
      <c r="AG151"/>
      <c r="AH151"/>
      <c r="AI151"/>
      <c r="AJ151" s="16" t="s">
        <v>202</v>
      </c>
      <c r="AK151"/>
      <c r="AL151" s="16">
        <v>4913</v>
      </c>
      <c r="AM151" s="16" t="s">
        <v>11</v>
      </c>
      <c r="AN151"/>
      <c r="AO151" s="19" t="s">
        <v>1615</v>
      </c>
      <c r="AP151" s="19"/>
      <c r="AQ151" s="19"/>
      <c r="AR151" s="19" t="s">
        <v>1628</v>
      </c>
      <c r="AS151" s="21" t="s">
        <v>1629</v>
      </c>
      <c r="AT151" s="21" t="s">
        <v>1629</v>
      </c>
      <c r="AU151" s="19" t="s">
        <v>1630</v>
      </c>
      <c r="AV151" s="19" t="s">
        <v>1630</v>
      </c>
      <c r="AW151" s="19">
        <f>LEN(SUBSTITUTE(AV151, ", "," "))</f>
        <v>43</v>
      </c>
      <c r="AX151" s="21" t="s">
        <v>1619</v>
      </c>
      <c r="AY151" s="21" t="s">
        <v>1620</v>
      </c>
      <c r="AZ151" s="21" t="s">
        <v>1631</v>
      </c>
      <c r="BA151" s="19"/>
      <c r="BB151" s="19"/>
      <c r="BC151" s="19"/>
      <c r="BD151" s="19"/>
      <c r="BE151" s="19"/>
      <c r="BF151" s="19"/>
      <c r="BG151" s="21" t="s">
        <v>835</v>
      </c>
      <c r="BH151" s="21" t="s">
        <v>1237</v>
      </c>
      <c r="BI151" s="19"/>
      <c r="BJ151" s="19"/>
      <c r="BK151" s="19"/>
      <c r="BL151" s="21" t="s">
        <v>1345</v>
      </c>
      <c r="BM151" s="21" t="s">
        <v>838</v>
      </c>
      <c r="BN151" s="21" t="s">
        <v>753</v>
      </c>
      <c r="BO151" s="19"/>
      <c r="BP151" s="19"/>
      <c r="BQ151" s="19" t="s">
        <v>1632</v>
      </c>
      <c r="BR151" s="19"/>
      <c r="BS151" s="19"/>
      <c r="BT151" s="19"/>
      <c r="BU151" s="19"/>
      <c r="BV151" s="19"/>
      <c r="BW151" s="19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1633</v>
      </c>
    </row>
  </sheetData>
  <autoFilter ref="A1:DG151"/>
  <sortState ref="A2:DG151">
    <sortCondition ref="U2:U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2023-07-25T13:45:52Z</dcterms:modified>
</cp:coreProperties>
</file>