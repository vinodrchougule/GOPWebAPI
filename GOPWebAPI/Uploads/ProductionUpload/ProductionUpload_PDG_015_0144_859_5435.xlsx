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Sheet1!$A$1:$CG$51</definedName>
  </definedNames>
  <calcPr calcId="145621"/>
  <webPublishing codePage="0"/>
</workbook>
</file>

<file path=xl/calcChain.xml><?xml version="1.0" encoding="utf-8"?>
<calcChain xmlns="http://schemas.openxmlformats.org/spreadsheetml/2006/main">
  <c r="AU51" i="1" l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<sst xmlns="http://schemas.openxmlformats.org/spreadsheetml/2006/main" count="2632" uniqueCount="1159">
  <si>
    <t>102369</t>
  </si>
  <si>
    <t>CMW 2</t>
  </si>
  <si>
    <t>TRIFECTA VIABLE CELL ALLOGRAFT 1CC</t>
  </si>
  <si>
    <t>42241506</t>
  </si>
  <si>
    <t>BARD PERIPHERAL VASCULAR INC</t>
  </si>
  <si>
    <t>11713873</t>
  </si>
  <si>
    <t>102813</t>
  </si>
  <si>
    <t>R2275</t>
  </si>
  <si>
    <t>A6402</t>
  </si>
  <si>
    <t>551367</t>
  </si>
  <si>
    <t>Orlando Long 300 Desc</t>
  </si>
  <si>
    <t>KNIFE SURG SLIT 2.8MM ANGLED</t>
  </si>
  <si>
    <t>TRAY PERIFIX EPIDURAL LIDO</t>
  </si>
  <si>
    <t>Ref#</t>
  </si>
  <si>
    <t>37766537</t>
  </si>
  <si>
    <t>SPACER SPNL SHRL 7 16X14X7MM</t>
  </si>
  <si>
    <t>CARDINAL HEALTHCARE</t>
  </si>
  <si>
    <t>Sort Comment</t>
  </si>
  <si>
    <t>HENRY SCHEIN INC</t>
  </si>
  <si>
    <t>Secondary Dimension(IDXODXWXHXDXTHKXL)</t>
  </si>
  <si>
    <t>SPACER SPNL SHRL 7 16X14X6MM</t>
  </si>
  <si>
    <t>URL</t>
  </si>
  <si>
    <t>BSMH_Material</t>
  </si>
  <si>
    <t>COIL EMB L30CM DIA9MM 360DEG STD DETACH TARGET XL</t>
  </si>
  <si>
    <t>AXIOFILL</t>
  </si>
  <si>
    <t>500947</t>
  </si>
  <si>
    <t>MERIT MEDICAL</t>
  </si>
  <si>
    <t>J &amp; J DEPUY SYN JOINT RECON</t>
  </si>
  <si>
    <t>COVI</t>
  </si>
  <si>
    <t>402112</t>
  </si>
  <si>
    <t>504001</t>
  </si>
  <si>
    <t>42241809</t>
  </si>
  <si>
    <t>7002449</t>
  </si>
  <si>
    <t>BrandName1</t>
  </si>
  <si>
    <t>C1762</t>
  </si>
  <si>
    <t>SPACER SPINAL INTEGRATED 7 DEGREE 16X14X6 MM NO PROFILE STERILE</t>
  </si>
  <si>
    <t>8881207018</t>
  </si>
  <si>
    <t>ALLOGRAFT BONE 5 CC VIABLE CELLULAR BONE MATRIX TRIFECTA</t>
  </si>
  <si>
    <t>42221607</t>
  </si>
  <si>
    <t>SPACER SPINAL INTEGRATED 7 DEGREE 16X14X7 MM NO PROFILE STERILE</t>
  </si>
  <si>
    <t>DILATOR SURGICAL OVER THE WIRE 12 MM ESOPHAGEAL RIGID POLYVINYL STERILE CLEANGUIDE DISPOSABLE</t>
  </si>
  <si>
    <t>42295516</t>
  </si>
  <si>
    <t>102826</t>
  </si>
  <si>
    <t>OG-430PC</t>
  </si>
  <si>
    <t>ProdigoReferenceID</t>
  </si>
  <si>
    <t>1023576</t>
  </si>
  <si>
    <t>41300457</t>
  </si>
  <si>
    <t>34778033</t>
  </si>
  <si>
    <t>37766533</t>
  </si>
  <si>
    <t>INTRODUCER COAX 4FRX10CM 21GA</t>
  </si>
  <si>
    <t>MANUF-DIVISION</t>
  </si>
  <si>
    <t>42296705</t>
  </si>
  <si>
    <t>ALLOGRAFT BN TRIFECTA 1CC</t>
  </si>
  <si>
    <t>DILATOR SURGICAL OVER THE WIRE 14 MM ESOPHAGEAL RIGID POLYVINYL STERILE CLEANGUIDE DISPOSABLE</t>
  </si>
  <si>
    <t>1161112</t>
  </si>
  <si>
    <t>CLEANGUIDE</t>
  </si>
  <si>
    <t>Property</t>
  </si>
  <si>
    <t>HOSPIRA WORLDWIDE</t>
  </si>
  <si>
    <t>12297637</t>
  </si>
  <si>
    <t>2479578</t>
  </si>
  <si>
    <t>0659270</t>
  </si>
  <si>
    <t>DILATOR ESPGHL CLEANGUIDE 11MM</t>
  </si>
  <si>
    <t>1028700</t>
  </si>
  <si>
    <t>8137.0105S</t>
  </si>
  <si>
    <t>12076985</t>
  </si>
  <si>
    <t>CG-15-3</t>
  </si>
  <si>
    <t>8137.0101S</t>
  </si>
  <si>
    <t>DILATOR ESPGHL CLEANGUIDE 09MM</t>
  </si>
  <si>
    <t>Potential / Duplicate Across Consolidated</t>
  </si>
  <si>
    <t>OM</t>
  </si>
  <si>
    <t>DILATOR SURGICAL OVER THE WIRE 7 MM ESOPHAGEAL RIGID POLYVINYL STERILE CLEANGUIDE DISPOSABLE</t>
  </si>
  <si>
    <t>Accepted Date</t>
  </si>
  <si>
    <t>AVANOS MEDICAL INC-CSC ONLY</t>
  </si>
  <si>
    <t>11713875</t>
  </si>
  <si>
    <t>5558388</t>
  </si>
  <si>
    <t>FILTER STRAW</t>
  </si>
  <si>
    <t>DILATOR ESPGHL CLEANGUIDE 14MM</t>
  </si>
  <si>
    <t>680618</t>
  </si>
  <si>
    <t>AXIOFILL250MG</t>
  </si>
  <si>
    <t>Description Duplicate</t>
  </si>
  <si>
    <t>QE Code</t>
  </si>
  <si>
    <t>CG-14-3</t>
  </si>
  <si>
    <t>BARD</t>
  </si>
  <si>
    <t>5070062</t>
  </si>
  <si>
    <t>102819</t>
  </si>
  <si>
    <t>102839</t>
  </si>
  <si>
    <t>102829</t>
  </si>
  <si>
    <t>Sterile</t>
  </si>
  <si>
    <t>37790263</t>
  </si>
  <si>
    <t>DILATOR ESPGHL CLEANGUIDE 07MM</t>
  </si>
  <si>
    <t>51473504</t>
  </si>
  <si>
    <t>FASTENER KIT IMPLANTABLE WITH DELIVERY DEVICE CARTRIDGE SEROSAFUSE</t>
  </si>
  <si>
    <t>500946</t>
  </si>
  <si>
    <t>Catheter IV TrueSafe Safety 16gx1.77" Ea</t>
  </si>
  <si>
    <t>39076575</t>
  </si>
  <si>
    <t>CURITY</t>
  </si>
  <si>
    <t>CG-17-3</t>
  </si>
  <si>
    <t>ALCON LABS INC</t>
  </si>
  <si>
    <t>B4087</t>
  </si>
  <si>
    <t>BSMH_Volume/Weight</t>
  </si>
  <si>
    <t>DILATOR ESPGHL CLEANGUIDE 12MM</t>
  </si>
  <si>
    <t>AR-3653SP</t>
  </si>
  <si>
    <t>Ref</t>
  </si>
  <si>
    <t>42295502</t>
  </si>
  <si>
    <t>PrimaryDimension(IDXODXWXHXDXTHKXL)</t>
  </si>
  <si>
    <t>DILATOR ESPGHL CLEANGUIDE 20MM</t>
  </si>
  <si>
    <t>102853SPECIAL</t>
  </si>
  <si>
    <t>C1894</t>
  </si>
  <si>
    <t>DILATOR ESPGHL CLEANGUIDE 08MM</t>
  </si>
  <si>
    <t>SEROSAFUSE</t>
  </si>
  <si>
    <t>RefName</t>
  </si>
  <si>
    <t>ADVANCED MEDICAL SYSTEMS</t>
  </si>
  <si>
    <t>1685586</t>
  </si>
  <si>
    <t>KIT INTRO ACCS 4FR L10CM GWIRE 0018IN NDL 21GA L7CM STD</t>
  </si>
  <si>
    <t>DILATOR ESPGHL CLEANGUIDE 05MM</t>
  </si>
  <si>
    <t>CG-16-3</t>
  </si>
  <si>
    <t>DILATOR SURGICAL OVER THE WIRE 18 MM ESOPHAGEAL RIGID POLYVINYL STERILE CLEANGUIDE DISPOSABLE</t>
  </si>
  <si>
    <t>SE Code</t>
  </si>
  <si>
    <t>42296011</t>
  </si>
  <si>
    <t>85-0106-S</t>
  </si>
  <si>
    <t>IMPLANT GYN DESAR SLING</t>
  </si>
  <si>
    <t>SPACER SPNL SHRL 7 14X13X6MM</t>
  </si>
  <si>
    <t>DILATOR SURGICAL OVER THE WIRE 16 MM ESOPHAGEAL RIGID POLYVINYL STERILE CLEANGUIDE DISPOSABLE</t>
  </si>
  <si>
    <t>DILATOR ESPGHL CLEANGUIDE 10MM</t>
  </si>
  <si>
    <t>M0036109300</t>
  </si>
  <si>
    <t>102844</t>
  </si>
  <si>
    <t>SOL IRR STRL WATER 3000CC BAG</t>
  </si>
  <si>
    <t>CATH IV TRUESAFE 16G X 1.77IN</t>
  </si>
  <si>
    <t>42295415</t>
  </si>
  <si>
    <t>VENDOR</t>
  </si>
  <si>
    <t>7</t>
  </si>
  <si>
    <t>Production User</t>
  </si>
  <si>
    <t>BSMH_SIZE</t>
  </si>
  <si>
    <t>Quality A/R</t>
  </si>
  <si>
    <t>37766541</t>
  </si>
  <si>
    <t>CG-11-3</t>
  </si>
  <si>
    <t>BSN MEDICAL</t>
  </si>
  <si>
    <t>102850</t>
  </si>
  <si>
    <t>Final</t>
  </si>
  <si>
    <t>42221512</t>
  </si>
  <si>
    <t>CAL-DS3211</t>
  </si>
  <si>
    <t>8065982865</t>
  </si>
  <si>
    <t>06AB</t>
  </si>
  <si>
    <t>DILATOR SURGICAL OVER THE WIRE 10 MM ESOPHAGEAL RIGID POLYVINYL STERILE CLEANGUIDE DISPOSABLE</t>
  </si>
  <si>
    <t>37766538</t>
  </si>
  <si>
    <t>SHORELINE ACS</t>
  </si>
  <si>
    <t>ALLOGRAFT BN TRIFECTA 5CC</t>
  </si>
  <si>
    <t>42321605</t>
  </si>
  <si>
    <t>DEPUY ORTHO</t>
  </si>
  <si>
    <t>IMMOBILIZER ORTHOPAEDIC UNIVERSAL 7 IN 10.517 SHOULDER ABDUCTION PILLOW BREATHABLE EASY OPEN FRONT PANEL FULL PAD STRAP MESH FABRIC QUICKFIT ORTHOPEDIC 7IN 10.517IN</t>
  </si>
  <si>
    <t>SPLINT ORTHO ORTGLS 4 X 30 WHT</t>
  </si>
  <si>
    <t>102825</t>
  </si>
  <si>
    <t>C1889</t>
  </si>
  <si>
    <t>102845</t>
  </si>
  <si>
    <t>PCM-0500</t>
  </si>
  <si>
    <t>11475634</t>
  </si>
  <si>
    <t>CG-10-3</t>
  </si>
  <si>
    <t>39076151</t>
  </si>
  <si>
    <t>DILATOR ESPGHL CLEANGUIDE 06MM</t>
  </si>
  <si>
    <t>42292601</t>
  </si>
  <si>
    <t>33783934</t>
  </si>
  <si>
    <t>102835</t>
  </si>
  <si>
    <t>IV Extension Set Ndls 17 SmrtSt Inj Sts Male Luer Lock/Female Luer Lock 50/Ca</t>
  </si>
  <si>
    <t>KIT INTRNL FIX LNT 4.75 BC KL</t>
  </si>
  <si>
    <t>BSMH Long 254 Desc</t>
  </si>
  <si>
    <t>TRIFECTA</t>
  </si>
  <si>
    <t>DILATOR ESPGHL CLEANGUIDE 15MM</t>
  </si>
  <si>
    <t>COVER MAYO STAND 30 X 57 STD</t>
  </si>
  <si>
    <t>SOLUTION IRRGTN 3LT STRL WATER</t>
  </si>
  <si>
    <t>CG-13-3</t>
  </si>
  <si>
    <t>COIL TARGET 360  ST XL 9/30</t>
  </si>
  <si>
    <t>GLOBUS MEDICAL</t>
  </si>
  <si>
    <t>ALLOGRAFT AXIOFILL ECM 500MG</t>
  </si>
  <si>
    <t>ALLOGRAFT HUMAN TISSUE PARTICULATE 500 MG AXIOFILL</t>
  </si>
  <si>
    <t>VEN-ITEM</t>
  </si>
  <si>
    <t>STRAW FILTER FLUID ASPIRATION</t>
  </si>
  <si>
    <t>37766530</t>
  </si>
  <si>
    <t>37766540</t>
  </si>
  <si>
    <t>A4590</t>
  </si>
  <si>
    <t>Location</t>
  </si>
  <si>
    <t>HALYARD</t>
  </si>
  <si>
    <t>ORTHO GLASS</t>
  </si>
  <si>
    <t>DILATOR ESPGHL CLEANGUIDE 18MM</t>
  </si>
  <si>
    <t>CG-12-3</t>
  </si>
  <si>
    <t>CAL-DS2113</t>
  </si>
  <si>
    <t>1040590</t>
  </si>
  <si>
    <t>MILK319</t>
  </si>
  <si>
    <t>Customer Code</t>
  </si>
  <si>
    <t>DILATOR ESPGHL CLEANGUIDE 13MM</t>
  </si>
  <si>
    <t>HCPCS</t>
  </si>
  <si>
    <t>Miscellaneous</t>
  </si>
  <si>
    <t>ALLOGRAFT HUMAN TISSUE 1000 MG DRY PASTE APPLICATION PARTICULATE AXIOFILL</t>
  </si>
  <si>
    <t>DESARA</t>
  </si>
  <si>
    <t>ALLOGRAFT BONE 10 CC VIABLE CELLULAR BONE MATRIX TRIFECTA</t>
  </si>
  <si>
    <t>41300456</t>
  </si>
  <si>
    <t>LongDescription</t>
  </si>
  <si>
    <t>ENDO GASTRIC SOLUTIONS</t>
  </si>
  <si>
    <t>HALYARD O &amp; M</t>
  </si>
  <si>
    <t>BrandName</t>
  </si>
  <si>
    <t>CLEARCUT HP2 SLIT KNIFE DUAL BEVEL 2.8MM ANGLED</t>
  </si>
  <si>
    <t>DILATOR ESPGHL CLEANGUIDE 16MM</t>
  </si>
  <si>
    <t>102831</t>
  </si>
  <si>
    <t>102821</t>
  </si>
  <si>
    <t>102851</t>
  </si>
  <si>
    <t>102841</t>
  </si>
  <si>
    <t>ALLOGRAFT AXIOFILL ECM 250MG</t>
  </si>
  <si>
    <t>IMMOBILIZER ORTHO UNIV SHLDR</t>
  </si>
  <si>
    <t>8699627</t>
  </si>
  <si>
    <t>NO PROFILE SPACER 14X13X6MM 7 DEGREE STERILE</t>
  </si>
  <si>
    <t>Modifier</t>
  </si>
  <si>
    <t>Verified MFR Name</t>
  </si>
  <si>
    <t>BSMH_Packaging for drugs and solutions</t>
  </si>
  <si>
    <t>MIMEDX</t>
  </si>
  <si>
    <t>ARTHREX</t>
  </si>
  <si>
    <t>CONMED CORPORATION</t>
  </si>
  <si>
    <t>Short Desc 30</t>
  </si>
  <si>
    <t>DRAPE EQUIPMENT MAYO STAND XLARGE 30X57 IN</t>
  </si>
  <si>
    <t>MED</t>
  </si>
  <si>
    <t>L3650</t>
  </si>
  <si>
    <t>Production Comments</t>
  </si>
  <si>
    <t>CATH CV HCKN TRIFUS 12FX27CM</t>
  </si>
  <si>
    <t>1248125</t>
  </si>
  <si>
    <t>85-0207-S</t>
  </si>
  <si>
    <t>6868242</t>
  </si>
  <si>
    <t>ARTHREX INC</t>
  </si>
  <si>
    <t>42292904</t>
  </si>
  <si>
    <t>CATHETER CTRL VEN L32CM OD12FR TIP L27CM POLYUR 3 LUMN HCKMN</t>
  </si>
  <si>
    <t>STRYKER SUST - COVIDIEN</t>
  </si>
  <si>
    <t>CEMENT BONE 20 GM STERILE CMW 2 DEPUY 20GM</t>
  </si>
  <si>
    <t>Volume/Weight</t>
  </si>
  <si>
    <t>37766534</t>
  </si>
  <si>
    <t>37766544</t>
  </si>
  <si>
    <t>FORMULA SUPPL 100ML 19 CAL OZ</t>
  </si>
  <si>
    <t>85-0206-S</t>
  </si>
  <si>
    <t>LF2019R</t>
  </si>
  <si>
    <t>Start Date</t>
  </si>
  <si>
    <t>37766531</t>
  </si>
  <si>
    <t>APVENMAST#VENDOR-VNAME</t>
  </si>
  <si>
    <t>6939</t>
  </si>
  <si>
    <t>CEMENT BONE 20 GM STERILE CMW 2</t>
  </si>
  <si>
    <t>C1713</t>
  </si>
  <si>
    <t>1035167</t>
  </si>
  <si>
    <t>COIL EMBOLIZATION L30CM DIA9MM 360DEG STANDARD DETACHABLE TARGET XL</t>
  </si>
  <si>
    <t>DILATOR SURGICAL OVER THE WIRE 15 MM ESOPHAGEAL RIGID POLYVINYL STERILE CLEANGUIDE DISPOSABLE</t>
  </si>
  <si>
    <t>BSMH_Modifier</t>
  </si>
  <si>
    <t>MANUF-CODE</t>
  </si>
  <si>
    <t>MAK405</t>
  </si>
  <si>
    <t>DILATOR SURGICAL OVER THE WIRE 6 MM ESOPHAGEAL RIGID POLYVINYL STERILE CLEANGUIDE DISPOSABLE</t>
  </si>
  <si>
    <t>TUBE JSTMY MIC 14FR 7-10ML</t>
  </si>
  <si>
    <t>16942813</t>
  </si>
  <si>
    <t>Remarks</t>
  </si>
  <si>
    <t>DILATOR SURGICAL OVER THE WIRE 9 MM ESOPHAGEAL RIGID POLYVINYL STERILE CLEANGUIDE DISPOSABLE</t>
  </si>
  <si>
    <t>SLING UROLOGICAL SINGLE INCISION FEMALE STRESS INCONTINENCE BLUE DESARA</t>
  </si>
  <si>
    <t>77615</t>
  </si>
  <si>
    <t>BSMH_PrimaryDimension(IDXODXLXWXHXDXTHK)</t>
  </si>
  <si>
    <t>SS-112-1</t>
  </si>
  <si>
    <t>525725</t>
  </si>
  <si>
    <t>38931372</t>
  </si>
  <si>
    <t>DILATOR SURGICAL OVER THE WIRE 17 MM ESOPHAGEAL RIGID POLYVINYL STERILE CLEANGUIDE DISPOSABLE</t>
  </si>
  <si>
    <t>QE Comments</t>
  </si>
  <si>
    <t>2277423</t>
  </si>
  <si>
    <t>KIT FASTENER SURG SEROSAFUSE</t>
  </si>
  <si>
    <t>RefCat</t>
  </si>
  <si>
    <t>1027451</t>
  </si>
  <si>
    <t>CG-19-3</t>
  </si>
  <si>
    <t>CLEARCUT</t>
  </si>
  <si>
    <t>102836</t>
  </si>
  <si>
    <t>415021</t>
  </si>
  <si>
    <t>102846</t>
  </si>
  <si>
    <t>DILATOR SURGICAL OVER THE WIRE 8 MM ESOPHAGEAL RIGID POLYVINYL STERILE CLEANGUIDE DISPOSABLE</t>
  </si>
  <si>
    <t>Len</t>
  </si>
  <si>
    <t>ITEMMAST#DESCRIPTION</t>
  </si>
  <si>
    <t>3322020</t>
  </si>
  <si>
    <t>MS-84416</t>
  </si>
  <si>
    <t>NDL HYPDRMC 21G X 2IN LAVENDER</t>
  </si>
  <si>
    <t>DISSECTOR LIGASURE EXACT REP</t>
  </si>
  <si>
    <t>NEUR</t>
  </si>
  <si>
    <t>6474174</t>
  </si>
  <si>
    <t>39076363</t>
  </si>
  <si>
    <t>602575</t>
  </si>
  <si>
    <t>1032311</t>
  </si>
  <si>
    <t>CG-18-3</t>
  </si>
  <si>
    <t>SOLUTION IRRIGATION STERILE WATER 3 LT INJECTION FLEXIBLE CONTAINER 1/EA 4/CA</t>
  </si>
  <si>
    <t>1026969</t>
  </si>
  <si>
    <t>BSMH_Property</t>
  </si>
  <si>
    <t>SET EXTSN SMRTSITE 17IN</t>
  </si>
  <si>
    <t>34975959</t>
  </si>
  <si>
    <t>QUICKFIT</t>
  </si>
  <si>
    <t/>
  </si>
  <si>
    <t>AR-1665KBCSL</t>
  </si>
  <si>
    <t>TRIFECTA VIABLE CELL ALLGRFT 1CC</t>
  </si>
  <si>
    <t>ALLOGRAFT BN TRIFECTA 10CC</t>
  </si>
  <si>
    <t>37766535</t>
  </si>
  <si>
    <t>ASIS Description (Long  Desc 4000)</t>
  </si>
  <si>
    <t>1037913</t>
  </si>
  <si>
    <t>ABB79730808</t>
  </si>
  <si>
    <t>CG-08-3</t>
  </si>
  <si>
    <t>AVANOS MEDICAL</t>
  </si>
  <si>
    <t>Material</t>
  </si>
  <si>
    <t>Size</t>
  </si>
  <si>
    <t>SEALER/DIVIDER LPRSCPC 44CM RP</t>
  </si>
  <si>
    <t>Activities</t>
  </si>
  <si>
    <t>ShortDescription</t>
  </si>
  <si>
    <t>TRAY EPIDURAL CUSTOM SINGLE SHOT W/18GA NEEDLE LUERLOCK SYRINGE DRAPE PAPER TOWEL LIDOCAINE PERIFIX LATEXFREE STERILE SINGLEUSE</t>
  </si>
  <si>
    <t>33579675</t>
  </si>
  <si>
    <t>4291262</t>
  </si>
  <si>
    <t>10712690</t>
  </si>
  <si>
    <t>500945</t>
  </si>
  <si>
    <t>FILTER INTRAVENOUS FLEXIBLE 5 MH 1.75 IN GLASS AMPULE STRAW</t>
  </si>
  <si>
    <t>32202989</t>
  </si>
  <si>
    <t>42231603</t>
  </si>
  <si>
    <t>DILATOR SURGICAL OVER THE WIRE 19 MM ESOPHAGEAL RIGID POLYVINYL STERILE CLEANGUIDE DISPOSABLE</t>
  </si>
  <si>
    <t>BSMH_AGE</t>
  </si>
  <si>
    <t>Short Desc</t>
  </si>
  <si>
    <t>MIMEDX GROUP INC</t>
  </si>
  <si>
    <t>STRYKER NEUROVASCULAR</t>
  </si>
  <si>
    <t>500948</t>
  </si>
  <si>
    <t>Latex</t>
  </si>
  <si>
    <t>BSMH_Gender</t>
  </si>
  <si>
    <t>CG-05-3</t>
  </si>
  <si>
    <t>5076773</t>
  </si>
  <si>
    <t>SPLINT ORTHOPEDIC PRE CUT 30X4 IN WRINKLE FREE ROLL FORM EASY STRETCH FIBERGLASS ORTHOGLASS LATEXFREE</t>
  </si>
  <si>
    <t>CEMENT BN QUICK SET 20GM</t>
  </si>
  <si>
    <t>KIT INTRODUCER ACCESS 4FR L10CM GUIDEWIRE 0018IN NEEDLE 21GA L7CM STANDARD MINI NITINOL PLATINUM MAK</t>
  </si>
  <si>
    <t>Potential Duplicate</t>
  </si>
  <si>
    <t>SOLUTION IRRIGATION STERILE WATER 3000 ML USP TITAN XL CONTAINER HYPOTONIC NONPYROGENIC 4/CA FOR</t>
  </si>
  <si>
    <t>2200245</t>
  </si>
  <si>
    <t>Noun</t>
  </si>
  <si>
    <t>MEDSOURCE INTERNATIONAL LLC</t>
  </si>
  <si>
    <t>1008051</t>
  </si>
  <si>
    <t>ALLOGRAFT AXIOFILL ECM 1000MG</t>
  </si>
  <si>
    <t>102832</t>
  </si>
  <si>
    <t>102822</t>
  </si>
  <si>
    <t>102852</t>
  </si>
  <si>
    <t>102842</t>
  </si>
  <si>
    <t>BSMH_NOUN</t>
  </si>
  <si>
    <t>C1751</t>
  </si>
  <si>
    <t>35082516</t>
  </si>
  <si>
    <t>SPONGE GAUZE 4X4 IN 12 PLY USP TYPE VII MINOR PREPPING COTTON 100% STERILE CURITY LATEX DISPOSABLE SPONGES 4 X 12PLY</t>
  </si>
  <si>
    <t>DILATOR SURGICAL OVER THE WIRE 11 MM ESOPHAGEAL RIGID POLYVINYL STERILE CLEANGUIDE DISPOSABLE</t>
  </si>
  <si>
    <t>3322-020</t>
  </si>
  <si>
    <t>102827</t>
  </si>
  <si>
    <t>102847</t>
  </si>
  <si>
    <t>89602</t>
  </si>
  <si>
    <t>BSMH_SecondaryDimension(IDXODXLXWXHXDXTHK)</t>
  </si>
  <si>
    <t>Classification Remarks</t>
  </si>
  <si>
    <t>PDG</t>
  </si>
  <si>
    <t>AXIOFILL DRY AND PASTE APPLICATION</t>
  </si>
  <si>
    <t>610930</t>
  </si>
  <si>
    <t>102818</t>
  </si>
  <si>
    <t>102838</t>
  </si>
  <si>
    <t>102828</t>
  </si>
  <si>
    <t>102848</t>
  </si>
  <si>
    <t>DILATOR SURGICAL OVER THE WIRE 13 MM ESOPHAGEAL RIGID POLYVINYL STERILE CLEANGUIDE DISPOSABLE</t>
  </si>
  <si>
    <t>1028742</t>
  </si>
  <si>
    <t>DESIGN OPTIONS</t>
  </si>
  <si>
    <t>37766529</t>
  </si>
  <si>
    <t>37766539</t>
  </si>
  <si>
    <t>015-Diff144-50</t>
  </si>
  <si>
    <t>7973-08</t>
  </si>
  <si>
    <t>KL FBTK RC WH/BLKTT &amp; BLU#2 MTS</t>
  </si>
  <si>
    <t>ENDOGASTRIC SOLUTIONS INC</t>
  </si>
  <si>
    <t>IMMOBILIZER ORTHOPAEDIC UNIVERSAL 7 IN 10.517 IN SHOULDER ABDUCTION PILLOW BREATHABLE EASY OPEN FRONT PANEL FULL PAD STRAP MESH FABRIC QUICKFIT</t>
  </si>
  <si>
    <t>BSMH_Brandname</t>
  </si>
  <si>
    <t>37766532</t>
  </si>
  <si>
    <t>37766542</t>
  </si>
  <si>
    <t>DE Code</t>
  </si>
  <si>
    <t>500951</t>
  </si>
  <si>
    <t>42203444</t>
  </si>
  <si>
    <t>CG-06-3</t>
  </si>
  <si>
    <t>CG-20-3</t>
  </si>
  <si>
    <t>42311512</t>
  </si>
  <si>
    <t>Conc</t>
  </si>
  <si>
    <t>DJO LLC</t>
  </si>
  <si>
    <t>1010921</t>
  </si>
  <si>
    <t>SLING UROLOGICAL SINGLE INCISION FEMALE STRESS INCONTINENCE BLUE DESARA SYSTEM FOR URINARY</t>
  </si>
  <si>
    <t>102837</t>
  </si>
  <si>
    <t>LNT IMPLANT SYSTEM 4.75 BC KL SWIVELOCK</t>
  </si>
  <si>
    <t>MEDLINE INDUSTRIES INC</t>
  </si>
  <si>
    <t>41300459</t>
  </si>
  <si>
    <t>TUBE JEJUNOSTOMY FEEDING 14 FR 710 CC SECURLOK EXTERNAL RETENTION RING SINGLE ACCESS PORT RADIOPAQUE WITH ENFIT CONNECTOR SILICONE MIC</t>
  </si>
  <si>
    <t>DILATOR ESPGHL CLEANGUIDE 17MM</t>
  </si>
  <si>
    <t>DJO SURGICAL</t>
  </si>
  <si>
    <t>102368</t>
  </si>
  <si>
    <t>ORTH</t>
  </si>
  <si>
    <t>MIC</t>
  </si>
  <si>
    <t>812</t>
  </si>
  <si>
    <t>DILATOR SURGICAL OVER THE WIRE 5 MM ESOPHAGEAL RIGID POLYVINYL STERILE CLEANGUIDE DISPOSABLE</t>
  </si>
  <si>
    <t>Job No</t>
  </si>
  <si>
    <t>102833</t>
  </si>
  <si>
    <t>102823</t>
  </si>
  <si>
    <t>102843</t>
  </si>
  <si>
    <t>8200-14</t>
  </si>
  <si>
    <t>GLOBUS MEDICAL NORTH AMERICA</t>
  </si>
  <si>
    <t>17450985</t>
  </si>
  <si>
    <t>SEA SPINE</t>
  </si>
  <si>
    <t>STRYKER SUSTAINABILITY SOLN</t>
  </si>
  <si>
    <t>TARGET XL</t>
  </si>
  <si>
    <t>102834</t>
  </si>
  <si>
    <t>102824</t>
  </si>
  <si>
    <t>102854</t>
  </si>
  <si>
    <t>SE Comments</t>
  </si>
  <si>
    <t>CG-07-3</t>
  </si>
  <si>
    <t>LF1944R</t>
  </si>
  <si>
    <t>DRSG GAUZE 4X4 12 PLY 10PK</t>
  </si>
  <si>
    <t>ANCHOR SUT FBRTK RC SP 2.6MM</t>
  </si>
  <si>
    <t>DILATOR SURGICAL OVER THE WIRE 20 MM ESOPHAGEAL RIGID POLYVINYL STERILE CLEANGUIDE DISPOSABLE</t>
  </si>
  <si>
    <t>LF1212AR</t>
  </si>
  <si>
    <t>353881</t>
  </si>
  <si>
    <t>CALDERA MEDICAL INC</t>
  </si>
  <si>
    <t>3160793</t>
  </si>
  <si>
    <t>41300458</t>
  </si>
  <si>
    <t>R8006</t>
  </si>
  <si>
    <t>ALCON VISION LLC</t>
  </si>
  <si>
    <t>SEASPINE SALES LLC</t>
  </si>
  <si>
    <t>316000</t>
  </si>
  <si>
    <t>SEALER VESSEL LGSRE CRVD REP</t>
  </si>
  <si>
    <t>Verified MFR Num</t>
  </si>
  <si>
    <t>102370</t>
  </si>
  <si>
    <t>Long Description Creation | UNSPSC Classification</t>
  </si>
  <si>
    <t>37766536</t>
  </si>
  <si>
    <t>11703822</t>
  </si>
  <si>
    <t>Status</t>
  </si>
  <si>
    <t>Corrected By</t>
  </si>
  <si>
    <t>Color</t>
  </si>
  <si>
    <t>506099</t>
  </si>
  <si>
    <t>MOTHERS MILK BANK OF FLORIDA</t>
  </si>
  <si>
    <t>SOLUTION IRRIGATION STERILE WATER 3000 ML USP TITAN XL CONTAINER HYPOTONIC NONPYROGENIC 4/CA STERILE</t>
  </si>
  <si>
    <t>37766543</t>
  </si>
  <si>
    <t>CND</t>
  </si>
  <si>
    <t>500950</t>
  </si>
  <si>
    <t>CATHETER CENTRAL VENOUS L32CM OD12FR TIP L27CM POLYURETHANE TRIPLE LUMEN HICKMAN TRIFUSION</t>
  </si>
  <si>
    <t>B BRAUN MED</t>
  </si>
  <si>
    <t>PCM-1000</t>
  </si>
  <si>
    <t>SlNo</t>
  </si>
  <si>
    <t>HCPCS1</t>
  </si>
  <si>
    <t>42221503</t>
  </si>
  <si>
    <t>GlobalUNSPSC</t>
  </si>
  <si>
    <t>HUMAN MILK</t>
  </si>
  <si>
    <t>BSMH_Location</t>
  </si>
  <si>
    <t>42221616</t>
  </si>
  <si>
    <t>Disposable</t>
  </si>
  <si>
    <t>CORP</t>
  </si>
  <si>
    <t>PCM-0250</t>
  </si>
  <si>
    <t>500949</t>
  </si>
  <si>
    <t>CE Comments</t>
  </si>
  <si>
    <t>BSMH_Adjective</t>
  </si>
  <si>
    <t>Water Irrigation Solution 3000mL Plastic Bag Steri</t>
  </si>
  <si>
    <t>UNSPSC v24.0301</t>
  </si>
  <si>
    <t>42312202</t>
  </si>
  <si>
    <t>552777</t>
  </si>
  <si>
    <t>CG-09-3</t>
  </si>
  <si>
    <t>DILATOR ESPGHL CLEANGUIDE 19MM</t>
  </si>
  <si>
    <t>B9999</t>
  </si>
  <si>
    <t>MANUF-NBR</t>
  </si>
  <si>
    <t>42295545</t>
  </si>
  <si>
    <t>SPONGE GAUZE 12 PLY 4X4 IN USP TYPE VII MINOR PREPPING COTTON 100% STERILE CURITY LATEX-FREE</t>
  </si>
  <si>
    <t>102830</t>
  </si>
  <si>
    <t>102820</t>
  </si>
  <si>
    <t>8137.0110S</t>
  </si>
  <si>
    <t>102840</t>
  </si>
  <si>
    <t>4007978</t>
  </si>
  <si>
    <t>ITEM</t>
  </si>
  <si>
    <t>HCPCS Description</t>
  </si>
  <si>
    <t>6012240</t>
  </si>
  <si>
    <t>Packaging Comment</t>
  </si>
  <si>
    <t>SOURCED</t>
  </si>
  <si>
    <t>UNSOURCED</t>
  </si>
  <si>
    <t>THIRD PARTY</t>
  </si>
  <si>
    <t>OK</t>
  </si>
  <si>
    <t>MERIT MEDICAL SYSTEMS INC</t>
  </si>
  <si>
    <t>SEASPINE</t>
  </si>
  <si>
    <t>CONMED CORP</t>
  </si>
  <si>
    <t>HOSPIRA INC</t>
  </si>
  <si>
    <t>GLOBUS MEDICAL INC</t>
  </si>
  <si>
    <t>BSN MEDICAL INC</t>
  </si>
  <si>
    <t>ADVANCED MEDICAL SYSTEMS INC</t>
  </si>
  <si>
    <t>DEPUY ORTHOPAEDICS INC</t>
  </si>
  <si>
    <t>HALYARD HEALTH</t>
  </si>
  <si>
    <t>DJO INC</t>
  </si>
  <si>
    <t>CARDINAL HEALTH INC</t>
  </si>
  <si>
    <t>BARD C R INC</t>
  </si>
  <si>
    <t>MEDTRONIC INC</t>
  </si>
  <si>
    <t>B BRAUN MEDICAL INC</t>
  </si>
  <si>
    <t>STRYKER CORP</t>
  </si>
  <si>
    <t>ENDOGASTRIC SOLUTIONS</t>
  </si>
  <si>
    <t>ALCON INC</t>
  </si>
  <si>
    <t>MEDSOURCE CORP</t>
  </si>
  <si>
    <t>MERIT MEDICAL_MAK405</t>
  </si>
  <si>
    <t>AR1665KBCSL</t>
  </si>
  <si>
    <t>ARTHREX_AR1665KBCSL</t>
  </si>
  <si>
    <t>850106S</t>
  </si>
  <si>
    <t>SEASPINE_850106S</t>
  </si>
  <si>
    <t>CONMED</t>
  </si>
  <si>
    <t>CG143</t>
  </si>
  <si>
    <t>CONMED_CG143</t>
  </si>
  <si>
    <t>CG083</t>
  </si>
  <si>
    <t>CONMED_CG083</t>
  </si>
  <si>
    <t>CG153</t>
  </si>
  <si>
    <t>CONMED_CG153</t>
  </si>
  <si>
    <t>ABBOTT</t>
  </si>
  <si>
    <t>797308</t>
  </si>
  <si>
    <t>ABBOTT_797308</t>
  </si>
  <si>
    <t>81370110S</t>
  </si>
  <si>
    <t>GLOBUS MEDICAL_81370110S</t>
  </si>
  <si>
    <t>PCM1000</t>
  </si>
  <si>
    <t>MIMEDX_PCM1000</t>
  </si>
  <si>
    <t>PCM0500</t>
  </si>
  <si>
    <t>MIMEDX_PCM0500</t>
  </si>
  <si>
    <t>850207S</t>
  </si>
  <si>
    <t>SEASPINE_850207S</t>
  </si>
  <si>
    <t>CG093</t>
  </si>
  <si>
    <t>CONMED_CG093</t>
  </si>
  <si>
    <t>CG173</t>
  </si>
  <si>
    <t>CONMED_CG173</t>
  </si>
  <si>
    <t>SMITH</t>
  </si>
  <si>
    <t>OG430PC</t>
  </si>
  <si>
    <t>SMITH_OG430PC</t>
  </si>
  <si>
    <t>AR3653SP</t>
  </si>
  <si>
    <t>ARTHREX_AR3653SP</t>
  </si>
  <si>
    <t>81370105S</t>
  </si>
  <si>
    <t>GLOBUS MEDICAL_81370105S</t>
  </si>
  <si>
    <t>VYGON</t>
  </si>
  <si>
    <t>SS1121</t>
  </si>
  <si>
    <t>VYGON_SS1121</t>
  </si>
  <si>
    <t>81370101S</t>
  </si>
  <si>
    <t>GLOBUS MEDICAL_81370101S</t>
  </si>
  <si>
    <t>CG183</t>
  </si>
  <si>
    <t>CONMED_CG183</t>
  </si>
  <si>
    <t>CG203</t>
  </si>
  <si>
    <t>CONMED_CG203</t>
  </si>
  <si>
    <t>CG063</t>
  </si>
  <si>
    <t>CONMED_CG063</t>
  </si>
  <si>
    <t>CG103</t>
  </si>
  <si>
    <t>CONMED_CG103</t>
  </si>
  <si>
    <t>CG113</t>
  </si>
  <si>
    <t>CONMED_CG113</t>
  </si>
  <si>
    <t>JNJ</t>
  </si>
  <si>
    <t>JNJ_3322020</t>
  </si>
  <si>
    <t>HALYARD_89602</t>
  </si>
  <si>
    <t>DJO</t>
  </si>
  <si>
    <t>DJO_06AB</t>
  </si>
  <si>
    <t>CARDINAL</t>
  </si>
  <si>
    <t>CARDINAL_6939</t>
  </si>
  <si>
    <t>BD</t>
  </si>
  <si>
    <t>BD_0659270</t>
  </si>
  <si>
    <t>CG073</t>
  </si>
  <si>
    <t>CONMED_CG073</t>
  </si>
  <si>
    <t>CG123</t>
  </si>
  <si>
    <t>CONMED_CG123</t>
  </si>
  <si>
    <t>MEDTRONIC</t>
  </si>
  <si>
    <t>MEDTRONIC_LF1944R</t>
  </si>
  <si>
    <t>BRAUN</t>
  </si>
  <si>
    <t>BRAUN_551367</t>
  </si>
  <si>
    <t>BRAUN_415021</t>
  </si>
  <si>
    <t>STRYKER</t>
  </si>
  <si>
    <t>STRYKER_610930</t>
  </si>
  <si>
    <t>CG053</t>
  </si>
  <si>
    <t>CONMED_CG053</t>
  </si>
  <si>
    <t>ENDOGASTRIC SOLUTIONS_R2275</t>
  </si>
  <si>
    <t>HUMAN MILK_MILK319</t>
  </si>
  <si>
    <t>820014</t>
  </si>
  <si>
    <t>AVANOS MEDICAL_820014</t>
  </si>
  <si>
    <t>BRAUN_R8006</t>
  </si>
  <si>
    <t>NOVARTIS</t>
  </si>
  <si>
    <t>NOVARTIS_8065982865</t>
  </si>
  <si>
    <t>PCM0250</t>
  </si>
  <si>
    <t>MIMEDX_PCM0250</t>
  </si>
  <si>
    <t>CG193</t>
  </si>
  <si>
    <t>CONMED_CG193</t>
  </si>
  <si>
    <t>CG163</t>
  </si>
  <si>
    <t>CONMED_CG163</t>
  </si>
  <si>
    <t>MEDTRONIC_LF1212AR</t>
  </si>
  <si>
    <t>CALDERA</t>
  </si>
  <si>
    <t>CALDS2113</t>
  </si>
  <si>
    <t>CALDERA_CALDS2113</t>
  </si>
  <si>
    <t>MEDSOURCE</t>
  </si>
  <si>
    <t>MS84416</t>
  </si>
  <si>
    <t>MEDSOURCE_MS84416</t>
  </si>
  <si>
    <t>CARDINAL_8881207018</t>
  </si>
  <si>
    <t>850206S</t>
  </si>
  <si>
    <t>SEASPINE_850206S</t>
  </si>
  <si>
    <t>CG133</t>
  </si>
  <si>
    <t>CONMED_CG133</t>
  </si>
  <si>
    <t>MEDTRONIC_LF2019R</t>
  </si>
  <si>
    <t>42203403  Diagnostic or interventional vascular catheter introducers</t>
  </si>
  <si>
    <t>INTRODUCER/SHEATH, OTHER THAN GUIDING, OTHER THAN INTRACARDIAC ELECTROPHYSIOLOGICAL, NON-LASER</t>
  </si>
  <si>
    <t>Coaxial Introducers</t>
  </si>
  <si>
    <t>INTRODUCER, SHEATH, COAXIAL, 0.018 IN, 4 FRX10 CM, 21 GAX7 CM, ACCESS, NEEDLE, STAINLESS STEEL GUIDEWIRE, PLATINUM TIP, MAK MINI</t>
  </si>
  <si>
    <t>INTRODUCER, SHEATH, MAK MINI, 0.018IN, 4FRX10CM, 21GAX7CM, COAXIAL, ACCESS, NEEDLE, STAINLESS STEEL GUIDEWIRE, PLATINUM TIP</t>
  </si>
  <si>
    <t>INTRO, SHTH, MAK MNI, 0.018IN, 4FRX10CM, 21GAX7CM, COAXIAL, ACCS, NDL, STAINLESS STEEL GDWR, PLATINUM TIP</t>
  </si>
  <si>
    <t>INTRODUCER, SHTH, 4FRX10CM, 21GA</t>
  </si>
  <si>
    <t>INTRODUCER</t>
  </si>
  <si>
    <t>SHEATH</t>
  </si>
  <si>
    <t>MAK MINI</t>
  </si>
  <si>
    <t>COAXIAL</t>
  </si>
  <si>
    <t>0.018IN</t>
  </si>
  <si>
    <t>0.018 IN</t>
  </si>
  <si>
    <t>4FRX10CM</t>
  </si>
  <si>
    <t>4 FRX10 CM</t>
  </si>
  <si>
    <t>21GAX7CM</t>
  </si>
  <si>
    <t>21 GAX7 CM</t>
  </si>
  <si>
    <t>COAXIAL, ACCESS, NEEDLE, STAINLESS STEEL GUIDEWIRE, PLATINUM TIP</t>
  </si>
  <si>
    <t>ACCESS, NEEDLE, STAINLESS STEEL GUIDEWIRE, PLATINUM TIP</t>
  </si>
  <si>
    <t>https://meritoem.com/product/mak405/</t>
  </si>
  <si>
    <t>42321507  Internal bone fixation sets</t>
  </si>
  <si>
    <t>ANCHOR/SCREW FOR OPPOSING BONE-TO-BONE OR SOFT TISSUE-TO-BONE (IMPLANTABLE)</t>
  </si>
  <si>
    <t>4.75 Knotless BC Loop N Tack Tenodesis Implant System (Includes 4.75 mm BioComposite SwiveLock Anchor FiberLink SutureTape Punch and Loop N Tack SwiftStitch Suture Passer)</t>
  </si>
  <si>
    <t>INTERNAL FIXATION KIT, KNOTLESS BC LOOP N TACK, TENODESIS IMPLANT SYSTEM, 4.75 MM BIOCOMPOSITE SWIVELOCK ANCHOR, FIBERLINK SUTURETAPE, PUNCH, SWIFTSTITCH SUTURE PASSER, STERILE, LATEX</t>
  </si>
  <si>
    <t>KIT, INTERNAL FIXATION, KNOTLESS BC LOOP N TACK, TENODESIS IMPLANT SYSTEM, 4.75MM BIOCOMPOSITE SWIVELOCK ANCHOR, FIBERLINK SUTURETAPE, PUNCH, SWIFTSTITCH SUTURE PASSER, STERILE, LATEX</t>
  </si>
  <si>
    <t>KIT, INTRNL FIX, KNTLS BC LOOP N TACK, TNDS IMP SYS, 4.75MM BCOPST SWVLLCK ANCH, FBRLK SUTTPE, PUNCH, SWFTSTH SUT PASSER</t>
  </si>
  <si>
    <t>KIT, INTRNL FIX, KNTLS, TNDS, ANCH</t>
  </si>
  <si>
    <t>KIT</t>
  </si>
  <si>
    <t>INTERNAL FIXATION KIT</t>
  </si>
  <si>
    <t>INTERNAL FIXATION</t>
  </si>
  <si>
    <t>KNOTLESS BC LOOP N TACK, TENODESIS IMPLANT SYSTEM, 4.75MM BIOCOMPOSITE SWIVELOCK ANCHOR, FIBERLINK SUTURETAPE, PUNCH, SWIFTSTITCH SUTURE PASSER</t>
  </si>
  <si>
    <t>KNOTLESS BC LOOP N TACK, TENODESIS IMPLANT SYSTEM, 4.75 MM BIOCOMPOSITE SWIVELOCK ANCHOR, FIBERLINK SUTURETAPE, PUNCH, SWIFTSTITCH SUTURE PASSER</t>
  </si>
  <si>
    <t>STERILE</t>
  </si>
  <si>
    <t>LATEX</t>
  </si>
  <si>
    <t>https://www.arthrex.com/products/AR-1665KBCSL, https://accessgudid.nlm.nih.gov/devices/00888867367289</t>
  </si>
  <si>
    <t>42321605  Spinal interbody cages or spacers</t>
  </si>
  <si>
    <t>SPACER, SPINAL, NO PROFILE, 7 DEGREE, 14X13X6 MM, INTEGRATED, STERILE, SHORELINE ACS, LATEX</t>
  </si>
  <si>
    <t>SPACER, SPINAL, SHORELINE ACS, 7 DEGREE, 13X6X14MM, NO PROFILE, INTEGRATED, STERILE, LATEX</t>
  </si>
  <si>
    <t>SPCR, SPNL, SHRL ACS, 7 DEG, 13X6X14MM, NO PROF, INTEGRATED, STRL, LTX</t>
  </si>
  <si>
    <t>SPACER, SPNL, 7 DEG, 13X6X14MM</t>
  </si>
  <si>
    <t>SPACER</t>
  </si>
  <si>
    <t>SPINAL</t>
  </si>
  <si>
    <t>NO PROFILE</t>
  </si>
  <si>
    <t>7 DEGREE</t>
  </si>
  <si>
    <t>13X6X14MM</t>
  </si>
  <si>
    <t>14X13X6 MM</t>
  </si>
  <si>
    <t>NO PROFILE, INTEGRATED</t>
  </si>
  <si>
    <t>INTEGRATED</t>
  </si>
  <si>
    <t>URL NOT FOUND</t>
  </si>
  <si>
    <t>42292601  Surgical dilators</t>
  </si>
  <si>
    <t>CleanGuide Disposable OTW Esophageal Dilator 14mm</t>
  </si>
  <si>
    <t>DILATOR, SURGICAL, OVER THE WIRE, 14 MM, ESOPHAGEAL, RIGID, POLYVINYL, STERILE, CLEANGUIDE, DISPOSABLE</t>
  </si>
  <si>
    <t>DILATOR, SURGICAL, CLEANGUIDE, 14MM, POLYVINYL, ESOPHAGEAL, OVER THE WIRE, RIGID, STERILE, DISPOSABLE</t>
  </si>
  <si>
    <t>DIL, SURG, CLEANGUIDE, 14MM, POLYVINYL, ESPGHL, OTW, RGD, STRL, DISP</t>
  </si>
  <si>
    <t>DILATOR, SURG, CLGUD, 14MMESPGHL</t>
  </si>
  <si>
    <t>DILATOR</t>
  </si>
  <si>
    <t>SURGICAL</t>
  </si>
  <si>
    <t>OVER THE WIRE</t>
  </si>
  <si>
    <t>14MM</t>
  </si>
  <si>
    <t>14 MM</t>
  </si>
  <si>
    <t>POLYVINYL</t>
  </si>
  <si>
    <t>ESOPHAGEAL</t>
  </si>
  <si>
    <t>OVER THE WIRE, RIGID</t>
  </si>
  <si>
    <t>RIGID</t>
  </si>
  <si>
    <t>DISPOSABLE</t>
  </si>
  <si>
    <t>https://www.conmed.com/-/media/conmed/documents/literature/cleanguide_dilators_productbrochure.ashx</t>
  </si>
  <si>
    <t>CleanGuide Disposable OTW Esophageal Dilator 8mm</t>
  </si>
  <si>
    <t>DILATOR, SURGICAL, OVER THE WIRE, 8 MM, ESOPHAGEAL, RIGID, POLYVINYL, STERILE, CLEANGUIDE, DISPOSABLE</t>
  </si>
  <si>
    <t>DILATOR, SURGICAL, CLEANGUIDE, 8MM, POLYVINYL, ESOPHAGEAL, OVER THE WIRE, RIGID, STERILE, DISPOSABLE</t>
  </si>
  <si>
    <t>DIL, SURG, CLEANGUIDE, 8MM, POLYVINYL, ESPGHL, OTW, RGD, STRL, DISP</t>
  </si>
  <si>
    <t>DILATOR, SURG, CLGUD, 8MMESPGHL</t>
  </si>
  <si>
    <t>8MM</t>
  </si>
  <si>
    <t>8 MM</t>
  </si>
  <si>
    <t>CleanGuide Disposable OTW Esophageal Dilator 15mm</t>
  </si>
  <si>
    <t>DILATOR, SURGICAL, OVER THE WIRE, 15 MM, ESOPHAGEAL, RIGID, POLYVINYL, STERILE, CLEANGUIDE, DISPOSABLE</t>
  </si>
  <si>
    <t>DILATOR, SURGICAL, CLEANGUIDE, 15MM, POLYVINYL, ESOPHAGEAL, OVER THE WIRE, RIGID, STERILE, DISPOSABLE</t>
  </si>
  <si>
    <t>DIL, SURG, CLEANGUIDE, 15MM, POLYVINYL, ESPGHL, OTW, RGD, STRL, DISP</t>
  </si>
  <si>
    <t>DILATOR, SURG, CLGUD, 15MMESPGHL</t>
  </si>
  <si>
    <t>15MM</t>
  </si>
  <si>
    <t>15 MM</t>
  </si>
  <si>
    <t>51473504  Sterile water for irrigation</t>
  </si>
  <si>
    <t>Sterile Water for Irrigation 3000ML</t>
  </si>
  <si>
    <t>SOLUTION, IRRIGATION, STERILE WATER, 3000 ML, FLEXIBLE CONTAINER, PLASTIC BAG, INJECTION</t>
  </si>
  <si>
    <t>SOLUTION, IRRIGATION, 3000ML, STERILE WATER, FLEXIBLE CONTAINER, PLASTIC BAG, INJECTION</t>
  </si>
  <si>
    <t>SOL, IRRGTN, 3000ML, STRL WATER, FLXB CNTNR, PLSTC BAG, INJCTN</t>
  </si>
  <si>
    <t>SOLUTION, IRRGTN, 3000ML, WATER</t>
  </si>
  <si>
    <t>SOLUTION</t>
  </si>
  <si>
    <t>IRRIGATION</t>
  </si>
  <si>
    <t>STERILE WATER</t>
  </si>
  <si>
    <t>3000ML</t>
  </si>
  <si>
    <t>3000 ML</t>
  </si>
  <si>
    <t>FLEXIBLE CONTAINER, PLASTIC BAG, INJECTION</t>
  </si>
  <si>
    <t>1/EA 4/CA</t>
  </si>
  <si>
    <t>https://ecatalog.icumed.com/iv-solutions-irrigation-plus-nutritionals/sol-sterile_water_for_irrigation</t>
  </si>
  <si>
    <t>42295545  Bone graft extender or void fillers or substitutes</t>
  </si>
  <si>
    <t>ALLOGRAFT, BONE, VIABLE CELLULAR BONE MATRIX, 10 CC, TRIFECTA</t>
  </si>
  <si>
    <t>ALLOGRAFT, BONE, TRIFECTA, 10ML, VIABLE CELLULAR BONE MATRIX</t>
  </si>
  <si>
    <t>ALGRF, BN, TRIFECTA, 10ML, VIABLE CELLULAR BN MATRIX</t>
  </si>
  <si>
    <t>ALLOGRAFT, BN, TRIFECTA, 10ML</t>
  </si>
  <si>
    <t>ALLOGRAFT</t>
  </si>
  <si>
    <t>BONE</t>
  </si>
  <si>
    <t>VIABLE CELLULAR BONE MATRIX</t>
  </si>
  <si>
    <t>10ML</t>
  </si>
  <si>
    <t>10 CC</t>
  </si>
  <si>
    <t>42295502  Human tissue implants</t>
  </si>
  <si>
    <t>CONNECTIVE TISSUE, HUMAN (INCLUDES FASCIA LATA)</t>
  </si>
  <si>
    <t>AXIOFILL 1000 mg</t>
  </si>
  <si>
    <t>ALLOGRAFT, HUMAN TISSUE, PARTICULATE, 1000 MG, DRY, PASTE APPLICATION, EXTRACELLULAR MATRIX, AXIOFILL</t>
  </si>
  <si>
    <t>ALLOGRAFT, HUMAN TISSUE, AXIOFILL, 1000MG, EXTRACELLULAR MATRIX, PARTICULATE, DRY, PASTE APPLICATION</t>
  </si>
  <si>
    <t>ALGRF, HUMAN TISS, AXIOFILL, 1000MG, EXTRACELLULAR MATRIX, PARTICULATE, DRY, PASTE APPL</t>
  </si>
  <si>
    <t>ALLOGRAFT, HUMAN TISS, 1000MG</t>
  </si>
  <si>
    <t>HUMAN TISSUE</t>
  </si>
  <si>
    <t>PARTICULATE</t>
  </si>
  <si>
    <t>1000MG</t>
  </si>
  <si>
    <t>1000 MG</t>
  </si>
  <si>
    <t>EXTRACELLULAR MATRIX</t>
  </si>
  <si>
    <t>PARTICULATE, DRY, PASTE APPLICATION</t>
  </si>
  <si>
    <t>DRY, PASTE APPLICATION</t>
  </si>
  <si>
    <t>https://www.mimedx.com/wp-content/uploads/2023/04/US-AX-2200018-v1.0-AXIOFILL-Application-Guide.pdf</t>
  </si>
  <si>
    <t>AXIOFILL 500 mg</t>
  </si>
  <si>
    <t>ALLOGRAFT, HUMAN TISSUE, PARTICULATE, 500 MG, DRY, PASTE APPLICATION, EXTRACELLULAR MATRIX, AXIOFILL</t>
  </si>
  <si>
    <t>ALLOGRAFT, HUMAN TISSUE, AXIOFILL, 500MG, EXTRACELLULAR MATRIX, PARTICULATE, DRY, PASTE APPLICATION</t>
  </si>
  <si>
    <t>ALGRF, HUMAN TISS, AXIOFILL, 500MG, EXTRACELLULAR MATRIX, PARTICULATE, DRY, PASTE APPL</t>
  </si>
  <si>
    <t>ALLOGRAFT, HUMAN TISS, 500MG, DRY</t>
  </si>
  <si>
    <t>500MG</t>
  </si>
  <si>
    <t>500 MG</t>
  </si>
  <si>
    <t>Shoreline ACS No Profile Spacer 16x14x7mm 7 Degree Sterile</t>
  </si>
  <si>
    <t>SPACER, SPINAL, NO PROFILE, 7 DEGREE, 16X14X7 MM, INTEGRATED, STERILE, SHORELINE ACS, LATEX</t>
  </si>
  <si>
    <t>SPACER, SPINAL, SHORELINE ACS, 7 DEGREE, 14X7X16MM, NO PROFILE, INTEGRATED, STERILE, LATEX</t>
  </si>
  <si>
    <t>SPCR, SPNL, SHRL ACS, 7 DEG, 14X7X16MM, NO PROF, INTEGRATED, STRL, LTX</t>
  </si>
  <si>
    <t>SPACER, SPNL, 7 DEG, 14X7X16MM</t>
  </si>
  <si>
    <t>14X7X16MM</t>
  </si>
  <si>
    <t>16X14X7 MM</t>
  </si>
  <si>
    <t>https://accessgudid.nlm.nih.gov/devices/00889981124024</t>
  </si>
  <si>
    <t>CleanGuide Disposable OTW Esophageal Dilator 9mm</t>
  </si>
  <si>
    <t>DILATOR, SURGICAL, OVER THE WIRE, 9 MM, ESOPHAGEAL, RIGID, POLYVINYL, STERILE, CLEANGUIDE, DISPOSABLE</t>
  </si>
  <si>
    <t>DILATOR, SURGICAL, CLEANGUIDE, 9MM, POLYVINYL, ESOPHAGEAL, OVER THE WIRE, RIGID, STERILE, DISPOSABLE</t>
  </si>
  <si>
    <t>DIL, SURG, CLEANGUIDE, 9MM, POLYVINYL, ESPGHL, OTW, RGD, STRL, DISP</t>
  </si>
  <si>
    <t>DILATOR, SURG, CLGUD, 9MMESPGHL</t>
  </si>
  <si>
    <t>9MM</t>
  </si>
  <si>
    <t>9 MM</t>
  </si>
  <si>
    <t>CleanGuide Disposable OTW Esophageal Dilator 17mm</t>
  </si>
  <si>
    <t>DILATOR, SURGICAL, OVER THE WIRE, 17 MM, ESOPHAGEAL, RIGID, POLYVINYL, STERILE, CLEANGUIDE, DISPOSABLE</t>
  </si>
  <si>
    <t>DILATOR, SURGICAL, CLEANGUIDE, 17MM, POLYVINYL, ESOPHAGEAL, OVER THE WIRE, RIGID, STERILE, DISPOSABLE</t>
  </si>
  <si>
    <t>DIL, SURG, CLEANGUIDE, 17MM, POLYVINYL, ESPGHL, OTW, RGD, STRL, DISP</t>
  </si>
  <si>
    <t>DILATOR, SURG, CLGUD, 17MMESPGHL</t>
  </si>
  <si>
    <t>17MM</t>
  </si>
  <si>
    <t>17 MM</t>
  </si>
  <si>
    <t>42241507  Orthopedic splint systems</t>
  </si>
  <si>
    <t>Padded Precut Splint ORTHO-GLASS 4 X 30 Inch Fiberglass White</t>
  </si>
  <si>
    <t>SPLINT, ORTHOPAEDIC, PADDED, 30X4 IN, PRECUT, WRINKLE FREE, ROLL FORM, EASY STRETCH, FIBERGLASS, WHITE, ORTHO-GLASS, LATEX-FREE</t>
  </si>
  <si>
    <t>SPLINT, ORTHOPEDIC, ORTHO-GLASS, 4X30IN, FIBERGLASS, WHITE, PADDED, PRECUT, WRINKLE FREE, ROLL FORM, EASY STRETCH, LATEX FREE</t>
  </si>
  <si>
    <t>SPLINT, ORTHO, ORTHO-GLASS, 4X30IN, FIBERGLASS, WHT, PADDED, PRECUT, WRINKLE FREE, ROLL FORM, EASY STRETCH, LTXFREE</t>
  </si>
  <si>
    <t>SPLINT, ORTHO, ORGLS, 4X30IN, WHT</t>
  </si>
  <si>
    <t>SPLINT</t>
  </si>
  <si>
    <t>ORTHOPEDIC</t>
  </si>
  <si>
    <t>ORTHOPAEDIC</t>
  </si>
  <si>
    <t>ORTHO-GLASS</t>
  </si>
  <si>
    <t>PADDED</t>
  </si>
  <si>
    <t>4X30IN</t>
  </si>
  <si>
    <t>30X4 IN</t>
  </si>
  <si>
    <t>FIBERGLASS</t>
  </si>
  <si>
    <t>WHITE</t>
  </si>
  <si>
    <t>PADDED, PRECUT, WRINKLE FREE, ROLL FORM, EASY STRETCH</t>
  </si>
  <si>
    <t>PRECUT, WRINKLE FREE, ROLL FORM, EASY STRETCH</t>
  </si>
  <si>
    <t>LATEX FREE</t>
  </si>
  <si>
    <t>https://mms.mckesson.com/product/364100/BSN-Medical-OG-430PC</t>
  </si>
  <si>
    <t>42322203  Suture anchors</t>
  </si>
  <si>
    <t>Knotless 2.6 FiberTak RC SP Soft Anchor 1.7 mm TigerTape Loop (White/Black) #2 Suture (Blue) Self-Punching</t>
  </si>
  <si>
    <t>ANCHOR, SUTURE, KNOTLESS, 2.6 MM, 1.7 MM TIGERTAPE LOOP, NO 2 BLUE SUTURE, SELF-PUNCHING, WHITE, BLACK, STERILE, FIBERTAK RC SP, LATEX</t>
  </si>
  <si>
    <t>ANCHOR, SUTURE, FIBERTAK RC SP, 2.6MM, WHITE, BLACK, KNOTLESS, 1.7MM TIGERTAPE LOOP, NO 2 BLUE SUTURE, SELF-PUNCHING, STERILE, LATEX</t>
  </si>
  <si>
    <t>ANCH, SUT, FBRTK RC SP, 2.6MM, WHT, BLACK, KNTLS, 1.7MM TGRTPE LOOP, NO 2 BLUE SUT, SELF-PUNCHING</t>
  </si>
  <si>
    <t>ANCHOR, SUT, FBRTK RC SP, 2.6MM</t>
  </si>
  <si>
    <t>ANCHOR</t>
  </si>
  <si>
    <t>SUTURE</t>
  </si>
  <si>
    <t>FIBERTAK RC SP</t>
  </si>
  <si>
    <t>KNOTLESS</t>
  </si>
  <si>
    <t>2.6MM</t>
  </si>
  <si>
    <t>2.6 MM</t>
  </si>
  <si>
    <t>WHITE, BLACK</t>
  </si>
  <si>
    <t>KNOTLESS, 1.7MM TIGERTAPE LOOP, NO 2 BLUE SUTURE, SELF-PUNCHING</t>
  </si>
  <si>
    <t>1.7 MM TIGERTAPE LOOP, NO 2 BLUE SUTURE, SELF-PUNCHING</t>
  </si>
  <si>
    <t>https://www.arthrex.com/products/AR-3653SP, https://accessgudid.nlm.nih.gov/devices/00888867370043</t>
  </si>
  <si>
    <t>5 cc Trifecta Bone Graft Allograft</t>
  </si>
  <si>
    <t>ALLOGRAFT, BONE, VIABLE CELLULAR BONE MATRIX, 5 CC, TRIFECTA</t>
  </si>
  <si>
    <t>ALLOGRAFT, BONE, TRIFECTA, 5ML, VIABLE CELLULAR BONE MATRIX</t>
  </si>
  <si>
    <t>ALGRF, BN, TRIFECTA, 5ML, VIABLE CELLULAR BN MATRIX</t>
  </si>
  <si>
    <t>ALLOGRAFT, BN, TRIFECTA, 5ML</t>
  </si>
  <si>
    <t>5ML</t>
  </si>
  <si>
    <t>5 CC</t>
  </si>
  <si>
    <t>https://www.onesourcedocs.com/documents-html/globus-medical-trifecta-viable-cell-allograft-ifu-81370105s-globus-medical-inc.html</t>
  </si>
  <si>
    <t>42221616  Intravenous or arterial tubing extension sets</t>
  </si>
  <si>
    <t>S1015</t>
  </si>
  <si>
    <t>IV TUBING EXTENSION SET</t>
  </si>
  <si>
    <t>IV Extension Set Needleless 17 Smartsite Injection Sites M LL/F LL 50/Ca</t>
  </si>
  <si>
    <t>EXTENSION SET, 17 IN, NEEDLELESS, SMARTSITE INJECTION SITE, MALE, FEMALE LUER LOCK, NON STERILE, LATEX</t>
  </si>
  <si>
    <t>SET, EXTENSION, 17IN, NEEDLELESS, SMARTSITE INJECTION SITE, MALE, FEMALE LUER LOCK, NON STERILE, LATEX</t>
  </si>
  <si>
    <t>SET, EXTSN, 17IN, NEEDLELESS, SMRTSITE INJCTN SITE, MALE, FEMALE LUER LCK</t>
  </si>
  <si>
    <t>SET, EXTSN, 17IN, NEEDLELESS, MALE</t>
  </si>
  <si>
    <t>SET</t>
  </si>
  <si>
    <t>EXTENSION SET</t>
  </si>
  <si>
    <t>EXTENSION</t>
  </si>
  <si>
    <t>17IN</t>
  </si>
  <si>
    <t>17 IN</t>
  </si>
  <si>
    <t>NEEDLELESS, SMARTSITE INJECTION SITE, MALE, FEMALE LUER LOCK</t>
  </si>
  <si>
    <t>NON STERILE</t>
  </si>
  <si>
    <t>50/CA</t>
  </si>
  <si>
    <t>https://www.henryschein.com/us-en/medical/p/medical-surgical-supplies/iv-irrigation-products/tubing-dial-a-flow/1248125, https://accessgudid.nlm.nih.gov/devices/08498840007310</t>
  </si>
  <si>
    <t>ALLOGRAFT, BONE, VIABLE CELLULAR BONE MATRIX, 1 CC, TRIFECTA</t>
  </si>
  <si>
    <t>ALLOGRAFT, BONE, TRIFECTA, 1ML, VIABLE CELLULAR BONE MATRIX</t>
  </si>
  <si>
    <t>ALGRF, BN, TRIFECTA, 1ML, VIABLE CELLULAR BN MATRIX</t>
  </si>
  <si>
    <t>ALLOGRAFT, BN, TRIFECTA, 1ML</t>
  </si>
  <si>
    <t>1ML</t>
  </si>
  <si>
    <t>1 CC</t>
  </si>
  <si>
    <t>CleanGuide Disposable OTW Esophageal Dilator 18mm</t>
  </si>
  <si>
    <t>DILATOR, SURGICAL, OVER THE WIRE, 18 MM, ESOPHAGEAL, RIGID, POLYVINYL, STERILE, CLEANGUIDE, DISPOSABLE</t>
  </si>
  <si>
    <t>DILATOR, SURGICAL, CLEANGUIDE, 18MM, POLYVINYL, ESOPHAGEAL, OVER THE WIRE, RIGID, STERILE, DISPOSABLE</t>
  </si>
  <si>
    <t>DIL, SURG, CLEANGUIDE, 18MM, POLYVINYL, ESPGHL, OTW, RGD, STRL, DISP</t>
  </si>
  <si>
    <t>DILATOR, SURG, CLGUD, 18MMESPGHL</t>
  </si>
  <si>
    <t>18MM</t>
  </si>
  <si>
    <t>18 MM</t>
  </si>
  <si>
    <t>CleanGuide Disposable OTW Esophageal Dilator 20mm</t>
  </si>
  <si>
    <t>DILATOR, SURGICAL, OVER THE WIRE, 20 MM, ESOPHAGEAL, RIGID, POLYVINYL, STERILE, CLEANGUIDE, DISPOSABLE</t>
  </si>
  <si>
    <t>DILATOR, SURGICAL, CLEANGUIDE, 20MM, POLYVINYL, ESOPHAGEAL, OVER THE WIRE, RIGID, STERILE, DISPOSABLE</t>
  </si>
  <si>
    <t>DIL, SURG, CLEANGUIDE, 20MM, POLYVINYL, ESPGHL, OTW, RGD, STRL, DISP</t>
  </si>
  <si>
    <t>DILATOR, SURG, CLGUD, 20MMESPGHL</t>
  </si>
  <si>
    <t>20MM</t>
  </si>
  <si>
    <t>20 MM</t>
  </si>
  <si>
    <t>CleanGuide Disposable OTW Esophageal Dilator 6mm</t>
  </si>
  <si>
    <t>DILATOR, SURGICAL, OVER THE WIRE, 6 MM, ESOPHAGEAL, RIGID, POLYVINYL, STERILE, CLEANGUIDE, DISPOSABLE</t>
  </si>
  <si>
    <t>DILATOR, SURGICAL, CLEANGUIDE, 6MM, POLYVINYL, ESOPHAGEAL, OVER THE WIRE, RIGID, STERILE, DISPOSABLE</t>
  </si>
  <si>
    <t>DIL, SURG, CLEANGUIDE, 6MM, POLYVINYL, ESPGHL, OTW, RGD, STRL, DISP</t>
  </si>
  <si>
    <t>DILATOR, SURG, CLGUD, 6MMESPGHL</t>
  </si>
  <si>
    <t>6MM</t>
  </si>
  <si>
    <t>6 MM</t>
  </si>
  <si>
    <t>CleanGuide Disposable OTW Esophageal Dilator 10mm</t>
  </si>
  <si>
    <t>DILATOR, SURGICAL, OVER THE WIRE, 10 MM, ESOPHAGEAL, RIGID, POLYVINYL, STERILE, CLEANGUIDE, DISPOSABLE</t>
  </si>
  <si>
    <t>DILATOR, SURGICAL, CLEANGUIDE, 10MM, POLYVINYL, ESOPHAGEAL, OVER THE WIRE, RIGID, STERILE, DISPOSABLE</t>
  </si>
  <si>
    <t>DIL, SURG, CLEANGUIDE, 10MM, POLYVINYL, ESPGHL, OTW, RGD, STRL, DISP</t>
  </si>
  <si>
    <t>DILATOR, SURG, CLGUD, 10MMESPGHL</t>
  </si>
  <si>
    <t>10MM</t>
  </si>
  <si>
    <t>10 MM</t>
  </si>
  <si>
    <t>CleanGuide Disposable OTW Esophageal Dilator 11mm</t>
  </si>
  <si>
    <t>DILATOR, SURGICAL, OVER THE WIRE, 11 MM, ESOPHAGEAL, RIGID, POLYVINYL, STERILE, CLEANGUIDE, DISPOSABLE</t>
  </si>
  <si>
    <t>DILATOR, SURGICAL, CLEANGUIDE, 11MM, POLYVINYL, ESOPHAGEAL, OVER THE WIRE, RIGID, STERILE, DISPOSABLE</t>
  </si>
  <si>
    <t>DIL, SURG, CLEANGUIDE, 11MM, POLYVINYL, ESPGHL, OTW, RGD, STRL, DISP</t>
  </si>
  <si>
    <t>DILATOR, SURG, CLGUD, 11MMESPGHL</t>
  </si>
  <si>
    <t>11MM</t>
  </si>
  <si>
    <t>11 MM</t>
  </si>
  <si>
    <t>42296705  Surgical bone cements</t>
  </si>
  <si>
    <t>SMARTSET Bone Cement</t>
  </si>
  <si>
    <t>CEMENT, BONE, QUICK SET, 20 GM, GENTAMICIN, STERILE, SMARTSET, CMW 2, LATEX</t>
  </si>
  <si>
    <t>CEMENT, BONE, SMARTSET, CMW 2, 20GM, GENTAMICIN, QUICK SET, STERILE, LATEX</t>
  </si>
  <si>
    <t>CMNT, BN, SMARTSET, CMW 2, 20GM, GENTAMICIN, QUICK SET, STRL</t>
  </si>
  <si>
    <t>CEMENT, BN, SMARTSET, CMW 2, 20GM</t>
  </si>
  <si>
    <t>CEMENT</t>
  </si>
  <si>
    <t>SMARTSET, CMW 2</t>
  </si>
  <si>
    <t>QUICK SET</t>
  </si>
  <si>
    <t>20GM</t>
  </si>
  <si>
    <t>20 GM</t>
  </si>
  <si>
    <t>GENTAMICIN</t>
  </si>
  <si>
    <t>https://chesapeake-surgical.squarespace.com/s/DPY_Smart_System_Brochure_0612-30-508.pdf, https://accessgudid.nlm.nih.gov/devices/10603295168621</t>
  </si>
  <si>
    <t>42295415  Surgical equipment covers</t>
  </si>
  <si>
    <t>Standard Mayo Stand Cover 30 x 57 XLARGE</t>
  </si>
  <si>
    <t>DRAPE, EQUIPMENT, MAYO STAND, STANDARD, XLARGE, 57X30 IN, REINFORCED, FABRIC, STERILE, LATEX-FREE</t>
  </si>
  <si>
    <t>DRAPE, EQUIPMENT, STANDARD, EXTRA LARGE, 30X57IN, FABRIC, MAYO STAND, REINFORCED, STERILE, LATEX FREE</t>
  </si>
  <si>
    <t>DRAPE, EQUIP, STD, XLRG, 30X57IN, FABRIC, MAYO STAND, REINF, STRL</t>
  </si>
  <si>
    <t>DRAPE, EQUIP, STD, XLRG, 30X57IN</t>
  </si>
  <si>
    <t>DRAPE</t>
  </si>
  <si>
    <t>EQUIPMENT</t>
  </si>
  <si>
    <t>MAYO STAND</t>
  </si>
  <si>
    <t>STANDARD, EXTRA LARGE</t>
  </si>
  <si>
    <t>STANDARD, XLARGE</t>
  </si>
  <si>
    <t>30X57IN</t>
  </si>
  <si>
    <t>57X30 IN</t>
  </si>
  <si>
    <t>FABRIC</t>
  </si>
  <si>
    <t>MAYO STAND, REINFORCED</t>
  </si>
  <si>
    <t>REINFORCED</t>
  </si>
  <si>
    <t>https://products.halyardhealth.com/surgical-solutions/surgical-drapes-packs-equipment-covers/equipment-covers/standard-mayo-stand-cover.html, https://accessgudid.nlm.nih.gov/devices/10680651896022</t>
  </si>
  <si>
    <t>42241809  Shoulder orthopedic softgoods</t>
  </si>
  <si>
    <t>SHOULDER ORTHOSIS, FIGURE OF EIGHT DESIGN ABDUCTION RESTRAINER, PREFABRICATED, INCLUDES FITTING AND ADJUSTMENT</t>
  </si>
  <si>
    <t>Sling with pillow 10.5 17 7</t>
  </si>
  <si>
    <t>IMMOBILIZER, ORTHOPAEDIC, SLING, UNIVERSAL, 10.5X17X7 IN, SHOULDER, WITH PILLOW, ABDUCTION, BREATHABLE, EASY OPEN, FRONT PANEL, FULL PAD, STRAP, MESH, FABRIC, AIRCAST, QUICK-FIT</t>
  </si>
  <si>
    <t>IMMOBILIZER, ORTHOPEDIC, AIRCAST, QUICK-FIT, UNIVERSAL, 7X10.5X17IN, FABRIC, SHOULDER, SLING, WITH PILLOW, ABDUCTION, BREATHABLE, EASY OPEN, FRONT PANEL, FULL PAD, STRAP, MESH</t>
  </si>
  <si>
    <t>IMMOBILIZER, ORTHO, AIRCAST, QUICK-FIT, UNIV, 7X10.5X17IN, FABRIC, SHLDR, SLING, W/ PILLOW, ABDCT, BREATHABLE, EASY OPEN, FRONT PANEL, FULL PAD, STRAP, MESH</t>
  </si>
  <si>
    <t>IMMOBILIZER, ORTHO, 7X10.5X17IN</t>
  </si>
  <si>
    <t>IMMOBILIZER</t>
  </si>
  <si>
    <t>AIRCAST, QUICK-FIT</t>
  </si>
  <si>
    <t>SLING</t>
  </si>
  <si>
    <t>UNIVERSAL</t>
  </si>
  <si>
    <t>7X10.5X17IN</t>
  </si>
  <si>
    <t>10.5X17X7 IN</t>
  </si>
  <si>
    <t>SHOULDER</t>
  </si>
  <si>
    <t>SLING, WITH PILLOW, ABDUCTION, BREATHABLE, EASY OPEN, FRONT PANEL, FULL PAD, STRAP, MESH</t>
  </si>
  <si>
    <t>WITH PILLOW, ABDUCTION, BREATHABLE, EASY OPEN, FRONT PANEL, FULL PAD, STRAP, MESH</t>
  </si>
  <si>
    <t>https://www.djoglobal.com/products/aircast/quick-fit-shoulder-immobilizer</t>
  </si>
  <si>
    <t>42311512  Gauze sponges</t>
  </si>
  <si>
    <t>GAUZE, NON-IMPREGNATED, STERILE, PAD SIZE 16 SQ. IN. OR LESS, WITHOUT ADHESIVE BORDER, EACH DRESSING</t>
  </si>
  <si>
    <t>Curity Gauze Sponges 4 in. x 4 in. 12-Ply Sterile</t>
  </si>
  <si>
    <t>DRESSING, GAUZE, SPONGE, 4X4 IN, 12 PLY, USP, TYPE VII, MINOR PREPPING, 100% COTTON, STERILE, CURITY, LATEX, DISPOSABLE</t>
  </si>
  <si>
    <t>DRESSING, GAUZE, CURITY, 4X4IN, 100% COTTON, SPONGE, 12 PLY, USP, TYPE VII, MINOR PREPPING, STERILE, LATEX, DISPOSABLE</t>
  </si>
  <si>
    <t>DRSG, GAUZE, CURTY, 4X4IN, 100% COTTON, SPONGE, 12 PLY, USP, TYPE VII, MINOR PREPPING, STRL, LTX, DISP</t>
  </si>
  <si>
    <t>DRESSING, GAUZE, CURTY, 4X4IN</t>
  </si>
  <si>
    <t>DRESSING</t>
  </si>
  <si>
    <t>GAUZE</t>
  </si>
  <si>
    <t>SPONGE</t>
  </si>
  <si>
    <t>4X4IN</t>
  </si>
  <si>
    <t>4X4 IN</t>
  </si>
  <si>
    <t>100% COTTON</t>
  </si>
  <si>
    <t>SPONGE, 12 PLY, USP, TYPE VII, MINOR PREPPING</t>
  </si>
  <si>
    <t>12 PLY, USP, TYPE VII, MINOR PREPPING</t>
  </si>
  <si>
    <t>10PK</t>
  </si>
  <si>
    <t>https://www.cardinalhealth.com/en/product-solutions/medical/skin-and-wound-management/traditional-wound-care/woven-dressings/woven-sponges.html</t>
  </si>
  <si>
    <t>42221503  Central venous catheters</t>
  </si>
  <si>
    <t>CATHETER, INFUSION, INSERTED PERIPHERALLY, CENTRALLY OR MIDLINE (OTHER THAN HEMODIALYSIS)</t>
  </si>
  <si>
    <t>Hickman Trifusion Microintroducer Kit</t>
  </si>
  <si>
    <t>CATHETER, CENTRAL VENOUS, TRIPLE LUMEN, 12 FRX27X32 CM, MICROINTRODUCER KIT, POLYURETHANE, STERILE, HICKMAN, TRIFUSION, LATEX</t>
  </si>
  <si>
    <t>CATHETER, CENTRAL VENOUS, HICKMAN, TRIFUSION, 12FRX27X32CM, POLYURETHANE, TRIPLE LUMEN, MICROINTRODUCER KIT, STERILE, LATEX</t>
  </si>
  <si>
    <t>CATH, CV, HCKMN, TRIFUSION, 12FRX27X32CM, PU, TRPL LUMEN, MICROINTRODUCER KIT</t>
  </si>
  <si>
    <t>CATH, CV, HCKMN, 12FRX27X32CM</t>
  </si>
  <si>
    <t>CATHETER</t>
  </si>
  <si>
    <t>CENTRAL VENOUS</t>
  </si>
  <si>
    <t>HICKMAN, TRIFUSION</t>
  </si>
  <si>
    <t>TRIPLE LUMEN</t>
  </si>
  <si>
    <t>12FRX27X32CM</t>
  </si>
  <si>
    <t>12 FRX27X32 CM</t>
  </si>
  <si>
    <t>POLYURETHANE</t>
  </si>
  <si>
    <t>TRIPLE LUMEN, MICROINTRODUCER KIT</t>
  </si>
  <si>
    <t>MICROINTRODUCER KIT</t>
  </si>
  <si>
    <t>https://www.bd.com/en-us/products-and-solutions/products/product-page.0659270, https://accessgudid.nlm.nih.gov/devices/00801741036576</t>
  </si>
  <si>
    <t>CleanGuide Disposable OTW Esophageal Dilator 7mm</t>
  </si>
  <si>
    <t>DILATOR, SURGICAL, OVER THE WIRE, 7 MM, ESOPHAGEAL, RIGID, POLYVINYL, STERILE, CLEANGUIDE, DISPOSABLE</t>
  </si>
  <si>
    <t>DILATOR, SURGICAL, CLEANGUIDE, 7MM, POLYVINYL, ESOPHAGEAL, OVER THE WIRE, RIGID, STERILE, DISPOSABLE</t>
  </si>
  <si>
    <t>DIL, SURG, CLEANGUIDE, 7MM, POLYVINYL, ESPGHL, OTW, RGD, STRL, DISP</t>
  </si>
  <si>
    <t>DILATOR, SURG, CLGUD, 7MMESPGHL</t>
  </si>
  <si>
    <t>7MM</t>
  </si>
  <si>
    <t>7 MM</t>
  </si>
  <si>
    <t>CleanGuide Disposable OTW Esophageal Dilator 12mm</t>
  </si>
  <si>
    <t>DILATOR, SURGICAL, OVER THE WIRE, 12 MM, ESOPHAGEAL, RIGID, POLYVINYL, STERILE, CLEANGUIDE, DISPOSABLE</t>
  </si>
  <si>
    <t>DILATOR, SURGICAL, CLEANGUIDE, 12MM, POLYVINYL, ESOPHAGEAL, OVER THE WIRE, RIGID, STERILE, DISPOSABLE</t>
  </si>
  <si>
    <t>DIL, SURG, CLEANGUIDE, 12MM, POLYVINYL, ESPGHL, OTW, RGD, STRL, DISP</t>
  </si>
  <si>
    <t>DILATOR, SURG, CLGUD, 12MMESPGHL</t>
  </si>
  <si>
    <t>12MM</t>
  </si>
  <si>
    <t>12 MM</t>
  </si>
  <si>
    <t>42294958  Endoscopic vessel sealing and cutting attachments</t>
  </si>
  <si>
    <t>Laparoscopic Sealer/Divider 44 cm</t>
  </si>
  <si>
    <t>SEALER/DIVIDER, LAPAROSCOPIC, 44 CM, REPROCESSED, LIGASURE</t>
  </si>
  <si>
    <t>SEALER/DIVIDER, LAPAROSCOPIC, LIGASURE, 44CM, REPROCESSED</t>
  </si>
  <si>
    <t>SEALER/DIVIDER, LPRSCPC, LGSRE, 44CM, REP</t>
  </si>
  <si>
    <t>SEALER/DIVIDER, LPRSCPC, 44CM</t>
  </si>
  <si>
    <t>SEALER/DIVIDER</t>
  </si>
  <si>
    <t>LAPAROSCOPIC</t>
  </si>
  <si>
    <t>LIGASURE</t>
  </si>
  <si>
    <t>44CM</t>
  </si>
  <si>
    <t>44 CM</t>
  </si>
  <si>
    <t>REPROCESSED</t>
  </si>
  <si>
    <t>https://www.medtronic.com/covidien/en-us/products/vessel-sealing/ligasure-maryland-jaw-sealer-divider.html</t>
  </si>
  <si>
    <t>42142535  Anesthesia nerve block kit or tray</t>
  </si>
  <si>
    <t>Epidural Tray Perifix Single Shot Tuohy 20 Gauge</t>
  </si>
  <si>
    <t>EPIDURAL TRAY, TUOHY, 20 GA, SINGLE SHOT, CUSTOM, 18GA NEEDLE, LUERLOCK SYRINGE, DRAPE, PAPER TOWEL, LIDOCAINE, STERILE, PERIFIX, DESIGN OPTIONS, LATEX-FREE, DISPOSABLE</t>
  </si>
  <si>
    <t>TRAY, EPIDURAL, PERIFIX, DESIGN OPTIONS, 20GA, LIDOCAINE, TUOHY, SINGLE SHOT, CUSTOM, 18GA NEEDLE, LUERLOCK SYRINGE, DRAPE, PAPER TOWEL, STERILE, LATEX FREE, DISPOSABLE</t>
  </si>
  <si>
    <t>TRAY, EPDRL, PERFX, DSGN OPTIONS, 20GA, LIDO, TUOHY, SGL SHOT, CUSTOM, 18GA NDL, LUERLOCK SYR, DRAPE, PPR TOWEL, STRL, LTXFREE, DISP</t>
  </si>
  <si>
    <t>TRAY, EPDRL, PERFX, 20GA, LIDO</t>
  </si>
  <si>
    <t>TRAY</t>
  </si>
  <si>
    <t>EPIDURAL TRAY</t>
  </si>
  <si>
    <t>EPIDURAL</t>
  </si>
  <si>
    <t>PERIFIX, DESIGN OPTIONS</t>
  </si>
  <si>
    <t>TUOHY</t>
  </si>
  <si>
    <t>20GA</t>
  </si>
  <si>
    <t>20 GA</t>
  </si>
  <si>
    <t>LIDOCAINE</t>
  </si>
  <si>
    <t>TUOHY, SINGLE SHOT, CUSTOM, 18GA NEEDLE, LUERLOCK SYRINGE, DRAPE, PAPER TOWEL</t>
  </si>
  <si>
    <t>SINGLE SHOT, CUSTOM, 18GA NEEDLE, LUERLOCK SYRINGE, DRAPE, PAPER TOWEL</t>
  </si>
  <si>
    <t>https://mms.mckesson.com/product/516547/B-Braun-551367</t>
  </si>
  <si>
    <t>42221607  Intravenous or arterial tubing filters or screens for general use</t>
  </si>
  <si>
    <t>5 micron filter with 1 3/4 in. flexible straw for fluid aspiration from glass ampules</t>
  </si>
  <si>
    <t>FILTER, INTRAVENOUS, FLEXIBLE, 5 MH, 1.75 IN, FOR FLUID ASPIRATION FROM GLASS AMPULE, STERILE, FILTER STRAW, LATEX-FREE</t>
  </si>
  <si>
    <t>FILTER, INTRAVENOUS, FILTER STRAW, 5MH, 1.75IN, FLEXIBLE, FOR FLUID ASPIRATION FROM GLASS AMPULE, STERILE, LATEX FREE</t>
  </si>
  <si>
    <t>FLTR, IV, FLTR STRAW, 5MH, 1.75IN, FLXB, FOR FLUID ASPN FROM GLASS AMPULE, STRL, LTXFREE</t>
  </si>
  <si>
    <t>FILTER, IV, FTSRW, 5MH, 1.75IN</t>
  </si>
  <si>
    <t>FILTER</t>
  </si>
  <si>
    <t>INTRAVENOUS</t>
  </si>
  <si>
    <t>FLEXIBLE</t>
  </si>
  <si>
    <t>5MH</t>
  </si>
  <si>
    <t>5 MH</t>
  </si>
  <si>
    <t>1.75IN</t>
  </si>
  <si>
    <t>1.75 IN</t>
  </si>
  <si>
    <t>FLEXIBLE, FOR FLUID ASPIRATION FROM GLASS AMPULE</t>
  </si>
  <si>
    <t>FOR FLUID ASPIRATION FROM GLASS AMPULE</t>
  </si>
  <si>
    <t>https://www.bbraunusa.com/en/products/b0/filter-straw-fs5005.html</t>
  </si>
  <si>
    <t>42296011  Vascular coils</t>
  </si>
  <si>
    <t>C1884</t>
  </si>
  <si>
    <t>EMBOLIZATION PROTECTIVE SYSTEM</t>
  </si>
  <si>
    <t>TARGET XL 9X30</t>
  </si>
  <si>
    <t>COIL, EMBOLIZATION, DETACHABLE, STANDARD, 360 DEGREE, 9 MMX30 CM, STERILE, TARGET XL, LATEX</t>
  </si>
  <si>
    <t>COIL, EMBOLIZATION, TARGET XL, STANDARD, 360 DEGREE, 9MMX30CM, DETACHABLE, STERILE, LATEX</t>
  </si>
  <si>
    <t>COIL, EMBOL, TARGET XLRG, STD, 360 DEG, 9MMX30CM, DETACH</t>
  </si>
  <si>
    <t>COIL, EMBOL, STD, 360, 9MMX30CM</t>
  </si>
  <si>
    <t>COIL</t>
  </si>
  <si>
    <t>EMBOLIZATION</t>
  </si>
  <si>
    <t>DETACHABLE</t>
  </si>
  <si>
    <t>STANDARD, 360 DEGREE</t>
  </si>
  <si>
    <t>9MMX30CM</t>
  </si>
  <si>
    <t>9 MMX30 CM</t>
  </si>
  <si>
    <t>https://kategorizacia.mzsr.sk/Pomocky/Download/RequestAttachment/50389, https://accessgudid.nlm.nih.gov/devices/07613327004793</t>
  </si>
  <si>
    <t>CleanGuide Disposable OTW Esophageal Dilator 5mm</t>
  </si>
  <si>
    <t>DILATOR, SURGICAL, OVER THE WIRE, 5 MM, ESOPHAGEAL, RIGID, POLYVINYL, STERILE, CLEANGUIDE, DISPOSABLE</t>
  </si>
  <si>
    <t>DILATOR, SURGICAL, CLEANGUIDE, 5MM, POLYVINYL, ESOPHAGEAL, OVER THE WIRE, RIGID, STERILE, DISPOSABLE</t>
  </si>
  <si>
    <t>DIL, SURG, CLEANGUIDE, 5MM, POLYVINYL, ESPGHL, OTW, RGD, STRL, DISP</t>
  </si>
  <si>
    <t>DILATOR, SURG, CLGUD, 5MM, ESPGHL</t>
  </si>
  <si>
    <t>5MM</t>
  </si>
  <si>
    <t>5 MM</t>
  </si>
  <si>
    <t>42312202  Suturing kits or trays or packs or sets</t>
  </si>
  <si>
    <t>SerosaFuse Implantable Fastener Kit</t>
  </si>
  <si>
    <t>FASTENER KIT, IMPLANTABLE, DELIVERY DEVICE, CARTRIDGE, STERILE, SEROSAFUSE, LATEX</t>
  </si>
  <si>
    <t>KIT, FASTENER, SEROSAFUSE, IMPLANTABLE, DELIVERY DEVICE, CARTRIDGE, STERILE, LATEX</t>
  </si>
  <si>
    <t>KIT, FASTENER, SEROSAFUSE, IMPLTBL, DLV DEV, CRTDG, STRL, LTX</t>
  </si>
  <si>
    <t>KIT, FASTENER, SEROSAFUSE, STRL</t>
  </si>
  <si>
    <t>FASTENER KIT</t>
  </si>
  <si>
    <t>FASTENER</t>
  </si>
  <si>
    <t>IMPLANTABLE</t>
  </si>
  <si>
    <t>IMPLANTABLE, DELIVERY DEVICE, CARTRIDGE</t>
  </si>
  <si>
    <t>DELIVERY DEVICE, CARTRIDGE</t>
  </si>
  <si>
    <t>https://accessgudid.nlm.nih.gov/devices/00810275014011</t>
  </si>
  <si>
    <t>42231802  Pediatric supplemental formulas or bars or puddings for general use</t>
  </si>
  <si>
    <t>FORMULA, SUPPLEMENTAL, HUMAN MILK, 19 CAL, 100 CC</t>
  </si>
  <si>
    <t>FORMULA, SUPPLEMENTAL, 19CAL, 100ML, HUMAN MILK</t>
  </si>
  <si>
    <t>FMLA, SUPPL, 19CAL, 100ML, HUMAN MILK</t>
  </si>
  <si>
    <t>FORMULA, SUPPL, 19CAL, 100ML, MILK</t>
  </si>
  <si>
    <t>FORMULA</t>
  </si>
  <si>
    <t>SUPPLEMENTAL</t>
  </si>
  <si>
    <t>19CAL</t>
  </si>
  <si>
    <t>19 CAL</t>
  </si>
  <si>
    <t>100ML</t>
  </si>
  <si>
    <t>100 CC</t>
  </si>
  <si>
    <t>OZ</t>
  </si>
  <si>
    <t>42231603  Jejunostomy tubes or kits</t>
  </si>
  <si>
    <t>GASTROSTOMY/JEJUNOSTOMY TUBE, STANDARD, ANY MATERIAL, ANY TYPE, EACH</t>
  </si>
  <si>
    <t>MIC JEJUNAL FEEDING TUBE WITH ENFIT CONNECTOR – 14 FR</t>
  </si>
  <si>
    <t>TUBE, JEJUNOSTOMY, FEEDING, 14 FR, 7-10 CC, WITH ENFIT CONNECTOR, SECURLOK EXTERNAL RETENTION RING, SINGLE ACCESS PORT, RADIOPAQUE, SILICONE, STERILE, MIC, LATEX</t>
  </si>
  <si>
    <t>TUBE, JEJUNOSTOMY, MIC, 14FR, 7-10ML, SILICONE, FEEDING, WITH ENFIT CONNECTOR, SECURLOK EXTERNAL RETENTION RING, SINGLE ACCESS PORT, RADIOPAQUE, STERILE, LATEX</t>
  </si>
  <si>
    <t>TUBE, JSTMY, MIC, 14FR, 7-10ML, SIL, FEED, W/ ENFIT CONN, SECURLOK EXT RETENTION RING, SGL ACCS PORT, RADOPQ</t>
  </si>
  <si>
    <t>TUBE, JSTMY, MIC, 14FR, 7-10ML, SIL</t>
  </si>
  <si>
    <t>TUBE</t>
  </si>
  <si>
    <t>JEJUNOSTOMY</t>
  </si>
  <si>
    <t>FEEDING</t>
  </si>
  <si>
    <t>14FR</t>
  </si>
  <si>
    <t>14 FR</t>
  </si>
  <si>
    <t>7-10ML</t>
  </si>
  <si>
    <t>7-10 CC</t>
  </si>
  <si>
    <t>SILICONE</t>
  </si>
  <si>
    <t>FEEDING, WITH ENFIT CONNECTOR, SECURLOK EXTERNAL RETENTION RING, SINGLE ACCESS PORT, RADIOPAQUE</t>
  </si>
  <si>
    <t>WITH ENFIT CONNECTOR, SECURLOK EXTERNAL RETENTION RING, SINGLE ACCESS PORT, RADIOPAQUE</t>
  </si>
  <si>
    <t>https://avanosmedicaldevices.com/product-catalog/digestive-health/enteral-feeding/standard-tube-kits/mic-jejunal-feeding-tube-with-enfit-connector/8200-14__mic-jejunal-feeding-tube-with-enfit-connector-14-fr/, https://accessgudid.nlm.nih.gov/devices/10680651445671</t>
  </si>
  <si>
    <t>Sterile Water for Irrigation USP 3000 Ml</t>
  </si>
  <si>
    <t>SOLUTION, IRRIGATION, STERILE WATER, 3 LT, TITAN XL CONTAINER, HYPOTONIC, NONPYROGENIC, STERILE</t>
  </si>
  <si>
    <t>SOLUTION, IRRIGATION, 3LT, STERILE WATER, TITAN XL CONTAINER, HYPOTONIC, NONPYROGENIC, STERILE</t>
  </si>
  <si>
    <t>SOL, IRRGTN, 3LT, STRL WATER, TITAN XLRG CNTNR, HYPOTONIC, NONPYROGENIC, STRL</t>
  </si>
  <si>
    <t>SOLUTION, IRRGTN, 3LT, STRL WATER</t>
  </si>
  <si>
    <t>3LT</t>
  </si>
  <si>
    <t>3 LT</t>
  </si>
  <si>
    <t>TITAN XL CONTAINER, HYPOTONIC, NONPYROGENIC</t>
  </si>
  <si>
    <t>4/CA</t>
  </si>
  <si>
    <t>https://www.bbraunusa.com/en/products/b/irrigation-solutionsinflexiblebags.html</t>
  </si>
  <si>
    <t>42294545  Ophthalmic surgical knife or blade accessories</t>
  </si>
  <si>
    <t>ClearCut HP2 2.8mm</t>
  </si>
  <si>
    <t>KNIFE, OPHTHALMIC, ANGLED, 2.8 MM, SLIT, DUAL BEVEL, SURGICAL, STERILE, CLEARCUT HP2, LATEX</t>
  </si>
  <si>
    <t>KNIFE, OPHTHALMIC, CLEARCUT HP2, 2.8MM, ANGLED, SLIT, DUAL BEVEL, SURGICAL, STERILE, LATEX</t>
  </si>
  <si>
    <t>KNIFE, OPTH, CLEARCUT HP2, 2.8MM, ANG, SLIT, DUAL BEVEL, SURG</t>
  </si>
  <si>
    <t>KNIFE, OPTH, CLEARCUT HP2, 2.8MM</t>
  </si>
  <si>
    <t>KNIFE</t>
  </si>
  <si>
    <t>OPHTHALMIC</t>
  </si>
  <si>
    <t>CLEARCUT HP2</t>
  </si>
  <si>
    <t>ANGLED</t>
  </si>
  <si>
    <t>2.8MM</t>
  </si>
  <si>
    <t>2.8 MM</t>
  </si>
  <si>
    <t>ANGLED, SLIT, DUAL BEVEL, SURGICAL</t>
  </si>
  <si>
    <t>SLIT, DUAL BEVEL, SURGICAL</t>
  </si>
  <si>
    <t>http://www.wemed1.com/downloads/dl/file/id/4627/product/3245/specs_for_op_a_infiniti_h2.pdf, https://accessgudid.nlm.nih.gov/devices/00380659828652</t>
  </si>
  <si>
    <t>AXIOFILL 250 mg</t>
  </si>
  <si>
    <t>ALLOGRAFT, HUMAN TISSUE, PARTICULATE, 250 MG, DRY, PASTE APPLICATION, EXTRACELLULAR MATRIX, AXIOFILL</t>
  </si>
  <si>
    <t>ALLOGRAFT, HUMAN TISSUE, AXIOFILL, 250MG, EXTRACELLULAR MATRIX, PARTICULATE, DRY, PASTE APPLICATION</t>
  </si>
  <si>
    <t>ALGRF, HUMAN TISS, AXIOFILL, 250MG, EXTRACELLULAR MATRIX, PARTICULATE, DRY, PASTE APPL</t>
  </si>
  <si>
    <t>ALLOGRAFT, HUMAN TISS, 250MG, DRY</t>
  </si>
  <si>
    <t>250MG</t>
  </si>
  <si>
    <t>250 MG</t>
  </si>
  <si>
    <t>CleanGuide Disposable OTW Esophageal Dilator 19mm</t>
  </si>
  <si>
    <t>DILATOR, SURGICAL, OVER THE WIRE, 19 MM, ESOPHAGEAL, RIGID, POLYVINYL, STERILE, CLEANGUIDE, DISPOSABLE</t>
  </si>
  <si>
    <t>DILATOR, SURGICAL, CLEANGUIDE, 19MM, POLYVINYL, ESOPHAGEAL, OVER THE WIRE, RIGID, STERILE, DISPOSABLE</t>
  </si>
  <si>
    <t>DIL, SURG, CLEANGUIDE, 19MM, POLYVINYL, ESPGHL, OTW, RGD, STRL, DISP</t>
  </si>
  <si>
    <t>DILATOR, SURG, CLGUD, 19MMESPGHL</t>
  </si>
  <si>
    <t>19MM</t>
  </si>
  <si>
    <t>19 MM</t>
  </si>
  <si>
    <t>CleanGuide Disposable OTW Esophageal Dilator 16mm</t>
  </si>
  <si>
    <t>DILATOR, SURGICAL, OVER THE WIRE, 16 MM, ESOPHAGEAL, RIGID, POLYVINYL, STERILE, CLEANGUIDE, DISPOSABLE</t>
  </si>
  <si>
    <t>DILATOR, SURGICAL, CLEANGUIDE, 16MM, POLYVINYL, ESOPHAGEAL, OVER THE WIRE, RIGID, STERILE, DISPOSABLE</t>
  </si>
  <si>
    <t>DIL, SURG, CLEANGUIDE, 16MM, POLYVINYL, ESPGHL, OTW, RGD, STRL, DISP</t>
  </si>
  <si>
    <t>DILATOR, SURG, CLGUD, 16MMESPGHL</t>
  </si>
  <si>
    <t>16MM</t>
  </si>
  <si>
    <t>16 MM</t>
  </si>
  <si>
    <t>LigaSure Small Jaw Open Sealer/Divider</t>
  </si>
  <si>
    <t>SEALER/DIVIDER, LAPAROSCOPIC, SMALL JAW, OPEN, VESSEL, CURVED, REPROCESSED, STERILE, LIGASURE, LATEX-FREE</t>
  </si>
  <si>
    <t>SEALER/DIVIDER, LAPAROSCOPIC, LIGASURE, SMALL JAW, OPEN, VESSEL, CURVED, REPROCESSED, STERILE, LATEX FREE</t>
  </si>
  <si>
    <t>SEALER/DIVIDER, LPRSCPC, LGSRE, SM JAW, OPEN, VESSEL, CRVD, REP</t>
  </si>
  <si>
    <t>SEALER/DIVIDER, LPRSCPC, LGSRE</t>
  </si>
  <si>
    <t>SMALL JAW</t>
  </si>
  <si>
    <t>SMALL JAW, OPEN, VESSEL, CURVED, REPROCESSED</t>
  </si>
  <si>
    <t>OPEN, VESSEL, CURVED, REPROCESSED</t>
  </si>
  <si>
    <t>https://www.medtronic.com/covidien/en-us/products/vessel-sealing/ligasure-small-jaw.html, https://accessgudid.nlm.nih.gov/devices/10888277664173</t>
  </si>
  <si>
    <t>42295516  Urological implant or sets</t>
  </si>
  <si>
    <t>Desara One Single Incision Sling System</t>
  </si>
  <si>
    <t>SLING, UROLOGICAL, SINGLE INCISION, GYNECOLOGY, FOR FEMALE STRESS URINARY INCONTINENCE, BLUE, STERILE, DESARA ONE, LATEX</t>
  </si>
  <si>
    <t>SLING, UROLOGICAL, DESARA ONE, BLUE, SINGLE INCISION, GYNECOLOGY, FOR FEMALE STRESS URINARY INCONTINENCE, STERILE, LATEX</t>
  </si>
  <si>
    <t>SLING, URO, DESARA, BLUE, SGL INCSN, GYNECOLOGY, FOR FEMALE STRESS URIN INCONT</t>
  </si>
  <si>
    <t>SLING, URO, DESARA, BLUE, INCSN</t>
  </si>
  <si>
    <t>UROLOGICAL</t>
  </si>
  <si>
    <t>DESARA ONE</t>
  </si>
  <si>
    <t>SINGLE INCISION</t>
  </si>
  <si>
    <t>BLUE</t>
  </si>
  <si>
    <t>SINGLE INCISION, GYNECOLOGY, FOR FEMALE STRESS URINARY INCONTINENCE</t>
  </si>
  <si>
    <t>GYNECOLOGY, FOR FEMALE STRESS URINARY INCONTINENCE</t>
  </si>
  <si>
    <t>IMPLANT</t>
  </si>
  <si>
    <t>https://www.calderamedical.com/desaraone/, https://accessgudid.nlm.nih.gov/devices/00890594000971</t>
  </si>
  <si>
    <t>42221512  Intravenous catheters</t>
  </si>
  <si>
    <t>TrueSafe Safety IV Catheter 16G x 1.77</t>
  </si>
  <si>
    <t>CATHETER, INTRAVENOUS, SAFETY, 16 GAX1.77 IN, STERILE, TRUESAFE, LATEX-FREE</t>
  </si>
  <si>
    <t>CATHETER, INTRAVENOUS, TRUESAFE, 16GAX1.77IN, SAFETY, STERILE, LATEX FREE</t>
  </si>
  <si>
    <t>CATH, IV, TRUESAFE, 16GAX1.77IN, SFTY</t>
  </si>
  <si>
    <t>CATH, IV, TRUESAFE, 16GAX1.77IN</t>
  </si>
  <si>
    <t>TRUESAFE</t>
  </si>
  <si>
    <t>SAFETY</t>
  </si>
  <si>
    <t>16GAX1.77IN</t>
  </si>
  <si>
    <t>16 GAX1.77 IN</t>
  </si>
  <si>
    <t>EA</t>
  </si>
  <si>
    <t>https://www.medsourcelabs.com/product/truesafe-and-truesafe-comfort-safety-iv-catheter/, https://accessgudid.nlm.nih.gov/devices/00816703020753</t>
  </si>
  <si>
    <t>42142523  Hypodermic needle</t>
  </si>
  <si>
    <t>A4215</t>
  </si>
  <si>
    <t>NEEDLE, STERILE, ANY SIZE, EACH</t>
  </si>
  <si>
    <t>NEEDLE, HYPODERMIC, 21 GAX2 IN, LAVENDER</t>
  </si>
  <si>
    <t>NEEDLE, HYPODERMIC, 21GAX2IN, LAVENDER</t>
  </si>
  <si>
    <t>NDL, HYPDRMC, 21GAX2IN, LAV</t>
  </si>
  <si>
    <t>NEEDLE, HYPDRMC, 21GAX2IN, LAV</t>
  </si>
  <si>
    <t>NEEDLE</t>
  </si>
  <si>
    <t>HYPODERMIC</t>
  </si>
  <si>
    <t>21GAX2IN</t>
  </si>
  <si>
    <t>21 GAX2 IN</t>
  </si>
  <si>
    <t>LAVENDER</t>
  </si>
  <si>
    <t>Shoreline ACS No Profile Spacer 16x14x6mm 7 Degree Sterile</t>
  </si>
  <si>
    <t>SPACER, SPINAL, NO PROFILE, 7 DEGREE, 16X14X6 MM, INTEGRATED, STERILE, SHORELINE ACS, LATEX</t>
  </si>
  <si>
    <t>SPACER, SPINAL, SHORELINE ACS, 7 DEGREE, 14X6X16MM, NO PROFILE, INTEGRATED, STERILE, LATEX</t>
  </si>
  <si>
    <t>SPCR, SPNL, SHRL ACS, 7 DEG, 14X6X16MM, NO PROF, INTEGRATED, STRL, LTX</t>
  </si>
  <si>
    <t>SPACER, SPNL, 7 DEG, 14X6X16MM</t>
  </si>
  <si>
    <t>14X6X16MM</t>
  </si>
  <si>
    <t>16X14X6 MM</t>
  </si>
  <si>
    <t>https://accessgudid.nlm.nih.gov/devices/00889981124017</t>
  </si>
  <si>
    <t>CleanGuide Disposable OTW Esophageal Dilator 13mm</t>
  </si>
  <si>
    <t>DILATOR, SURGICAL, OVER THE WIRE, 13 MM, ESOPHAGEAL, RIGID, POLYVINYL, STERILE, CLEANGUIDE, DISPOSABLE</t>
  </si>
  <si>
    <t>DILATOR, SURGICAL, CLEANGUIDE, 13MM, POLYVINYL, ESOPHAGEAL, OVER THE WIRE, RIGID, STERILE, DISPOSABLE</t>
  </si>
  <si>
    <t>DIL, SURG, CLEANGUIDE, 13MM, POLYVINYL, ESPGHL, OTW, RGD, STRL, DISP</t>
  </si>
  <si>
    <t>DILATOR, SURG, CLGUD, 13MMESPGHL</t>
  </si>
  <si>
    <t>13MM</t>
  </si>
  <si>
    <t>13 MM</t>
  </si>
  <si>
    <t>42294908  Endoscopic clamp or dissector or grasper or forceps</t>
  </si>
  <si>
    <t>LigaSure Exact Dissector</t>
  </si>
  <si>
    <t>DISSECTOR, ENDOSCOPIC, EXACT, REPROCESSED, LIGASURE</t>
  </si>
  <si>
    <t>DISSECTOR, ENDOSCOPIC, LIGASURE, EXACT, REPROCESSED</t>
  </si>
  <si>
    <t>DSCTR, ENDO, LGSRE, EXACT, REP</t>
  </si>
  <si>
    <t>DISSECTOR, ENDO, LGSRE, EXACT, REP</t>
  </si>
  <si>
    <t>DISSECTOR</t>
  </si>
  <si>
    <t>ENDOSCOPIC</t>
  </si>
  <si>
    <t>EXACT</t>
  </si>
  <si>
    <t>EXACT, REPROCESSED</t>
  </si>
  <si>
    <t>https://www.medtronic.com/covidien/en-us/products/vessel-sealing/ligasure-exact-dissector.html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</si>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</sst>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1" xfId="0" applyFont="1" applyAlignment="1">
      <alignment horizontal="left"/>
    </xf>
    <xf numFmtId="49" fontId="8" fillId="0" borderId="1" xfId="0" applyNumberFormat="1" applyFont="1" applyAlignment="1">
      <alignment horizontal="left"/>
    </xf>
    <xf numFmtId="0" fontId="8" fillId="0" borderId="1" xfId="0" applyNumberFormat="1" applyFont="1" applyAlignment="1">
      <alignment horizontal="left"/>
    </xf>
    <xf numFmtId="0" fontId="8" fillId="0" borderId="1" xfId="0" quotePrefix="1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15.28515625" style="1" customWidth="1"/>
    <col min="19" max="19" width="9.140625" style="1" customWidth="1"/>
    <col min="20" max="20" width="32.85546875" style="1" customWidth="1"/>
    <col min="21" max="21" width="14.7109375" style="1" customWidth="1"/>
    <col min="22" max="22" width="31.28515625" style="1" customWidth="1"/>
    <col min="23" max="23" width="15.85546875" style="1" customWidth="1"/>
    <col min="24" max="24" width="17.42578125" style="1" customWidth="1"/>
    <col min="25" max="25" width="14.710937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4.140625" style="1" customWidth="1"/>
    <col min="32" max="32" width="17.85546875" style="1" customWidth="1"/>
    <col min="33" max="33" width="169.28515625" style="1" customWidth="1"/>
    <col min="34" max="34" width="147.5703125" style="1" customWidth="1"/>
    <col min="35" max="35" width="13.140625" style="1" customWidth="1"/>
    <col min="36" max="36" width="8.140625" style="1" customWidth="1"/>
    <col min="37" max="37" width="17.2851562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187</v>
      </c>
      <c r="B1" s="3" t="s">
        <v>388</v>
      </c>
      <c r="C1" s="2" t="s">
        <v>117</v>
      </c>
      <c r="D1" s="2" t="s">
        <v>401</v>
      </c>
      <c r="E1" s="2" t="s">
        <v>131</v>
      </c>
      <c r="F1" s="2" t="s">
        <v>445</v>
      </c>
      <c r="G1" s="2" t="s">
        <v>301</v>
      </c>
      <c r="H1" s="2" t="s">
        <v>17</v>
      </c>
      <c r="I1" s="2" t="s">
        <v>366</v>
      </c>
      <c r="J1" s="2" t="s">
        <v>80</v>
      </c>
      <c r="K1" s="2" t="s">
        <v>259</v>
      </c>
      <c r="L1" s="2" t="s">
        <v>423</v>
      </c>
      <c r="M1" s="2" t="s">
        <v>235</v>
      </c>
      <c r="N1" s="2" t="s">
        <v>71</v>
      </c>
      <c r="O1" s="2" t="s">
        <v>133</v>
      </c>
      <c r="P1" s="4" t="s">
        <v>102</v>
      </c>
      <c r="Q1" s="4" t="s">
        <v>434</v>
      </c>
      <c r="R1" s="5" t="s">
        <v>462</v>
      </c>
      <c r="S1" s="5" t="s">
        <v>129</v>
      </c>
      <c r="T1" s="5" t="s">
        <v>237</v>
      </c>
      <c r="U1" s="5" t="s">
        <v>174</v>
      </c>
      <c r="V1" s="5" t="s">
        <v>245</v>
      </c>
      <c r="W1" s="5" t="s">
        <v>50</v>
      </c>
      <c r="X1" s="6" t="s">
        <v>210</v>
      </c>
      <c r="Y1" s="5" t="s">
        <v>454</v>
      </c>
      <c r="Z1" s="6" t="s">
        <v>417</v>
      </c>
      <c r="AA1" s="7" t="s">
        <v>110</v>
      </c>
      <c r="AB1" s="7" t="s">
        <v>262</v>
      </c>
      <c r="AC1" s="8" t="s">
        <v>13</v>
      </c>
      <c r="AD1" s="7" t="s">
        <v>372</v>
      </c>
      <c r="AE1" s="5" t="s">
        <v>271</v>
      </c>
      <c r="AF1" s="9" t="s">
        <v>44</v>
      </c>
      <c r="AG1" s="10" t="s">
        <v>195</v>
      </c>
      <c r="AH1" s="10" t="s">
        <v>302</v>
      </c>
      <c r="AI1" s="10" t="s">
        <v>437</v>
      </c>
      <c r="AJ1" s="10" t="s">
        <v>435</v>
      </c>
      <c r="AK1" s="10" t="s">
        <v>33</v>
      </c>
      <c r="AL1" s="6" t="s">
        <v>448</v>
      </c>
      <c r="AM1" s="11" t="s">
        <v>189</v>
      </c>
      <c r="AN1" s="11" t="s">
        <v>463</v>
      </c>
      <c r="AO1" s="12" t="s">
        <v>293</v>
      </c>
      <c r="AP1" s="12" t="s">
        <v>138</v>
      </c>
      <c r="AQ1" s="6" t="s">
        <v>164</v>
      </c>
      <c r="AR1" s="6" t="s">
        <v>10</v>
      </c>
      <c r="AS1" s="6" t="s">
        <v>313</v>
      </c>
      <c r="AT1" s="6" t="s">
        <v>215</v>
      </c>
      <c r="AU1" s="13" t="s">
        <v>270</v>
      </c>
      <c r="AV1" s="14" t="s">
        <v>327</v>
      </c>
      <c r="AW1" s="15" t="s">
        <v>335</v>
      </c>
      <c r="AX1" s="14" t="s">
        <v>209</v>
      </c>
      <c r="AY1" s="15" t="s">
        <v>244</v>
      </c>
      <c r="AZ1" s="14" t="s">
        <v>198</v>
      </c>
      <c r="BA1" s="15" t="s">
        <v>363</v>
      </c>
      <c r="BB1" s="15" t="s">
        <v>446</v>
      </c>
      <c r="BC1" s="14" t="s">
        <v>299</v>
      </c>
      <c r="BD1" s="15" t="s">
        <v>132</v>
      </c>
      <c r="BE1" s="15" t="s">
        <v>312</v>
      </c>
      <c r="BF1" s="14" t="s">
        <v>104</v>
      </c>
      <c r="BG1" s="15" t="s">
        <v>254</v>
      </c>
      <c r="BH1" s="14" t="s">
        <v>19</v>
      </c>
      <c r="BI1" s="15" t="s">
        <v>344</v>
      </c>
      <c r="BJ1" s="14" t="s">
        <v>229</v>
      </c>
      <c r="BK1" s="15" t="s">
        <v>99</v>
      </c>
      <c r="BL1" s="15" t="s">
        <v>318</v>
      </c>
      <c r="BM1" s="14" t="s">
        <v>298</v>
      </c>
      <c r="BN1" s="15" t="s">
        <v>22</v>
      </c>
      <c r="BO1" s="14" t="s">
        <v>179</v>
      </c>
      <c r="BP1" s="15" t="s">
        <v>439</v>
      </c>
      <c r="BQ1" s="14" t="s">
        <v>424</v>
      </c>
      <c r="BR1" s="14" t="s">
        <v>56</v>
      </c>
      <c r="BS1" s="15" t="s">
        <v>284</v>
      </c>
      <c r="BT1" s="14" t="s">
        <v>87</v>
      </c>
      <c r="BU1" s="14" t="s">
        <v>317</v>
      </c>
      <c r="BV1" s="14" t="s">
        <v>441</v>
      </c>
      <c r="BW1" s="15" t="s">
        <v>211</v>
      </c>
      <c r="BX1" s="14" t="s">
        <v>190</v>
      </c>
      <c r="BY1" s="16" t="s">
        <v>21</v>
      </c>
      <c r="BZ1" s="17" t="s">
        <v>324</v>
      </c>
      <c r="CA1" s="17" t="s">
        <v>79</v>
      </c>
      <c r="CB1" s="17" t="s">
        <v>465</v>
      </c>
      <c r="CC1" s="7" t="s">
        <v>250</v>
      </c>
      <c r="CD1" s="18" t="s">
        <v>345</v>
      </c>
      <c r="CE1" s="18" t="s">
        <v>68</v>
      </c>
      <c r="CF1" s="18" t="s">
        <v>219</v>
      </c>
      <c r="CG1" s="1" t="s">
        <v>422</v>
      </c>
    </row>
    <row r="2" spans="1:85" ht="12" customHeight="1" x14ac:dyDescent="0.25">
      <c r="A2" s="19" t="s">
        <v>346</v>
      </c>
      <c r="B2" s="19" t="s">
        <v>358</v>
      </c>
      <c r="C2" t="s">
        <v>429</v>
      </c>
      <c r="D2" s="20" t="s">
        <v>466</v>
      </c>
      <c r="E2" t="s">
        <v>429</v>
      </c>
      <c r="F2" s="20" t="s">
        <v>469</v>
      </c>
      <c r="G2" s="19" t="s">
        <v>419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266</v>
      </c>
      <c r="S2" t="s">
        <v>425</v>
      </c>
      <c r="T2" t="s">
        <v>26</v>
      </c>
      <c r="U2" t="s">
        <v>246</v>
      </c>
      <c r="V2" t="s">
        <v>26</v>
      </c>
      <c r="W2" t="s">
        <v>288</v>
      </c>
      <c r="X2" s="20" t="s">
        <v>470</v>
      </c>
      <c r="Y2" t="s">
        <v>246</v>
      </c>
      <c r="Z2" s="20" t="s">
        <v>246</v>
      </c>
      <c r="AA2" s="20" t="s">
        <v>26</v>
      </c>
      <c r="AB2" s="20" t="s">
        <v>246</v>
      </c>
      <c r="AC2" s="21" t="s">
        <v>246</v>
      </c>
      <c r="AD2" s="20" t="s">
        <v>488</v>
      </c>
      <c r="AE2" t="s">
        <v>49</v>
      </c>
      <c r="AF2" t="s">
        <v>223</v>
      </c>
      <c r="AG2" t="s">
        <v>323</v>
      </c>
      <c r="AH2" t="s">
        <v>113</v>
      </c>
      <c r="AI2" t="s">
        <v>368</v>
      </c>
      <c r="AJ2" t="s">
        <v>107</v>
      </c>
      <c r="AK2" t="s">
        <v>288</v>
      </c>
      <c r="AL2" s="20" t="s">
        <v>585</v>
      </c>
      <c r="AM2" s="20" t="s">
        <v>107</v>
      </c>
      <c r="AN2" s="20" t="s">
        <v>586</v>
      </c>
      <c r="AO2" s="20" t="s">
        <v>587</v>
      </c>
      <c r="AP2" s="20" t="s">
        <v>587</v>
      </c>
      <c r="AQ2" s="22" t="s">
        <v>588</v>
      </c>
      <c r="AR2" s="22" t="s">
        <v>589</v>
      </c>
      <c r="AS2" s="20" t="s">
        <v>590</v>
      </c>
      <c r="AT2" s="20" t="s">
        <v>591</v>
      </c>
      <c r="AU2" s="20">
        <f>LEN(SUBSTITUTE(AT2, ", "," "))</f>
        <v>29</v>
      </c>
      <c r="AV2" s="22" t="s">
        <v>592</v>
      </c>
      <c r="AW2" s="22" t="s">
        <v>592</v>
      </c>
      <c r="AX2" s="22" t="s">
        <v>593</v>
      </c>
      <c r="AY2" s="22" t="s">
        <v>593</v>
      </c>
      <c r="AZ2" s="22" t="s">
        <v>594</v>
      </c>
      <c r="BA2" s="22" t="s">
        <v>594</v>
      </c>
      <c r="BB2" s="22" t="s">
        <v>595</v>
      </c>
      <c r="BC2" s="23" t="s">
        <v>596</v>
      </c>
      <c r="BD2" s="23" t="s">
        <v>597</v>
      </c>
      <c r="BE2" s="20"/>
      <c r="BF2" s="22" t="s">
        <v>598</v>
      </c>
      <c r="BG2" s="22" t="s">
        <v>599</v>
      </c>
      <c r="BH2" s="22" t="s">
        <v>600</v>
      </c>
      <c r="BI2" s="22" t="s">
        <v>601</v>
      </c>
      <c r="BJ2" s="20"/>
      <c r="BK2" s="20"/>
      <c r="BL2" s="20"/>
      <c r="BM2" s="20"/>
      <c r="BN2" s="20"/>
      <c r="BO2" s="20"/>
      <c r="BP2" s="20"/>
      <c r="BQ2" s="20"/>
      <c r="BR2" s="22" t="s">
        <v>602</v>
      </c>
      <c r="BS2" s="22" t="s">
        <v>603</v>
      </c>
      <c r="BT2" s="20"/>
      <c r="BU2" s="20"/>
      <c r="BV2" s="20"/>
      <c r="BW2" s="20"/>
      <c r="BX2" s="20"/>
      <c r="BY2" s="20" t="s">
        <v>604</v>
      </c>
      <c r="BZ2" s="20"/>
      <c r="CA2" s="20"/>
      <c r="CB2" s="20"/>
      <c r="CC2" s="20"/>
      <c r="CD2" s="20"/>
      <c r="CE2" s="20"/>
      <c r="CF2"/>
      <c r="CG2" s="1" t="s">
        <v>1158</v>
      </c>
    </row>
    <row r="3" spans="1:85" ht="12" customHeight="1" x14ac:dyDescent="0.25">
      <c r="A3" s="19" t="s">
        <v>346</v>
      </c>
      <c r="B3" s="19" t="s">
        <v>358</v>
      </c>
      <c r="C3" t="s">
        <v>429</v>
      </c>
      <c r="D3" s="20" t="s">
        <v>466</v>
      </c>
      <c r="E3" t="s">
        <v>429</v>
      </c>
      <c r="F3" s="20" t="s">
        <v>469</v>
      </c>
      <c r="G3" s="19" t="s">
        <v>419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125</v>
      </c>
      <c r="S3" t="s">
        <v>329</v>
      </c>
      <c r="T3" t="s">
        <v>224</v>
      </c>
      <c r="U3" t="s">
        <v>289</v>
      </c>
      <c r="V3" t="s">
        <v>213</v>
      </c>
      <c r="W3" t="s">
        <v>288</v>
      </c>
      <c r="X3" s="20" t="s">
        <v>224</v>
      </c>
      <c r="Y3" t="s">
        <v>289</v>
      </c>
      <c r="Z3" s="20" t="s">
        <v>289</v>
      </c>
      <c r="AA3" s="20" t="s">
        <v>213</v>
      </c>
      <c r="AB3" s="20" t="s">
        <v>289</v>
      </c>
      <c r="AC3" s="21" t="s">
        <v>489</v>
      </c>
      <c r="AD3" s="20" t="s">
        <v>490</v>
      </c>
      <c r="AE3" t="s">
        <v>163</v>
      </c>
      <c r="AF3" t="s">
        <v>47</v>
      </c>
      <c r="AG3" t="s">
        <v>377</v>
      </c>
      <c r="AH3" t="s">
        <v>288</v>
      </c>
      <c r="AI3" t="s">
        <v>449</v>
      </c>
      <c r="AJ3" t="s">
        <v>288</v>
      </c>
      <c r="AK3" t="s">
        <v>213</v>
      </c>
      <c r="AL3" s="20" t="s">
        <v>605</v>
      </c>
      <c r="AM3" s="20" t="s">
        <v>240</v>
      </c>
      <c r="AN3" s="20" t="s">
        <v>606</v>
      </c>
      <c r="AO3" s="20" t="s">
        <v>607</v>
      </c>
      <c r="AP3" s="20" t="s">
        <v>607</v>
      </c>
      <c r="AQ3" s="22" t="s">
        <v>608</v>
      </c>
      <c r="AR3" s="22" t="s">
        <v>609</v>
      </c>
      <c r="AS3" s="20" t="s">
        <v>610</v>
      </c>
      <c r="AT3" s="20" t="s">
        <v>611</v>
      </c>
      <c r="AU3" s="20">
        <f>LEN(SUBSTITUTE(AT3, ", "," "))</f>
        <v>30</v>
      </c>
      <c r="AV3" s="22" t="s">
        <v>612</v>
      </c>
      <c r="AW3" s="22" t="s">
        <v>613</v>
      </c>
      <c r="AX3" s="22" t="s">
        <v>614</v>
      </c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2" t="s">
        <v>615</v>
      </c>
      <c r="BS3" s="22" t="s">
        <v>616</v>
      </c>
      <c r="BT3" s="20" t="s">
        <v>617</v>
      </c>
      <c r="BU3" s="20" t="s">
        <v>618</v>
      </c>
      <c r="BV3" s="20"/>
      <c r="BW3" s="20"/>
      <c r="BX3" s="20"/>
      <c r="BY3" s="20" t="s">
        <v>619</v>
      </c>
      <c r="BZ3" s="20"/>
      <c r="CA3" s="20"/>
      <c r="CB3" s="20"/>
      <c r="CC3" s="20"/>
      <c r="CD3" s="20"/>
      <c r="CE3" s="20"/>
      <c r="CF3"/>
      <c r="CG3" s="1" t="s">
        <v>1158</v>
      </c>
    </row>
    <row r="4" spans="1:85" ht="12" customHeight="1" x14ac:dyDescent="0.25">
      <c r="A4" s="19" t="s">
        <v>346</v>
      </c>
      <c r="B4" s="19" t="s">
        <v>358</v>
      </c>
      <c r="C4" t="s">
        <v>429</v>
      </c>
      <c r="D4" s="20" t="s">
        <v>467</v>
      </c>
      <c r="E4" t="s">
        <v>429</v>
      </c>
      <c r="F4" s="20" t="s">
        <v>469</v>
      </c>
      <c r="G4" s="19" t="s">
        <v>419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333</v>
      </c>
      <c r="S4" t="s">
        <v>62</v>
      </c>
      <c r="T4" t="s">
        <v>414</v>
      </c>
      <c r="U4" t="s">
        <v>119</v>
      </c>
      <c r="V4" t="s">
        <v>395</v>
      </c>
      <c r="W4" t="s">
        <v>288</v>
      </c>
      <c r="X4" s="20" t="s">
        <v>471</v>
      </c>
      <c r="Y4" t="s">
        <v>119</v>
      </c>
      <c r="Z4" s="20" t="s">
        <v>119</v>
      </c>
      <c r="AA4" s="20" t="s">
        <v>471</v>
      </c>
      <c r="AB4" s="20" t="s">
        <v>119</v>
      </c>
      <c r="AC4" s="21" t="s">
        <v>491</v>
      </c>
      <c r="AD4" s="20" t="s">
        <v>492</v>
      </c>
      <c r="AE4" t="s">
        <v>121</v>
      </c>
      <c r="AF4" t="s">
        <v>337</v>
      </c>
      <c r="AG4" t="s">
        <v>208</v>
      </c>
      <c r="AH4" t="s">
        <v>288</v>
      </c>
      <c r="AI4" t="s">
        <v>147</v>
      </c>
      <c r="AJ4" t="s">
        <v>288</v>
      </c>
      <c r="AK4" t="s">
        <v>288</v>
      </c>
      <c r="AL4" s="20" t="s">
        <v>620</v>
      </c>
      <c r="AM4" s="20" t="s">
        <v>240</v>
      </c>
      <c r="AN4" s="20" t="s">
        <v>606</v>
      </c>
      <c r="AO4" s="20" t="s">
        <v>121</v>
      </c>
      <c r="AP4" s="20" t="s">
        <v>121</v>
      </c>
      <c r="AQ4" s="22" t="s">
        <v>621</v>
      </c>
      <c r="AR4" s="22" t="s">
        <v>622</v>
      </c>
      <c r="AS4" s="20" t="s">
        <v>623</v>
      </c>
      <c r="AT4" s="20" t="s">
        <v>624</v>
      </c>
      <c r="AU4" s="20">
        <f>LEN(SUBSTITUTE(AT4, ", "," "))</f>
        <v>27</v>
      </c>
      <c r="AV4" s="22" t="s">
        <v>625</v>
      </c>
      <c r="AW4" s="22" t="s">
        <v>625</v>
      </c>
      <c r="AX4" s="22" t="s">
        <v>626</v>
      </c>
      <c r="AY4" s="22" t="s">
        <v>626</v>
      </c>
      <c r="AZ4" s="22" t="s">
        <v>145</v>
      </c>
      <c r="BA4" s="22" t="s">
        <v>145</v>
      </c>
      <c r="BB4" s="22" t="s">
        <v>627</v>
      </c>
      <c r="BC4" s="22" t="s">
        <v>628</v>
      </c>
      <c r="BD4" s="22" t="s">
        <v>628</v>
      </c>
      <c r="BE4" s="20"/>
      <c r="BF4" s="22" t="s">
        <v>629</v>
      </c>
      <c r="BG4" s="22" t="s">
        <v>630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2" t="s">
        <v>631</v>
      </c>
      <c r="BS4" s="22" t="s">
        <v>632</v>
      </c>
      <c r="BT4" s="22" t="s">
        <v>617</v>
      </c>
      <c r="BU4" s="22" t="s">
        <v>618</v>
      </c>
      <c r="BV4" s="20"/>
      <c r="BW4" s="20"/>
      <c r="BX4" s="20"/>
      <c r="BY4" s="20" t="s">
        <v>633</v>
      </c>
      <c r="BZ4" s="20"/>
      <c r="CA4" s="20"/>
      <c r="CB4" s="20"/>
      <c r="CC4" s="20"/>
      <c r="CD4" s="20"/>
      <c r="CE4" s="20"/>
      <c r="CF4"/>
      <c r="CG4" s="1" t="s">
        <v>1158</v>
      </c>
    </row>
    <row r="5" spans="1:85" ht="12" customHeight="1" x14ac:dyDescent="0.25">
      <c r="A5" s="19" t="s">
        <v>346</v>
      </c>
      <c r="B5" s="19" t="s">
        <v>358</v>
      </c>
      <c r="C5" t="s">
        <v>429</v>
      </c>
      <c r="D5" s="20" t="s">
        <v>466</v>
      </c>
      <c r="E5" t="s">
        <v>429</v>
      </c>
      <c r="F5" s="20" t="s">
        <v>469</v>
      </c>
      <c r="G5" s="19" t="s">
        <v>419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86</v>
      </c>
      <c r="S5" t="s">
        <v>256</v>
      </c>
      <c r="T5" t="s">
        <v>214</v>
      </c>
      <c r="U5" t="s">
        <v>81</v>
      </c>
      <c r="V5" t="s">
        <v>214</v>
      </c>
      <c r="W5" t="s">
        <v>442</v>
      </c>
      <c r="X5" s="20" t="s">
        <v>472</v>
      </c>
      <c r="Y5" t="s">
        <v>81</v>
      </c>
      <c r="Z5" s="20" t="s">
        <v>81</v>
      </c>
      <c r="AA5" s="20" t="s">
        <v>493</v>
      </c>
      <c r="AB5" s="20" t="s">
        <v>81</v>
      </c>
      <c r="AC5" s="21" t="s">
        <v>494</v>
      </c>
      <c r="AD5" s="20" t="s">
        <v>495</v>
      </c>
      <c r="AE5" t="s">
        <v>76</v>
      </c>
      <c r="AF5" t="s">
        <v>144</v>
      </c>
      <c r="AG5" t="s">
        <v>53</v>
      </c>
      <c r="AH5" t="s">
        <v>53</v>
      </c>
      <c r="AI5" t="s">
        <v>159</v>
      </c>
      <c r="AJ5" t="s">
        <v>288</v>
      </c>
      <c r="AK5" t="s">
        <v>55</v>
      </c>
      <c r="AL5" s="20" t="s">
        <v>634</v>
      </c>
      <c r="AM5" s="20"/>
      <c r="AN5" s="20"/>
      <c r="AO5" s="20" t="s">
        <v>635</v>
      </c>
      <c r="AP5" s="20" t="s">
        <v>635</v>
      </c>
      <c r="AQ5" s="22" t="s">
        <v>636</v>
      </c>
      <c r="AR5" s="22" t="s">
        <v>637</v>
      </c>
      <c r="AS5" s="20" t="s">
        <v>638</v>
      </c>
      <c r="AT5" s="20" t="s">
        <v>639</v>
      </c>
      <c r="AU5" s="20">
        <f>LEN(SUBSTITUTE(AT5, ", "," "))</f>
        <v>29</v>
      </c>
      <c r="AV5" s="22" t="s">
        <v>640</v>
      </c>
      <c r="AW5" s="22" t="s">
        <v>640</v>
      </c>
      <c r="AX5" s="22" t="s">
        <v>641</v>
      </c>
      <c r="AY5" s="22" t="s">
        <v>641</v>
      </c>
      <c r="AZ5" s="22" t="s">
        <v>55</v>
      </c>
      <c r="BA5" s="22" t="s">
        <v>55</v>
      </c>
      <c r="BB5" s="22" t="s">
        <v>642</v>
      </c>
      <c r="BC5" s="20"/>
      <c r="BD5" s="20"/>
      <c r="BE5" s="20"/>
      <c r="BF5" s="22" t="s">
        <v>643</v>
      </c>
      <c r="BG5" s="22" t="s">
        <v>644</v>
      </c>
      <c r="BH5" s="20"/>
      <c r="BI5" s="20"/>
      <c r="BJ5" s="20"/>
      <c r="BK5" s="20"/>
      <c r="BL5" s="20"/>
      <c r="BM5" s="22" t="s">
        <v>645</v>
      </c>
      <c r="BN5" s="22" t="s">
        <v>645</v>
      </c>
      <c r="BO5" s="22" t="s">
        <v>646</v>
      </c>
      <c r="BP5" s="22" t="s">
        <v>646</v>
      </c>
      <c r="BQ5" s="20"/>
      <c r="BR5" s="22" t="s">
        <v>647</v>
      </c>
      <c r="BS5" s="22" t="s">
        <v>648</v>
      </c>
      <c r="BT5" s="22" t="s">
        <v>617</v>
      </c>
      <c r="BU5" s="20"/>
      <c r="BV5" s="22" t="s">
        <v>649</v>
      </c>
      <c r="BW5" s="20"/>
      <c r="BX5" s="20"/>
      <c r="BY5" s="20" t="s">
        <v>650</v>
      </c>
      <c r="BZ5" s="20"/>
      <c r="CA5" s="20"/>
      <c r="CB5" s="20"/>
      <c r="CC5" s="20"/>
      <c r="CD5" s="20"/>
      <c r="CE5" s="20"/>
      <c r="CF5"/>
      <c r="CG5" s="1" t="s">
        <v>1158</v>
      </c>
    </row>
    <row r="6" spans="1:85" ht="12" customHeight="1" x14ac:dyDescent="0.25">
      <c r="A6" s="19" t="s">
        <v>346</v>
      </c>
      <c r="B6" s="19" t="s">
        <v>358</v>
      </c>
      <c r="C6" t="s">
        <v>429</v>
      </c>
      <c r="D6" s="20" t="s">
        <v>466</v>
      </c>
      <c r="E6" t="s">
        <v>429</v>
      </c>
      <c r="F6" s="20" t="s">
        <v>469</v>
      </c>
      <c r="G6" s="19" t="s">
        <v>419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341</v>
      </c>
      <c r="S6" t="s">
        <v>256</v>
      </c>
      <c r="T6" t="s">
        <v>214</v>
      </c>
      <c r="U6" t="s">
        <v>296</v>
      </c>
      <c r="V6" t="s">
        <v>214</v>
      </c>
      <c r="W6" t="s">
        <v>442</v>
      </c>
      <c r="X6" s="20" t="s">
        <v>472</v>
      </c>
      <c r="Y6" t="s">
        <v>296</v>
      </c>
      <c r="Z6" s="20" t="s">
        <v>296</v>
      </c>
      <c r="AA6" s="20" t="s">
        <v>493</v>
      </c>
      <c r="AB6" s="20" t="s">
        <v>296</v>
      </c>
      <c r="AC6" s="21" t="s">
        <v>496</v>
      </c>
      <c r="AD6" s="20" t="s">
        <v>497</v>
      </c>
      <c r="AE6" t="s">
        <v>108</v>
      </c>
      <c r="AF6" t="s">
        <v>364</v>
      </c>
      <c r="AG6" t="s">
        <v>269</v>
      </c>
      <c r="AH6" t="s">
        <v>269</v>
      </c>
      <c r="AI6" t="s">
        <v>159</v>
      </c>
      <c r="AJ6" t="s">
        <v>288</v>
      </c>
      <c r="AK6" t="s">
        <v>55</v>
      </c>
      <c r="AL6" s="20" t="s">
        <v>634</v>
      </c>
      <c r="AM6" s="20"/>
      <c r="AN6" s="20"/>
      <c r="AO6" s="20" t="s">
        <v>651</v>
      </c>
      <c r="AP6" s="20" t="s">
        <v>651</v>
      </c>
      <c r="AQ6" s="22" t="s">
        <v>652</v>
      </c>
      <c r="AR6" s="22" t="s">
        <v>653</v>
      </c>
      <c r="AS6" s="20" t="s">
        <v>654</v>
      </c>
      <c r="AT6" s="20" t="s">
        <v>655</v>
      </c>
      <c r="AU6" s="20">
        <f>LEN(SUBSTITUTE(AT6, ", "," "))</f>
        <v>28</v>
      </c>
      <c r="AV6" s="22" t="s">
        <v>640</v>
      </c>
      <c r="AW6" s="22" t="s">
        <v>640</v>
      </c>
      <c r="AX6" s="22" t="s">
        <v>641</v>
      </c>
      <c r="AY6" s="22" t="s">
        <v>641</v>
      </c>
      <c r="AZ6" s="22" t="s">
        <v>55</v>
      </c>
      <c r="BA6" s="22" t="s">
        <v>55</v>
      </c>
      <c r="BB6" s="22" t="s">
        <v>642</v>
      </c>
      <c r="BC6" s="20"/>
      <c r="BD6" s="20"/>
      <c r="BE6" s="20"/>
      <c r="BF6" s="22" t="s">
        <v>656</v>
      </c>
      <c r="BG6" s="22" t="s">
        <v>657</v>
      </c>
      <c r="BH6" s="20"/>
      <c r="BI6" s="20"/>
      <c r="BJ6" s="20"/>
      <c r="BK6" s="20"/>
      <c r="BL6" s="20"/>
      <c r="BM6" s="22" t="s">
        <v>645</v>
      </c>
      <c r="BN6" s="22" t="s">
        <v>645</v>
      </c>
      <c r="BO6" s="22" t="s">
        <v>646</v>
      </c>
      <c r="BP6" s="22" t="s">
        <v>646</v>
      </c>
      <c r="BQ6" s="20"/>
      <c r="BR6" s="22" t="s">
        <v>647</v>
      </c>
      <c r="BS6" s="22" t="s">
        <v>648</v>
      </c>
      <c r="BT6" s="22" t="s">
        <v>617</v>
      </c>
      <c r="BU6" s="20"/>
      <c r="BV6" s="22" t="s">
        <v>649</v>
      </c>
      <c r="BW6" s="20"/>
      <c r="BX6" s="20"/>
      <c r="BY6" s="20" t="s">
        <v>650</v>
      </c>
      <c r="BZ6" s="20"/>
      <c r="CA6" s="20"/>
      <c r="CB6" s="20"/>
      <c r="CC6" s="20"/>
      <c r="CD6" s="20"/>
      <c r="CE6" s="20"/>
      <c r="CF6"/>
      <c r="CG6" s="1" t="s">
        <v>1158</v>
      </c>
    </row>
    <row r="7" spans="1:85" ht="12" customHeight="1" x14ac:dyDescent="0.25">
      <c r="A7" s="19" t="s">
        <v>346</v>
      </c>
      <c r="B7" s="19" t="s">
        <v>358</v>
      </c>
      <c r="C7" t="s">
        <v>429</v>
      </c>
      <c r="D7" s="20" t="s">
        <v>466</v>
      </c>
      <c r="E7" t="s">
        <v>429</v>
      </c>
      <c r="F7" s="20" t="s">
        <v>469</v>
      </c>
      <c r="G7" s="19" t="s">
        <v>419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84</v>
      </c>
      <c r="S7" t="s">
        <v>256</v>
      </c>
      <c r="T7" t="s">
        <v>214</v>
      </c>
      <c r="U7" t="s">
        <v>65</v>
      </c>
      <c r="V7" t="s">
        <v>214</v>
      </c>
      <c r="W7" t="s">
        <v>442</v>
      </c>
      <c r="X7" s="20" t="s">
        <v>472</v>
      </c>
      <c r="Y7" t="s">
        <v>65</v>
      </c>
      <c r="Z7" s="20" t="s">
        <v>65</v>
      </c>
      <c r="AA7" s="20" t="s">
        <v>493</v>
      </c>
      <c r="AB7" s="20" t="s">
        <v>65</v>
      </c>
      <c r="AC7" s="21" t="s">
        <v>498</v>
      </c>
      <c r="AD7" s="20" t="s">
        <v>499</v>
      </c>
      <c r="AE7" t="s">
        <v>166</v>
      </c>
      <c r="AF7" t="s">
        <v>357</v>
      </c>
      <c r="AG7" t="s">
        <v>243</v>
      </c>
      <c r="AH7" t="s">
        <v>243</v>
      </c>
      <c r="AI7" t="s">
        <v>159</v>
      </c>
      <c r="AJ7" t="s">
        <v>288</v>
      </c>
      <c r="AK7" t="s">
        <v>55</v>
      </c>
      <c r="AL7" s="20" t="s">
        <v>634</v>
      </c>
      <c r="AM7" s="20"/>
      <c r="AN7" s="20"/>
      <c r="AO7" s="20" t="s">
        <v>658</v>
      </c>
      <c r="AP7" s="20" t="s">
        <v>658</v>
      </c>
      <c r="AQ7" s="22" t="s">
        <v>659</v>
      </c>
      <c r="AR7" s="22" t="s">
        <v>660</v>
      </c>
      <c r="AS7" s="20" t="s">
        <v>661</v>
      </c>
      <c r="AT7" s="20" t="s">
        <v>662</v>
      </c>
      <c r="AU7" s="20">
        <f>LEN(SUBSTITUTE(AT7, ", "," "))</f>
        <v>29</v>
      </c>
      <c r="AV7" s="22" t="s">
        <v>640</v>
      </c>
      <c r="AW7" s="22" t="s">
        <v>640</v>
      </c>
      <c r="AX7" s="22" t="s">
        <v>641</v>
      </c>
      <c r="AY7" s="22" t="s">
        <v>641</v>
      </c>
      <c r="AZ7" s="22" t="s">
        <v>55</v>
      </c>
      <c r="BA7" s="22" t="s">
        <v>55</v>
      </c>
      <c r="BB7" s="22" t="s">
        <v>642</v>
      </c>
      <c r="BC7" s="20"/>
      <c r="BD7" s="20"/>
      <c r="BE7" s="20"/>
      <c r="BF7" s="22" t="s">
        <v>663</v>
      </c>
      <c r="BG7" s="22" t="s">
        <v>664</v>
      </c>
      <c r="BH7" s="20"/>
      <c r="BI7" s="20"/>
      <c r="BJ7" s="20"/>
      <c r="BK7" s="20"/>
      <c r="BL7" s="20"/>
      <c r="BM7" s="22" t="s">
        <v>645</v>
      </c>
      <c r="BN7" s="22" t="s">
        <v>645</v>
      </c>
      <c r="BO7" s="22" t="s">
        <v>646</v>
      </c>
      <c r="BP7" s="22" t="s">
        <v>646</v>
      </c>
      <c r="BQ7" s="20"/>
      <c r="BR7" s="22" t="s">
        <v>647</v>
      </c>
      <c r="BS7" s="22" t="s">
        <v>648</v>
      </c>
      <c r="BT7" s="22" t="s">
        <v>617</v>
      </c>
      <c r="BU7" s="20"/>
      <c r="BV7" s="22" t="s">
        <v>649</v>
      </c>
      <c r="BW7" s="20"/>
      <c r="BX7" s="20"/>
      <c r="BY7" s="20" t="s">
        <v>650</v>
      </c>
      <c r="BZ7" s="20"/>
      <c r="CA7" s="20"/>
      <c r="CB7" s="20"/>
      <c r="CC7" s="20"/>
      <c r="CD7" s="20"/>
      <c r="CE7" s="20"/>
      <c r="CF7"/>
      <c r="CG7" s="1" t="s">
        <v>1158</v>
      </c>
    </row>
    <row r="8" spans="1:85" ht="12" customHeight="1" x14ac:dyDescent="0.25">
      <c r="A8" s="19" t="s">
        <v>346</v>
      </c>
      <c r="B8" s="19" t="s">
        <v>358</v>
      </c>
      <c r="C8" t="s">
        <v>429</v>
      </c>
      <c r="D8" s="20" t="s">
        <v>466</v>
      </c>
      <c r="E8" t="s">
        <v>429</v>
      </c>
      <c r="F8" s="20" t="s">
        <v>469</v>
      </c>
      <c r="G8" s="19" t="s">
        <v>419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386</v>
      </c>
      <c r="S8" t="s">
        <v>30</v>
      </c>
      <c r="T8" t="s">
        <v>378</v>
      </c>
      <c r="U8" t="s">
        <v>295</v>
      </c>
      <c r="V8" t="s">
        <v>57</v>
      </c>
      <c r="W8" t="s">
        <v>288</v>
      </c>
      <c r="X8" s="20" t="s">
        <v>473</v>
      </c>
      <c r="Y8" t="s">
        <v>359</v>
      </c>
      <c r="Z8" s="20" t="s">
        <v>359</v>
      </c>
      <c r="AA8" s="20" t="s">
        <v>500</v>
      </c>
      <c r="AB8" s="20" t="s">
        <v>359</v>
      </c>
      <c r="AC8" s="21" t="s">
        <v>501</v>
      </c>
      <c r="AD8" s="20" t="s">
        <v>502</v>
      </c>
      <c r="AE8" t="s">
        <v>126</v>
      </c>
      <c r="AF8" t="s">
        <v>77</v>
      </c>
      <c r="AG8" t="s">
        <v>447</v>
      </c>
      <c r="AH8" t="s">
        <v>282</v>
      </c>
      <c r="AI8" t="s">
        <v>90</v>
      </c>
      <c r="AJ8" t="s">
        <v>288</v>
      </c>
      <c r="AK8" t="s">
        <v>288</v>
      </c>
      <c r="AL8" s="20" t="s">
        <v>665</v>
      </c>
      <c r="AM8" s="20"/>
      <c r="AN8" s="20"/>
      <c r="AO8" s="20" t="s">
        <v>666</v>
      </c>
      <c r="AP8" s="20" t="s">
        <v>666</v>
      </c>
      <c r="AQ8" s="22" t="s">
        <v>667</v>
      </c>
      <c r="AR8" s="22" t="s">
        <v>668</v>
      </c>
      <c r="AS8" s="20" t="s">
        <v>669</v>
      </c>
      <c r="AT8" s="20" t="s">
        <v>670</v>
      </c>
      <c r="AU8" s="20">
        <f>LEN(SUBSTITUTE(AT8, ", "," "))</f>
        <v>28</v>
      </c>
      <c r="AV8" s="22" t="s">
        <v>671</v>
      </c>
      <c r="AW8" s="22" t="s">
        <v>671</v>
      </c>
      <c r="AX8" s="22" t="s">
        <v>672</v>
      </c>
      <c r="AY8" s="22" t="s">
        <v>672</v>
      </c>
      <c r="AZ8" s="20"/>
      <c r="BA8" s="20"/>
      <c r="BB8" s="22" t="s">
        <v>673</v>
      </c>
      <c r="BC8" s="20"/>
      <c r="BD8" s="20"/>
      <c r="BE8" s="20"/>
      <c r="BF8" s="20"/>
      <c r="BG8" s="20"/>
      <c r="BH8" s="20"/>
      <c r="BI8" s="20"/>
      <c r="BJ8" s="22" t="s">
        <v>674</v>
      </c>
      <c r="BK8" s="22" t="s">
        <v>675</v>
      </c>
      <c r="BL8" s="20"/>
      <c r="BM8" s="22" t="s">
        <v>673</v>
      </c>
      <c r="BN8" s="20"/>
      <c r="BO8" s="20"/>
      <c r="BP8" s="20"/>
      <c r="BQ8" s="20"/>
      <c r="BR8" s="22" t="s">
        <v>676</v>
      </c>
      <c r="BS8" s="22" t="s">
        <v>676</v>
      </c>
      <c r="BT8" s="20"/>
      <c r="BU8" s="20"/>
      <c r="BV8" s="20"/>
      <c r="BW8" s="20"/>
      <c r="BX8" s="22" t="s">
        <v>677</v>
      </c>
      <c r="BY8" s="20" t="s">
        <v>678</v>
      </c>
      <c r="BZ8" s="20"/>
      <c r="CA8" s="20"/>
      <c r="CB8" s="20"/>
      <c r="CC8" s="20"/>
      <c r="CD8" s="20"/>
      <c r="CE8" s="20"/>
      <c r="CF8"/>
      <c r="CG8" s="1" t="s">
        <v>1158</v>
      </c>
    </row>
    <row r="9" spans="1:85" ht="12" customHeight="1" x14ac:dyDescent="0.25">
      <c r="A9" s="19" t="s">
        <v>346</v>
      </c>
      <c r="B9" s="19" t="s">
        <v>358</v>
      </c>
      <c r="C9" t="s">
        <v>429</v>
      </c>
      <c r="D9" s="20" t="s">
        <v>467</v>
      </c>
      <c r="E9" t="s">
        <v>429</v>
      </c>
      <c r="F9" s="20" t="s">
        <v>469</v>
      </c>
      <c r="G9" s="19" t="s">
        <v>419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334</v>
      </c>
      <c r="S9" t="s">
        <v>280</v>
      </c>
      <c r="T9" t="s">
        <v>393</v>
      </c>
      <c r="U9" t="s">
        <v>459</v>
      </c>
      <c r="V9" t="s">
        <v>171</v>
      </c>
      <c r="W9" t="s">
        <v>288</v>
      </c>
      <c r="X9" s="20" t="s">
        <v>474</v>
      </c>
      <c r="Y9" t="s">
        <v>459</v>
      </c>
      <c r="Z9" s="20" t="s">
        <v>459</v>
      </c>
      <c r="AA9" s="20" t="s">
        <v>171</v>
      </c>
      <c r="AB9" s="20" t="s">
        <v>459</v>
      </c>
      <c r="AC9" s="21" t="s">
        <v>503</v>
      </c>
      <c r="AD9" s="20" t="s">
        <v>504</v>
      </c>
      <c r="AE9" t="s">
        <v>291</v>
      </c>
      <c r="AF9" t="s">
        <v>304</v>
      </c>
      <c r="AG9" t="s">
        <v>193</v>
      </c>
      <c r="AH9" t="s">
        <v>193</v>
      </c>
      <c r="AI9" t="s">
        <v>455</v>
      </c>
      <c r="AJ9" t="s">
        <v>288</v>
      </c>
      <c r="AK9" t="s">
        <v>165</v>
      </c>
      <c r="AL9" s="20" t="s">
        <v>679</v>
      </c>
      <c r="AM9" s="20" t="s">
        <v>240</v>
      </c>
      <c r="AN9" s="20" t="s">
        <v>606</v>
      </c>
      <c r="AO9" s="20" t="s">
        <v>291</v>
      </c>
      <c r="AP9" s="20" t="s">
        <v>291</v>
      </c>
      <c r="AQ9" s="22" t="s">
        <v>680</v>
      </c>
      <c r="AR9" s="22" t="s">
        <v>681</v>
      </c>
      <c r="AS9" s="20" t="s">
        <v>682</v>
      </c>
      <c r="AT9" s="20" t="s">
        <v>683</v>
      </c>
      <c r="AU9" s="20">
        <f>LEN(SUBSTITUTE(AT9, ", "," "))</f>
        <v>26</v>
      </c>
      <c r="AV9" s="22" t="s">
        <v>684</v>
      </c>
      <c r="AW9" s="22" t="s">
        <v>684</v>
      </c>
      <c r="AX9" s="22" t="s">
        <v>685</v>
      </c>
      <c r="AY9" s="22" t="s">
        <v>685</v>
      </c>
      <c r="AZ9" s="22" t="s">
        <v>165</v>
      </c>
      <c r="BA9" s="22" t="s">
        <v>165</v>
      </c>
      <c r="BB9" s="22" t="s">
        <v>686</v>
      </c>
      <c r="BC9" s="20"/>
      <c r="BD9" s="20"/>
      <c r="BE9" s="20"/>
      <c r="BF9" s="20"/>
      <c r="BG9" s="20"/>
      <c r="BH9" s="20"/>
      <c r="BI9" s="20"/>
      <c r="BJ9" s="22" t="s">
        <v>687</v>
      </c>
      <c r="BK9" s="22" t="s">
        <v>688</v>
      </c>
      <c r="BL9" s="20"/>
      <c r="BM9" s="22" t="s">
        <v>686</v>
      </c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 t="s">
        <v>633</v>
      </c>
      <c r="BZ9" s="20"/>
      <c r="CA9" s="20"/>
      <c r="CB9" s="20"/>
      <c r="CC9" s="20"/>
      <c r="CD9" s="20"/>
      <c r="CE9" s="20"/>
      <c r="CF9"/>
      <c r="CG9" s="1" t="s">
        <v>1158</v>
      </c>
    </row>
    <row r="10" spans="1:85" ht="12" customHeight="1" x14ac:dyDescent="0.25">
      <c r="A10" s="19" t="s">
        <v>346</v>
      </c>
      <c r="B10" s="19" t="s">
        <v>358</v>
      </c>
      <c r="C10" t="s">
        <v>429</v>
      </c>
      <c r="D10" s="20" t="s">
        <v>466</v>
      </c>
      <c r="E10" t="s">
        <v>429</v>
      </c>
      <c r="F10" s="20" t="s">
        <v>469</v>
      </c>
      <c r="G10" s="19" t="s">
        <v>419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418</v>
      </c>
      <c r="S10" t="s">
        <v>283</v>
      </c>
      <c r="T10" t="s">
        <v>314</v>
      </c>
      <c r="U10" t="s">
        <v>433</v>
      </c>
      <c r="V10" t="s">
        <v>212</v>
      </c>
      <c r="W10" t="s">
        <v>288</v>
      </c>
      <c r="X10" s="20" t="s">
        <v>212</v>
      </c>
      <c r="Y10" t="s">
        <v>433</v>
      </c>
      <c r="Z10" s="20" t="s">
        <v>433</v>
      </c>
      <c r="AA10" s="20" t="s">
        <v>212</v>
      </c>
      <c r="AB10" s="20" t="s">
        <v>433</v>
      </c>
      <c r="AC10" s="21" t="s">
        <v>505</v>
      </c>
      <c r="AD10" s="20" t="s">
        <v>506</v>
      </c>
      <c r="AE10" t="s">
        <v>330</v>
      </c>
      <c r="AF10" t="s">
        <v>278</v>
      </c>
      <c r="AG10" t="s">
        <v>347</v>
      </c>
      <c r="AH10" t="s">
        <v>191</v>
      </c>
      <c r="AI10" t="s">
        <v>103</v>
      </c>
      <c r="AJ10" t="s">
        <v>34</v>
      </c>
      <c r="AK10" t="s">
        <v>24</v>
      </c>
      <c r="AL10" s="20" t="s">
        <v>689</v>
      </c>
      <c r="AM10" s="20" t="s">
        <v>34</v>
      </c>
      <c r="AN10" s="20" t="s">
        <v>690</v>
      </c>
      <c r="AO10" s="20" t="s">
        <v>691</v>
      </c>
      <c r="AP10" s="20" t="s">
        <v>691</v>
      </c>
      <c r="AQ10" s="22" t="s">
        <v>692</v>
      </c>
      <c r="AR10" s="22" t="s">
        <v>693</v>
      </c>
      <c r="AS10" s="20" t="s">
        <v>694</v>
      </c>
      <c r="AT10" s="20" t="s">
        <v>695</v>
      </c>
      <c r="AU10" s="20">
        <f>LEN(SUBSTITUTE(AT10, ", "," "))</f>
        <v>27</v>
      </c>
      <c r="AV10" s="22" t="s">
        <v>684</v>
      </c>
      <c r="AW10" s="22" t="s">
        <v>684</v>
      </c>
      <c r="AX10" s="22" t="s">
        <v>696</v>
      </c>
      <c r="AY10" s="22" t="s">
        <v>696</v>
      </c>
      <c r="AZ10" s="22" t="s">
        <v>24</v>
      </c>
      <c r="BA10" s="22" t="s">
        <v>24</v>
      </c>
      <c r="BB10" s="22" t="s">
        <v>697</v>
      </c>
      <c r="BC10" s="20"/>
      <c r="BD10" s="20"/>
      <c r="BE10" s="20"/>
      <c r="BF10" s="20"/>
      <c r="BG10" s="20"/>
      <c r="BH10" s="20"/>
      <c r="BI10" s="20"/>
      <c r="BJ10" s="22" t="s">
        <v>698</v>
      </c>
      <c r="BK10" s="22" t="s">
        <v>699</v>
      </c>
      <c r="BL10" s="20"/>
      <c r="BM10" s="22" t="s">
        <v>700</v>
      </c>
      <c r="BN10" s="22" t="s">
        <v>700</v>
      </c>
      <c r="BO10" s="20"/>
      <c r="BP10" s="20"/>
      <c r="BQ10" s="20"/>
      <c r="BR10" s="22" t="s">
        <v>701</v>
      </c>
      <c r="BS10" s="22" t="s">
        <v>702</v>
      </c>
      <c r="BT10" s="20"/>
      <c r="BU10" s="20"/>
      <c r="BV10" s="20"/>
      <c r="BW10" s="20"/>
      <c r="BX10" s="20"/>
      <c r="BY10" s="20" t="s">
        <v>703</v>
      </c>
      <c r="BZ10" s="20"/>
      <c r="CA10" s="20"/>
      <c r="CB10" s="20"/>
      <c r="CC10" s="20"/>
      <c r="CD10" s="20"/>
      <c r="CE10" s="20"/>
      <c r="CF10"/>
      <c r="CG10" s="1" t="s">
        <v>1158</v>
      </c>
    </row>
    <row r="11" spans="1:85" ht="12" customHeight="1" x14ac:dyDescent="0.25">
      <c r="A11" s="19" t="s">
        <v>346</v>
      </c>
      <c r="B11" s="19" t="s">
        <v>358</v>
      </c>
      <c r="C11" t="s">
        <v>429</v>
      </c>
      <c r="D11" s="20" t="s">
        <v>466</v>
      </c>
      <c r="E11" t="s">
        <v>429</v>
      </c>
      <c r="F11" s="20" t="s">
        <v>469</v>
      </c>
      <c r="G11" s="19" t="s">
        <v>419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0</v>
      </c>
      <c r="S11" t="s">
        <v>283</v>
      </c>
      <c r="T11" t="s">
        <v>314</v>
      </c>
      <c r="U11" t="s">
        <v>154</v>
      </c>
      <c r="V11" t="s">
        <v>212</v>
      </c>
      <c r="W11" t="s">
        <v>288</v>
      </c>
      <c r="X11" s="20" t="s">
        <v>212</v>
      </c>
      <c r="Y11" t="s">
        <v>154</v>
      </c>
      <c r="Z11" s="20" t="s">
        <v>154</v>
      </c>
      <c r="AA11" s="20" t="s">
        <v>212</v>
      </c>
      <c r="AB11" s="20" t="s">
        <v>154</v>
      </c>
      <c r="AC11" s="21" t="s">
        <v>507</v>
      </c>
      <c r="AD11" s="20" t="s">
        <v>508</v>
      </c>
      <c r="AE11" t="s">
        <v>172</v>
      </c>
      <c r="AF11" t="s">
        <v>94</v>
      </c>
      <c r="AG11" t="s">
        <v>173</v>
      </c>
      <c r="AH11" t="s">
        <v>173</v>
      </c>
      <c r="AI11" t="s">
        <v>103</v>
      </c>
      <c r="AJ11" t="s">
        <v>34</v>
      </c>
      <c r="AK11" t="s">
        <v>24</v>
      </c>
      <c r="AL11" s="20" t="s">
        <v>689</v>
      </c>
      <c r="AM11" s="20" t="s">
        <v>34</v>
      </c>
      <c r="AN11" s="20" t="s">
        <v>690</v>
      </c>
      <c r="AO11" s="20" t="s">
        <v>704</v>
      </c>
      <c r="AP11" s="20" t="s">
        <v>704</v>
      </c>
      <c r="AQ11" s="22" t="s">
        <v>705</v>
      </c>
      <c r="AR11" s="22" t="s">
        <v>706</v>
      </c>
      <c r="AS11" s="20" t="s">
        <v>707</v>
      </c>
      <c r="AT11" s="20" t="s">
        <v>708</v>
      </c>
      <c r="AU11" s="20">
        <f>LEN(SUBSTITUTE(AT11, ", "," "))</f>
        <v>30</v>
      </c>
      <c r="AV11" s="22" t="s">
        <v>684</v>
      </c>
      <c r="AW11" s="22" t="s">
        <v>684</v>
      </c>
      <c r="AX11" s="22" t="s">
        <v>696</v>
      </c>
      <c r="AY11" s="22" t="s">
        <v>696</v>
      </c>
      <c r="AZ11" s="22" t="s">
        <v>24</v>
      </c>
      <c r="BA11" s="22" t="s">
        <v>24</v>
      </c>
      <c r="BB11" s="22" t="s">
        <v>697</v>
      </c>
      <c r="BC11" s="20"/>
      <c r="BD11" s="20"/>
      <c r="BE11" s="20"/>
      <c r="BF11" s="20"/>
      <c r="BG11" s="20"/>
      <c r="BH11" s="20"/>
      <c r="BI11" s="20"/>
      <c r="BJ11" s="22" t="s">
        <v>709</v>
      </c>
      <c r="BK11" s="22" t="s">
        <v>710</v>
      </c>
      <c r="BL11" s="20"/>
      <c r="BM11" s="22" t="s">
        <v>700</v>
      </c>
      <c r="BN11" s="22" t="s">
        <v>700</v>
      </c>
      <c r="BO11" s="20"/>
      <c r="BP11" s="20"/>
      <c r="BQ11" s="20"/>
      <c r="BR11" s="22" t="s">
        <v>701</v>
      </c>
      <c r="BS11" s="22" t="s">
        <v>702</v>
      </c>
      <c r="BT11" s="20"/>
      <c r="BU11" s="20"/>
      <c r="BV11" s="20"/>
      <c r="BW11" s="20"/>
      <c r="BX11" s="20"/>
      <c r="BY11" s="20" t="s">
        <v>703</v>
      </c>
      <c r="BZ11" s="20"/>
      <c r="CA11" s="20"/>
      <c r="CB11" s="20"/>
      <c r="CC11" s="20"/>
      <c r="CD11" s="20"/>
      <c r="CE11" s="20"/>
      <c r="CF11"/>
      <c r="CG11" s="1" t="s">
        <v>1158</v>
      </c>
    </row>
    <row r="12" spans="1:85" ht="12" customHeight="1" x14ac:dyDescent="0.25">
      <c r="A12" s="19" t="s">
        <v>346</v>
      </c>
      <c r="B12" s="19" t="s">
        <v>358</v>
      </c>
      <c r="C12" t="s">
        <v>429</v>
      </c>
      <c r="D12" s="20" t="s">
        <v>468</v>
      </c>
      <c r="E12" t="s">
        <v>429</v>
      </c>
      <c r="F12" s="20" t="s">
        <v>469</v>
      </c>
      <c r="G12" s="19" t="s">
        <v>419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203</v>
      </c>
      <c r="S12" t="s">
        <v>62</v>
      </c>
      <c r="T12" t="s">
        <v>414</v>
      </c>
      <c r="U12" t="s">
        <v>222</v>
      </c>
      <c r="V12" t="s">
        <v>395</v>
      </c>
      <c r="W12" t="s">
        <v>288</v>
      </c>
      <c r="X12" s="20" t="s">
        <v>471</v>
      </c>
      <c r="Y12" t="s">
        <v>222</v>
      </c>
      <c r="Z12" s="20" t="s">
        <v>222</v>
      </c>
      <c r="AA12" s="20" t="s">
        <v>471</v>
      </c>
      <c r="AB12" s="20" t="s">
        <v>222</v>
      </c>
      <c r="AC12" s="21" t="s">
        <v>509</v>
      </c>
      <c r="AD12" s="20" t="s">
        <v>510</v>
      </c>
      <c r="AE12" t="s">
        <v>15</v>
      </c>
      <c r="AF12" t="s">
        <v>73</v>
      </c>
      <c r="AG12" t="s">
        <v>39</v>
      </c>
      <c r="AH12" t="s">
        <v>39</v>
      </c>
      <c r="AI12" t="s">
        <v>147</v>
      </c>
      <c r="AJ12" t="s">
        <v>288</v>
      </c>
      <c r="AK12" t="s">
        <v>145</v>
      </c>
      <c r="AL12" s="20" t="s">
        <v>620</v>
      </c>
      <c r="AM12" s="20" t="s">
        <v>240</v>
      </c>
      <c r="AN12" s="20" t="s">
        <v>606</v>
      </c>
      <c r="AO12" s="20" t="s">
        <v>711</v>
      </c>
      <c r="AP12" s="20" t="s">
        <v>711</v>
      </c>
      <c r="AQ12" s="22" t="s">
        <v>712</v>
      </c>
      <c r="AR12" s="22" t="s">
        <v>713</v>
      </c>
      <c r="AS12" s="20" t="s">
        <v>714</v>
      </c>
      <c r="AT12" s="20" t="s">
        <v>715</v>
      </c>
      <c r="AU12" s="20">
        <f>LEN(SUBSTITUTE(AT12, ", "," "))</f>
        <v>27</v>
      </c>
      <c r="AV12" s="22" t="s">
        <v>625</v>
      </c>
      <c r="AW12" s="22" t="s">
        <v>625</v>
      </c>
      <c r="AX12" s="22" t="s">
        <v>626</v>
      </c>
      <c r="AY12" s="22" t="s">
        <v>626</v>
      </c>
      <c r="AZ12" s="22" t="s">
        <v>145</v>
      </c>
      <c r="BA12" s="22" t="s">
        <v>145</v>
      </c>
      <c r="BB12" s="22" t="s">
        <v>627</v>
      </c>
      <c r="BC12" s="22" t="s">
        <v>628</v>
      </c>
      <c r="BD12" s="22" t="s">
        <v>628</v>
      </c>
      <c r="BE12" s="20"/>
      <c r="BF12" s="22" t="s">
        <v>716</v>
      </c>
      <c r="BG12" s="22" t="s">
        <v>717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2" t="s">
        <v>631</v>
      </c>
      <c r="BS12" s="22" t="s">
        <v>632</v>
      </c>
      <c r="BT12" s="22" t="s">
        <v>617</v>
      </c>
      <c r="BU12" s="22" t="s">
        <v>618</v>
      </c>
      <c r="BV12" s="20"/>
      <c r="BW12" s="20"/>
      <c r="BX12" s="20"/>
      <c r="BY12" s="20" t="s">
        <v>718</v>
      </c>
      <c r="BZ12" s="20"/>
      <c r="CA12" s="20"/>
      <c r="CB12" s="20"/>
      <c r="CC12" s="20"/>
      <c r="CD12" s="20"/>
      <c r="CE12" s="20"/>
      <c r="CF12"/>
      <c r="CG12" s="1" t="s">
        <v>1158</v>
      </c>
    </row>
    <row r="13" spans="1:85" ht="12" customHeight="1" x14ac:dyDescent="0.25">
      <c r="A13" s="19" t="s">
        <v>346</v>
      </c>
      <c r="B13" s="19" t="s">
        <v>358</v>
      </c>
      <c r="C13" t="s">
        <v>429</v>
      </c>
      <c r="D13" s="20" t="s">
        <v>466</v>
      </c>
      <c r="E13" t="s">
        <v>429</v>
      </c>
      <c r="F13" s="20" t="s">
        <v>469</v>
      </c>
      <c r="G13" s="19" t="s">
        <v>419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331</v>
      </c>
      <c r="S13" t="s">
        <v>256</v>
      </c>
      <c r="T13" t="s">
        <v>214</v>
      </c>
      <c r="U13" t="s">
        <v>451</v>
      </c>
      <c r="V13" t="s">
        <v>214</v>
      </c>
      <c r="W13" t="s">
        <v>442</v>
      </c>
      <c r="X13" s="20" t="s">
        <v>472</v>
      </c>
      <c r="Y13" t="s">
        <v>451</v>
      </c>
      <c r="Z13" s="20" t="s">
        <v>451</v>
      </c>
      <c r="AA13" s="20" t="s">
        <v>493</v>
      </c>
      <c r="AB13" s="20" t="s">
        <v>451</v>
      </c>
      <c r="AC13" s="21" t="s">
        <v>511</v>
      </c>
      <c r="AD13" s="20" t="s">
        <v>512</v>
      </c>
      <c r="AE13" t="s">
        <v>67</v>
      </c>
      <c r="AF13" t="s">
        <v>48</v>
      </c>
      <c r="AG13" t="s">
        <v>251</v>
      </c>
      <c r="AH13" t="s">
        <v>251</v>
      </c>
      <c r="AI13" t="s">
        <v>159</v>
      </c>
      <c r="AJ13" t="s">
        <v>288</v>
      </c>
      <c r="AK13" t="s">
        <v>55</v>
      </c>
      <c r="AL13" s="20" t="s">
        <v>634</v>
      </c>
      <c r="AM13" s="20"/>
      <c r="AN13" s="20"/>
      <c r="AO13" s="20" t="s">
        <v>719</v>
      </c>
      <c r="AP13" s="20" t="s">
        <v>719</v>
      </c>
      <c r="AQ13" s="22" t="s">
        <v>720</v>
      </c>
      <c r="AR13" s="22" t="s">
        <v>721</v>
      </c>
      <c r="AS13" s="20" t="s">
        <v>722</v>
      </c>
      <c r="AT13" s="20" t="s">
        <v>723</v>
      </c>
      <c r="AU13" s="20">
        <f>LEN(SUBSTITUTE(AT13, ", "," "))</f>
        <v>28</v>
      </c>
      <c r="AV13" s="22" t="s">
        <v>640</v>
      </c>
      <c r="AW13" s="22" t="s">
        <v>640</v>
      </c>
      <c r="AX13" s="22" t="s">
        <v>641</v>
      </c>
      <c r="AY13" s="22" t="s">
        <v>641</v>
      </c>
      <c r="AZ13" s="22" t="s">
        <v>55</v>
      </c>
      <c r="BA13" s="22" t="s">
        <v>55</v>
      </c>
      <c r="BB13" s="22" t="s">
        <v>642</v>
      </c>
      <c r="BC13" s="20"/>
      <c r="BD13" s="20"/>
      <c r="BE13" s="20"/>
      <c r="BF13" s="22" t="s">
        <v>724</v>
      </c>
      <c r="BG13" s="22" t="s">
        <v>725</v>
      </c>
      <c r="BH13" s="20"/>
      <c r="BI13" s="20"/>
      <c r="BJ13" s="20"/>
      <c r="BK13" s="20"/>
      <c r="BL13" s="20"/>
      <c r="BM13" s="22" t="s">
        <v>645</v>
      </c>
      <c r="BN13" s="22" t="s">
        <v>645</v>
      </c>
      <c r="BO13" s="22" t="s">
        <v>646</v>
      </c>
      <c r="BP13" s="22" t="s">
        <v>646</v>
      </c>
      <c r="BQ13" s="20"/>
      <c r="BR13" s="22" t="s">
        <v>647</v>
      </c>
      <c r="BS13" s="22" t="s">
        <v>648</v>
      </c>
      <c r="BT13" s="22" t="s">
        <v>617</v>
      </c>
      <c r="BU13" s="20"/>
      <c r="BV13" s="22" t="s">
        <v>649</v>
      </c>
      <c r="BW13" s="20"/>
      <c r="BX13" s="20"/>
      <c r="BY13" s="20" t="s">
        <v>650</v>
      </c>
      <c r="BZ13" s="20"/>
      <c r="CA13" s="20"/>
      <c r="CB13" s="20"/>
      <c r="CC13" s="20"/>
      <c r="CD13" s="20"/>
      <c r="CE13" s="20"/>
      <c r="CF13"/>
      <c r="CG13" s="1" t="s">
        <v>1158</v>
      </c>
    </row>
    <row r="14" spans="1:85" ht="12" customHeight="1" x14ac:dyDescent="0.25">
      <c r="A14" s="19" t="s">
        <v>346</v>
      </c>
      <c r="B14" s="19" t="s">
        <v>358</v>
      </c>
      <c r="C14" t="s">
        <v>429</v>
      </c>
      <c r="D14" s="20" t="s">
        <v>466</v>
      </c>
      <c r="E14" t="s">
        <v>429</v>
      </c>
      <c r="F14" s="20" t="s">
        <v>469</v>
      </c>
      <c r="G14" s="19" t="s">
        <v>419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201</v>
      </c>
      <c r="S14" t="s">
        <v>256</v>
      </c>
      <c r="T14" t="s">
        <v>214</v>
      </c>
      <c r="U14" t="s">
        <v>96</v>
      </c>
      <c r="V14" t="s">
        <v>214</v>
      </c>
      <c r="W14" t="s">
        <v>442</v>
      </c>
      <c r="X14" s="20" t="s">
        <v>472</v>
      </c>
      <c r="Y14" t="s">
        <v>96</v>
      </c>
      <c r="Z14" s="20" t="s">
        <v>96</v>
      </c>
      <c r="AA14" s="20" t="s">
        <v>493</v>
      </c>
      <c r="AB14" s="20" t="s">
        <v>96</v>
      </c>
      <c r="AC14" s="21" t="s">
        <v>513</v>
      </c>
      <c r="AD14" s="20" t="s">
        <v>514</v>
      </c>
      <c r="AE14" t="s">
        <v>381</v>
      </c>
      <c r="AF14" t="s">
        <v>134</v>
      </c>
      <c r="AG14" t="s">
        <v>258</v>
      </c>
      <c r="AH14" t="s">
        <v>258</v>
      </c>
      <c r="AI14" t="s">
        <v>159</v>
      </c>
      <c r="AJ14" t="s">
        <v>288</v>
      </c>
      <c r="AK14" t="s">
        <v>55</v>
      </c>
      <c r="AL14" s="20" t="s">
        <v>634</v>
      </c>
      <c r="AM14" s="20"/>
      <c r="AN14" s="20"/>
      <c r="AO14" s="20" t="s">
        <v>726</v>
      </c>
      <c r="AP14" s="20" t="s">
        <v>726</v>
      </c>
      <c r="AQ14" s="22" t="s">
        <v>727</v>
      </c>
      <c r="AR14" s="22" t="s">
        <v>728</v>
      </c>
      <c r="AS14" s="20" t="s">
        <v>729</v>
      </c>
      <c r="AT14" s="20" t="s">
        <v>730</v>
      </c>
      <c r="AU14" s="20">
        <f>LEN(SUBSTITUTE(AT14, ", "," "))</f>
        <v>29</v>
      </c>
      <c r="AV14" s="22" t="s">
        <v>640</v>
      </c>
      <c r="AW14" s="22" t="s">
        <v>640</v>
      </c>
      <c r="AX14" s="22" t="s">
        <v>641</v>
      </c>
      <c r="AY14" s="22" t="s">
        <v>641</v>
      </c>
      <c r="AZ14" s="22" t="s">
        <v>55</v>
      </c>
      <c r="BA14" s="22" t="s">
        <v>55</v>
      </c>
      <c r="BB14" s="22" t="s">
        <v>642</v>
      </c>
      <c r="BC14" s="20"/>
      <c r="BD14" s="20"/>
      <c r="BE14" s="20"/>
      <c r="BF14" s="22" t="s">
        <v>731</v>
      </c>
      <c r="BG14" s="22" t="s">
        <v>732</v>
      </c>
      <c r="BH14" s="20"/>
      <c r="BI14" s="20"/>
      <c r="BJ14" s="20"/>
      <c r="BK14" s="20"/>
      <c r="BL14" s="20"/>
      <c r="BM14" s="22" t="s">
        <v>645</v>
      </c>
      <c r="BN14" s="22" t="s">
        <v>645</v>
      </c>
      <c r="BO14" s="22" t="s">
        <v>646</v>
      </c>
      <c r="BP14" s="22" t="s">
        <v>646</v>
      </c>
      <c r="BQ14" s="20"/>
      <c r="BR14" s="22" t="s">
        <v>647</v>
      </c>
      <c r="BS14" s="22" t="s">
        <v>648</v>
      </c>
      <c r="BT14" s="22" t="s">
        <v>617</v>
      </c>
      <c r="BU14" s="20"/>
      <c r="BV14" s="22" t="s">
        <v>649</v>
      </c>
      <c r="BW14" s="20"/>
      <c r="BX14" s="20"/>
      <c r="BY14" s="20" t="s">
        <v>650</v>
      </c>
      <c r="BZ14" s="20"/>
      <c r="CA14" s="20"/>
      <c r="CB14" s="20"/>
      <c r="CC14" s="20"/>
      <c r="CD14" s="20"/>
      <c r="CE14" s="20"/>
      <c r="CF14"/>
      <c r="CG14" s="1" t="s">
        <v>1158</v>
      </c>
    </row>
    <row r="15" spans="1:85" ht="12" customHeight="1" x14ac:dyDescent="0.25">
      <c r="A15" s="19" t="s">
        <v>346</v>
      </c>
      <c r="B15" s="19" t="s">
        <v>358</v>
      </c>
      <c r="C15" t="s">
        <v>429</v>
      </c>
      <c r="D15" s="20" t="s">
        <v>468</v>
      </c>
      <c r="E15" t="s">
        <v>429</v>
      </c>
      <c r="F15" s="20" t="s">
        <v>469</v>
      </c>
      <c r="G15" s="19" t="s">
        <v>419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316</v>
      </c>
      <c r="S15" t="s">
        <v>374</v>
      </c>
      <c r="T15" t="s">
        <v>18</v>
      </c>
      <c r="U15" t="s">
        <v>74</v>
      </c>
      <c r="V15" t="s">
        <v>136</v>
      </c>
      <c r="W15" t="s">
        <v>288</v>
      </c>
      <c r="X15" s="20" t="s">
        <v>475</v>
      </c>
      <c r="Y15" t="s">
        <v>43</v>
      </c>
      <c r="Z15" s="20" t="s">
        <v>43</v>
      </c>
      <c r="AA15" s="20" t="s">
        <v>515</v>
      </c>
      <c r="AB15" s="20" t="s">
        <v>43</v>
      </c>
      <c r="AC15" s="21" t="s">
        <v>516</v>
      </c>
      <c r="AD15" s="20" t="s">
        <v>517</v>
      </c>
      <c r="AE15" t="s">
        <v>150</v>
      </c>
      <c r="AF15" t="s">
        <v>410</v>
      </c>
      <c r="AG15" t="s">
        <v>321</v>
      </c>
      <c r="AH15" t="s">
        <v>321</v>
      </c>
      <c r="AI15" t="s">
        <v>3</v>
      </c>
      <c r="AJ15" t="s">
        <v>178</v>
      </c>
      <c r="AK15" t="s">
        <v>181</v>
      </c>
      <c r="AL15" s="20" t="s">
        <v>733</v>
      </c>
      <c r="AM15" s="20"/>
      <c r="AN15" s="20"/>
      <c r="AO15" s="20" t="s">
        <v>734</v>
      </c>
      <c r="AP15" s="20" t="s">
        <v>734</v>
      </c>
      <c r="AQ15" s="22" t="s">
        <v>735</v>
      </c>
      <c r="AR15" s="22" t="s">
        <v>736</v>
      </c>
      <c r="AS15" s="20" t="s">
        <v>737</v>
      </c>
      <c r="AT15" s="20" t="s">
        <v>738</v>
      </c>
      <c r="AU15" s="20">
        <f>LEN(SUBSTITUTE(AT15, ", "," "))</f>
        <v>29</v>
      </c>
      <c r="AV15" s="22" t="s">
        <v>739</v>
      </c>
      <c r="AW15" s="22" t="s">
        <v>739</v>
      </c>
      <c r="AX15" s="22" t="s">
        <v>740</v>
      </c>
      <c r="AY15" s="22" t="s">
        <v>741</v>
      </c>
      <c r="AZ15" s="22" t="s">
        <v>742</v>
      </c>
      <c r="BA15" s="22" t="s">
        <v>742</v>
      </c>
      <c r="BB15" s="22" t="s">
        <v>743</v>
      </c>
      <c r="BC15" s="20"/>
      <c r="BD15" s="20"/>
      <c r="BE15" s="20"/>
      <c r="BF15" s="22" t="s">
        <v>744</v>
      </c>
      <c r="BG15" s="22" t="s">
        <v>745</v>
      </c>
      <c r="BH15" s="20"/>
      <c r="BI15" s="20"/>
      <c r="BJ15" s="20"/>
      <c r="BK15" s="20"/>
      <c r="BL15" s="20"/>
      <c r="BM15" s="22" t="s">
        <v>746</v>
      </c>
      <c r="BN15" s="22" t="s">
        <v>746</v>
      </c>
      <c r="BO15" s="20"/>
      <c r="BP15" s="20"/>
      <c r="BQ15" s="22" t="s">
        <v>747</v>
      </c>
      <c r="BR15" s="22" t="s">
        <v>748</v>
      </c>
      <c r="BS15" s="22" t="s">
        <v>749</v>
      </c>
      <c r="BT15" s="20"/>
      <c r="BU15" s="22" t="s">
        <v>750</v>
      </c>
      <c r="BV15" s="20"/>
      <c r="BW15" s="20"/>
      <c r="BX15" s="20"/>
      <c r="BY15" s="20" t="s">
        <v>751</v>
      </c>
      <c r="BZ15" s="20"/>
      <c r="CA15" s="20"/>
      <c r="CB15" s="20"/>
      <c r="CC15" s="20"/>
      <c r="CD15" s="20"/>
      <c r="CE15" s="20"/>
      <c r="CF15"/>
      <c r="CG15" s="1" t="s">
        <v>1158</v>
      </c>
    </row>
    <row r="16" spans="1:85" ht="12" customHeight="1" x14ac:dyDescent="0.25">
      <c r="A16" s="19" t="s">
        <v>346</v>
      </c>
      <c r="B16" s="19" t="s">
        <v>358</v>
      </c>
      <c r="C16" t="s">
        <v>429</v>
      </c>
      <c r="D16" s="20" t="s">
        <v>466</v>
      </c>
      <c r="E16" t="s">
        <v>429</v>
      </c>
      <c r="F16" s="20" t="s">
        <v>469</v>
      </c>
      <c r="G16" s="19" t="s">
        <v>419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153</v>
      </c>
      <c r="S16" t="s">
        <v>329</v>
      </c>
      <c r="T16" t="s">
        <v>224</v>
      </c>
      <c r="U16" t="s">
        <v>101</v>
      </c>
      <c r="V16" t="s">
        <v>213</v>
      </c>
      <c r="W16" t="s">
        <v>288</v>
      </c>
      <c r="X16" s="20" t="s">
        <v>224</v>
      </c>
      <c r="Y16" t="s">
        <v>101</v>
      </c>
      <c r="Z16" s="20" t="s">
        <v>101</v>
      </c>
      <c r="AA16" s="20" t="s">
        <v>213</v>
      </c>
      <c r="AB16" s="20" t="s">
        <v>101</v>
      </c>
      <c r="AC16" s="21" t="s">
        <v>518</v>
      </c>
      <c r="AD16" s="20" t="s">
        <v>519</v>
      </c>
      <c r="AE16" t="s">
        <v>405</v>
      </c>
      <c r="AF16" t="s">
        <v>286</v>
      </c>
      <c r="AG16" t="s">
        <v>360</v>
      </c>
      <c r="AH16" t="s">
        <v>288</v>
      </c>
      <c r="AI16" t="s">
        <v>225</v>
      </c>
      <c r="AJ16" t="s">
        <v>288</v>
      </c>
      <c r="AK16" t="s">
        <v>213</v>
      </c>
      <c r="AL16" s="20" t="s">
        <v>752</v>
      </c>
      <c r="AM16" s="20" t="s">
        <v>240</v>
      </c>
      <c r="AN16" s="20" t="s">
        <v>606</v>
      </c>
      <c r="AO16" s="20" t="s">
        <v>753</v>
      </c>
      <c r="AP16" s="20" t="s">
        <v>753</v>
      </c>
      <c r="AQ16" s="22" t="s">
        <v>754</v>
      </c>
      <c r="AR16" s="22" t="s">
        <v>755</v>
      </c>
      <c r="AS16" s="20" t="s">
        <v>756</v>
      </c>
      <c r="AT16" s="20" t="s">
        <v>757</v>
      </c>
      <c r="AU16" s="20">
        <f>LEN(SUBSTITUTE(AT16, ", "," "))</f>
        <v>28</v>
      </c>
      <c r="AV16" s="22" t="s">
        <v>758</v>
      </c>
      <c r="AW16" s="22" t="s">
        <v>758</v>
      </c>
      <c r="AX16" s="22" t="s">
        <v>759</v>
      </c>
      <c r="AY16" s="22" t="s">
        <v>759</v>
      </c>
      <c r="AZ16" s="22" t="s">
        <v>760</v>
      </c>
      <c r="BA16" s="22" t="s">
        <v>760</v>
      </c>
      <c r="BB16" s="22" t="s">
        <v>761</v>
      </c>
      <c r="BC16" s="20"/>
      <c r="BD16" s="20"/>
      <c r="BE16" s="20"/>
      <c r="BF16" s="22" t="s">
        <v>762</v>
      </c>
      <c r="BG16" s="22" t="s">
        <v>763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2" t="s">
        <v>764</v>
      </c>
      <c r="BR16" s="22" t="s">
        <v>765</v>
      </c>
      <c r="BS16" s="22" t="s">
        <v>766</v>
      </c>
      <c r="BT16" s="20" t="s">
        <v>617</v>
      </c>
      <c r="BU16" s="20" t="s">
        <v>618</v>
      </c>
      <c r="BV16" s="20"/>
      <c r="BW16" s="20"/>
      <c r="BX16" s="20"/>
      <c r="BY16" s="20" t="s">
        <v>767</v>
      </c>
      <c r="BZ16" s="20"/>
      <c r="CA16" s="20"/>
      <c r="CB16" s="20"/>
      <c r="CC16" s="20"/>
      <c r="CD16" s="20"/>
      <c r="CE16" s="20"/>
      <c r="CF16"/>
      <c r="CG16" s="1" t="s">
        <v>1158</v>
      </c>
    </row>
    <row r="17" spans="1:85" ht="12" customHeight="1" x14ac:dyDescent="0.25">
      <c r="A17" s="19" t="s">
        <v>346</v>
      </c>
      <c r="B17" s="19" t="s">
        <v>358</v>
      </c>
      <c r="C17" t="s">
        <v>429</v>
      </c>
      <c r="D17" s="20" t="s">
        <v>468</v>
      </c>
      <c r="E17" t="s">
        <v>429</v>
      </c>
      <c r="F17" s="20" t="s">
        <v>469</v>
      </c>
      <c r="G17" s="19" t="s">
        <v>419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460</v>
      </c>
      <c r="S17" t="s">
        <v>280</v>
      </c>
      <c r="T17" t="s">
        <v>393</v>
      </c>
      <c r="U17" t="s">
        <v>63</v>
      </c>
      <c r="V17" t="s">
        <v>171</v>
      </c>
      <c r="W17" t="s">
        <v>288</v>
      </c>
      <c r="X17" s="20" t="s">
        <v>474</v>
      </c>
      <c r="Y17" t="s">
        <v>63</v>
      </c>
      <c r="Z17" s="20" t="s">
        <v>63</v>
      </c>
      <c r="AA17" s="20" t="s">
        <v>171</v>
      </c>
      <c r="AB17" s="20" t="s">
        <v>63</v>
      </c>
      <c r="AC17" s="21" t="s">
        <v>520</v>
      </c>
      <c r="AD17" s="20" t="s">
        <v>521</v>
      </c>
      <c r="AE17" t="s">
        <v>146</v>
      </c>
      <c r="AF17" t="s">
        <v>160</v>
      </c>
      <c r="AG17" t="s">
        <v>37</v>
      </c>
      <c r="AH17" t="s">
        <v>37</v>
      </c>
      <c r="AI17" t="s">
        <v>455</v>
      </c>
      <c r="AJ17" t="s">
        <v>288</v>
      </c>
      <c r="AK17" t="s">
        <v>165</v>
      </c>
      <c r="AL17" s="20" t="s">
        <v>679</v>
      </c>
      <c r="AM17" s="20" t="s">
        <v>240</v>
      </c>
      <c r="AN17" s="20" t="s">
        <v>606</v>
      </c>
      <c r="AO17" s="20" t="s">
        <v>768</v>
      </c>
      <c r="AP17" s="20" t="s">
        <v>768</v>
      </c>
      <c r="AQ17" s="22" t="s">
        <v>769</v>
      </c>
      <c r="AR17" s="22" t="s">
        <v>770</v>
      </c>
      <c r="AS17" s="20" t="s">
        <v>771</v>
      </c>
      <c r="AT17" s="20" t="s">
        <v>772</v>
      </c>
      <c r="AU17" s="20">
        <f>LEN(SUBSTITUTE(AT17, ", "," "))</f>
        <v>25</v>
      </c>
      <c r="AV17" s="22" t="s">
        <v>684</v>
      </c>
      <c r="AW17" s="22" t="s">
        <v>684</v>
      </c>
      <c r="AX17" s="22" t="s">
        <v>685</v>
      </c>
      <c r="AY17" s="22" t="s">
        <v>685</v>
      </c>
      <c r="AZ17" s="22" t="s">
        <v>165</v>
      </c>
      <c r="BA17" s="22" t="s">
        <v>165</v>
      </c>
      <c r="BB17" s="22" t="s">
        <v>686</v>
      </c>
      <c r="BC17" s="20"/>
      <c r="BD17" s="20"/>
      <c r="BE17" s="20"/>
      <c r="BF17" s="20"/>
      <c r="BG17" s="20"/>
      <c r="BH17" s="20"/>
      <c r="BI17" s="20"/>
      <c r="BJ17" s="22" t="s">
        <v>773</v>
      </c>
      <c r="BK17" s="22" t="s">
        <v>774</v>
      </c>
      <c r="BL17" s="20"/>
      <c r="BM17" s="22" t="s">
        <v>686</v>
      </c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 t="s">
        <v>775</v>
      </c>
      <c r="BZ17" s="20"/>
      <c r="CA17" s="20"/>
      <c r="CB17" s="20"/>
      <c r="CC17" s="20"/>
      <c r="CD17" s="20"/>
      <c r="CE17" s="20"/>
      <c r="CF17"/>
      <c r="CG17" s="1" t="s">
        <v>1158</v>
      </c>
    </row>
    <row r="18" spans="1:85" ht="12" customHeight="1" x14ac:dyDescent="0.25">
      <c r="A18" s="19" t="s">
        <v>346</v>
      </c>
      <c r="B18" s="19" t="s">
        <v>358</v>
      </c>
      <c r="C18" t="s">
        <v>429</v>
      </c>
      <c r="D18" s="20" t="s">
        <v>466</v>
      </c>
      <c r="E18" t="s">
        <v>429</v>
      </c>
      <c r="F18" s="20" t="s">
        <v>469</v>
      </c>
      <c r="G18" s="19" t="s">
        <v>419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444</v>
      </c>
      <c r="S18" t="s">
        <v>374</v>
      </c>
      <c r="T18" t="s">
        <v>18</v>
      </c>
      <c r="U18" t="s">
        <v>221</v>
      </c>
      <c r="V18" t="s">
        <v>111</v>
      </c>
      <c r="W18" t="s">
        <v>288</v>
      </c>
      <c r="X18" s="20" t="s">
        <v>476</v>
      </c>
      <c r="Y18" t="s">
        <v>255</v>
      </c>
      <c r="Z18" s="20" t="s">
        <v>255</v>
      </c>
      <c r="AA18" s="20" t="s">
        <v>522</v>
      </c>
      <c r="AB18" s="20" t="s">
        <v>255</v>
      </c>
      <c r="AC18" s="21" t="s">
        <v>523</v>
      </c>
      <c r="AD18" s="20" t="s">
        <v>524</v>
      </c>
      <c r="AE18" t="s">
        <v>285</v>
      </c>
      <c r="AF18" t="s">
        <v>88</v>
      </c>
      <c r="AG18" t="s">
        <v>162</v>
      </c>
      <c r="AH18" t="s">
        <v>288</v>
      </c>
      <c r="AI18" t="s">
        <v>440</v>
      </c>
      <c r="AJ18" t="s">
        <v>288</v>
      </c>
      <c r="AK18" t="s">
        <v>288</v>
      </c>
      <c r="AL18" s="20" t="s">
        <v>776</v>
      </c>
      <c r="AM18" s="20" t="s">
        <v>777</v>
      </c>
      <c r="AN18" s="20" t="s">
        <v>778</v>
      </c>
      <c r="AO18" s="20" t="s">
        <v>779</v>
      </c>
      <c r="AP18" s="20" t="s">
        <v>779</v>
      </c>
      <c r="AQ18" s="22" t="s">
        <v>780</v>
      </c>
      <c r="AR18" s="22" t="s">
        <v>781</v>
      </c>
      <c r="AS18" s="20" t="s">
        <v>782</v>
      </c>
      <c r="AT18" s="20" t="s">
        <v>783</v>
      </c>
      <c r="AU18" s="20">
        <f>LEN(SUBSTITUTE(AT18, ", "," "))</f>
        <v>30</v>
      </c>
      <c r="AV18" s="22" t="s">
        <v>784</v>
      </c>
      <c r="AW18" s="22" t="s">
        <v>785</v>
      </c>
      <c r="AX18" s="22" t="s">
        <v>786</v>
      </c>
      <c r="AY18" s="20"/>
      <c r="AZ18" s="20"/>
      <c r="BA18" s="20"/>
      <c r="BB18" s="20"/>
      <c r="BC18" s="20"/>
      <c r="BD18" s="20"/>
      <c r="BE18" s="20"/>
      <c r="BF18" s="22" t="s">
        <v>787</v>
      </c>
      <c r="BG18" s="22" t="s">
        <v>788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2" t="s">
        <v>789</v>
      </c>
      <c r="BS18" s="22" t="s">
        <v>789</v>
      </c>
      <c r="BT18" s="20" t="s">
        <v>790</v>
      </c>
      <c r="BU18" s="22" t="s">
        <v>618</v>
      </c>
      <c r="BV18" s="20"/>
      <c r="BW18" s="20"/>
      <c r="BX18" s="22" t="s">
        <v>791</v>
      </c>
      <c r="BY18" s="20" t="s">
        <v>792</v>
      </c>
      <c r="BZ18" s="20"/>
      <c r="CA18" s="20"/>
      <c r="CB18" s="20"/>
      <c r="CC18" s="20"/>
      <c r="CD18" s="20"/>
      <c r="CE18" s="20"/>
      <c r="CF18"/>
      <c r="CG18" s="1" t="s">
        <v>1158</v>
      </c>
    </row>
    <row r="19" spans="1:85" ht="12" customHeight="1" x14ac:dyDescent="0.25">
      <c r="A19" s="19" t="s">
        <v>346</v>
      </c>
      <c r="B19" s="19" t="s">
        <v>358</v>
      </c>
      <c r="C19" t="s">
        <v>429</v>
      </c>
      <c r="D19" s="20" t="s">
        <v>467</v>
      </c>
      <c r="E19" t="s">
        <v>429</v>
      </c>
      <c r="F19" s="20" t="s">
        <v>469</v>
      </c>
      <c r="G19" s="19" t="s">
        <v>419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204</v>
      </c>
      <c r="S19" t="s">
        <v>280</v>
      </c>
      <c r="T19" t="s">
        <v>393</v>
      </c>
      <c r="U19" t="s">
        <v>66</v>
      </c>
      <c r="V19" t="s">
        <v>171</v>
      </c>
      <c r="W19" t="s">
        <v>288</v>
      </c>
      <c r="X19" s="20" t="s">
        <v>474</v>
      </c>
      <c r="Y19" t="s">
        <v>66</v>
      </c>
      <c r="Z19" s="20" t="s">
        <v>66</v>
      </c>
      <c r="AA19" s="20" t="s">
        <v>171</v>
      </c>
      <c r="AB19" s="20" t="s">
        <v>66</v>
      </c>
      <c r="AC19" s="21" t="s">
        <v>525</v>
      </c>
      <c r="AD19" s="20" t="s">
        <v>526</v>
      </c>
      <c r="AE19" t="s">
        <v>52</v>
      </c>
      <c r="AF19" t="s">
        <v>249</v>
      </c>
      <c r="AG19" t="s">
        <v>2</v>
      </c>
      <c r="AH19" t="s">
        <v>290</v>
      </c>
      <c r="AI19" t="s">
        <v>103</v>
      </c>
      <c r="AJ19" t="s">
        <v>288</v>
      </c>
      <c r="AK19" t="s">
        <v>288</v>
      </c>
      <c r="AL19" s="20" t="s">
        <v>679</v>
      </c>
      <c r="AM19" s="20" t="s">
        <v>240</v>
      </c>
      <c r="AN19" s="20" t="s">
        <v>606</v>
      </c>
      <c r="AO19" s="20" t="s">
        <v>52</v>
      </c>
      <c r="AP19" s="20" t="s">
        <v>52</v>
      </c>
      <c r="AQ19" s="22" t="s">
        <v>793</v>
      </c>
      <c r="AR19" s="22" t="s">
        <v>794</v>
      </c>
      <c r="AS19" s="20" t="s">
        <v>795</v>
      </c>
      <c r="AT19" s="20" t="s">
        <v>796</v>
      </c>
      <c r="AU19" s="20">
        <f>LEN(SUBSTITUTE(AT19, ", "," "))</f>
        <v>25</v>
      </c>
      <c r="AV19" s="22" t="s">
        <v>684</v>
      </c>
      <c r="AW19" s="22" t="s">
        <v>684</v>
      </c>
      <c r="AX19" s="22" t="s">
        <v>685</v>
      </c>
      <c r="AY19" s="22" t="s">
        <v>685</v>
      </c>
      <c r="AZ19" s="22" t="s">
        <v>165</v>
      </c>
      <c r="BA19" s="22" t="s">
        <v>165</v>
      </c>
      <c r="BB19" s="22" t="s">
        <v>686</v>
      </c>
      <c r="BC19" s="20"/>
      <c r="BD19" s="20"/>
      <c r="BE19" s="20"/>
      <c r="BF19" s="20"/>
      <c r="BG19" s="20"/>
      <c r="BH19" s="20"/>
      <c r="BI19" s="20"/>
      <c r="BJ19" s="22" t="s">
        <v>797</v>
      </c>
      <c r="BK19" s="22" t="s">
        <v>798</v>
      </c>
      <c r="BL19" s="20"/>
      <c r="BM19" s="22" t="s">
        <v>686</v>
      </c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 t="s">
        <v>633</v>
      </c>
      <c r="BZ19" s="20"/>
      <c r="CA19" s="20"/>
      <c r="CB19" s="20"/>
      <c r="CC19" s="20"/>
      <c r="CD19" s="20"/>
      <c r="CE19" s="20"/>
      <c r="CF19"/>
      <c r="CG19" s="1" t="s">
        <v>1158</v>
      </c>
    </row>
    <row r="20" spans="1:85" ht="12" customHeight="1" x14ac:dyDescent="0.25">
      <c r="A20" s="19" t="s">
        <v>346</v>
      </c>
      <c r="B20" s="19" t="s">
        <v>358</v>
      </c>
      <c r="C20" t="s">
        <v>429</v>
      </c>
      <c r="D20" s="20" t="s">
        <v>466</v>
      </c>
      <c r="E20" t="s">
        <v>429</v>
      </c>
      <c r="F20" s="20" t="s">
        <v>469</v>
      </c>
      <c r="G20" s="19" t="s">
        <v>419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389</v>
      </c>
      <c r="S20" t="s">
        <v>256</v>
      </c>
      <c r="T20" t="s">
        <v>214</v>
      </c>
      <c r="U20" t="s">
        <v>281</v>
      </c>
      <c r="V20" t="s">
        <v>214</v>
      </c>
      <c r="W20" t="s">
        <v>442</v>
      </c>
      <c r="X20" s="20" t="s">
        <v>472</v>
      </c>
      <c r="Y20" t="s">
        <v>281</v>
      </c>
      <c r="Z20" s="20" t="s">
        <v>281</v>
      </c>
      <c r="AA20" s="20" t="s">
        <v>493</v>
      </c>
      <c r="AB20" s="20" t="s">
        <v>281</v>
      </c>
      <c r="AC20" s="21" t="s">
        <v>527</v>
      </c>
      <c r="AD20" s="20" t="s">
        <v>528</v>
      </c>
      <c r="AE20" t="s">
        <v>182</v>
      </c>
      <c r="AF20" t="s">
        <v>365</v>
      </c>
      <c r="AG20" t="s">
        <v>116</v>
      </c>
      <c r="AH20" t="s">
        <v>116</v>
      </c>
      <c r="AI20" t="s">
        <v>159</v>
      </c>
      <c r="AJ20" t="s">
        <v>288</v>
      </c>
      <c r="AK20" t="s">
        <v>55</v>
      </c>
      <c r="AL20" s="20" t="s">
        <v>634</v>
      </c>
      <c r="AM20" s="20"/>
      <c r="AN20" s="20"/>
      <c r="AO20" s="20" t="s">
        <v>799</v>
      </c>
      <c r="AP20" s="20" t="s">
        <v>799</v>
      </c>
      <c r="AQ20" s="22" t="s">
        <v>800</v>
      </c>
      <c r="AR20" s="22" t="s">
        <v>801</v>
      </c>
      <c r="AS20" s="20" t="s">
        <v>802</v>
      </c>
      <c r="AT20" s="20" t="s">
        <v>803</v>
      </c>
      <c r="AU20" s="20">
        <f>LEN(SUBSTITUTE(AT20, ", "," "))</f>
        <v>29</v>
      </c>
      <c r="AV20" s="22" t="s">
        <v>640</v>
      </c>
      <c r="AW20" s="22" t="s">
        <v>640</v>
      </c>
      <c r="AX20" s="22" t="s">
        <v>641</v>
      </c>
      <c r="AY20" s="22" t="s">
        <v>641</v>
      </c>
      <c r="AZ20" s="22" t="s">
        <v>55</v>
      </c>
      <c r="BA20" s="22" t="s">
        <v>55</v>
      </c>
      <c r="BB20" s="22" t="s">
        <v>642</v>
      </c>
      <c r="BC20" s="20"/>
      <c r="BD20" s="20"/>
      <c r="BE20" s="20"/>
      <c r="BF20" s="22" t="s">
        <v>804</v>
      </c>
      <c r="BG20" s="22" t="s">
        <v>805</v>
      </c>
      <c r="BH20" s="20"/>
      <c r="BI20" s="20"/>
      <c r="BJ20" s="20"/>
      <c r="BK20" s="20"/>
      <c r="BL20" s="20"/>
      <c r="BM20" s="22" t="s">
        <v>645</v>
      </c>
      <c r="BN20" s="22" t="s">
        <v>645</v>
      </c>
      <c r="BO20" s="22" t="s">
        <v>646</v>
      </c>
      <c r="BP20" s="22" t="s">
        <v>646</v>
      </c>
      <c r="BQ20" s="20"/>
      <c r="BR20" s="22" t="s">
        <v>647</v>
      </c>
      <c r="BS20" s="22" t="s">
        <v>648</v>
      </c>
      <c r="BT20" s="22" t="s">
        <v>617</v>
      </c>
      <c r="BU20" s="20"/>
      <c r="BV20" s="22" t="s">
        <v>649</v>
      </c>
      <c r="BW20" s="20"/>
      <c r="BX20" s="20"/>
      <c r="BY20" s="20" t="s">
        <v>650</v>
      </c>
      <c r="BZ20" s="20"/>
      <c r="CA20" s="20"/>
      <c r="CB20" s="20"/>
      <c r="CC20" s="20"/>
      <c r="CD20" s="20"/>
      <c r="CE20" s="20"/>
      <c r="CF20"/>
      <c r="CG20" s="1" t="s">
        <v>1158</v>
      </c>
    </row>
    <row r="21" spans="1:85" ht="12" customHeight="1" x14ac:dyDescent="0.25">
      <c r="A21" s="19" t="s">
        <v>346</v>
      </c>
      <c r="B21" s="19" t="s">
        <v>358</v>
      </c>
      <c r="C21" t="s">
        <v>429</v>
      </c>
      <c r="D21" s="20" t="s">
        <v>466</v>
      </c>
      <c r="E21" t="s">
        <v>429</v>
      </c>
      <c r="F21" s="20" t="s">
        <v>469</v>
      </c>
      <c r="G21" s="19" t="s">
        <v>419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351</v>
      </c>
      <c r="S21" t="s">
        <v>256</v>
      </c>
      <c r="T21" t="s">
        <v>214</v>
      </c>
      <c r="U21" t="s">
        <v>370</v>
      </c>
      <c r="V21" t="s">
        <v>214</v>
      </c>
      <c r="W21" t="s">
        <v>442</v>
      </c>
      <c r="X21" s="20" t="s">
        <v>472</v>
      </c>
      <c r="Y21" t="s">
        <v>370</v>
      </c>
      <c r="Z21" s="20" t="s">
        <v>370</v>
      </c>
      <c r="AA21" s="20" t="s">
        <v>493</v>
      </c>
      <c r="AB21" s="20" t="s">
        <v>370</v>
      </c>
      <c r="AC21" s="21" t="s">
        <v>529</v>
      </c>
      <c r="AD21" s="20" t="s">
        <v>530</v>
      </c>
      <c r="AE21" t="s">
        <v>105</v>
      </c>
      <c r="AF21" t="s">
        <v>231</v>
      </c>
      <c r="AG21" t="s">
        <v>406</v>
      </c>
      <c r="AH21" t="s">
        <v>406</v>
      </c>
      <c r="AI21" t="s">
        <v>159</v>
      </c>
      <c r="AJ21" t="s">
        <v>288</v>
      </c>
      <c r="AK21" t="s">
        <v>55</v>
      </c>
      <c r="AL21" s="20" t="s">
        <v>634</v>
      </c>
      <c r="AM21" s="20"/>
      <c r="AN21" s="20"/>
      <c r="AO21" s="20" t="s">
        <v>806</v>
      </c>
      <c r="AP21" s="20" t="s">
        <v>806</v>
      </c>
      <c r="AQ21" s="22" t="s">
        <v>807</v>
      </c>
      <c r="AR21" s="22" t="s">
        <v>808</v>
      </c>
      <c r="AS21" s="20" t="s">
        <v>809</v>
      </c>
      <c r="AT21" s="20" t="s">
        <v>810</v>
      </c>
      <c r="AU21" s="20">
        <f>LEN(SUBSTITUTE(AT21, ", "," "))</f>
        <v>29</v>
      </c>
      <c r="AV21" s="22" t="s">
        <v>640</v>
      </c>
      <c r="AW21" s="22" t="s">
        <v>640</v>
      </c>
      <c r="AX21" s="22" t="s">
        <v>641</v>
      </c>
      <c r="AY21" s="22" t="s">
        <v>641</v>
      </c>
      <c r="AZ21" s="22" t="s">
        <v>55</v>
      </c>
      <c r="BA21" s="22" t="s">
        <v>55</v>
      </c>
      <c r="BB21" s="22" t="s">
        <v>642</v>
      </c>
      <c r="BC21" s="20"/>
      <c r="BD21" s="20"/>
      <c r="BE21" s="20"/>
      <c r="BF21" s="22" t="s">
        <v>811</v>
      </c>
      <c r="BG21" s="22" t="s">
        <v>812</v>
      </c>
      <c r="BH21" s="20"/>
      <c r="BI21" s="20"/>
      <c r="BJ21" s="20"/>
      <c r="BK21" s="20"/>
      <c r="BL21" s="20"/>
      <c r="BM21" s="22" t="s">
        <v>645</v>
      </c>
      <c r="BN21" s="22" t="s">
        <v>645</v>
      </c>
      <c r="BO21" s="22" t="s">
        <v>646</v>
      </c>
      <c r="BP21" s="22" t="s">
        <v>646</v>
      </c>
      <c r="BQ21" s="20"/>
      <c r="BR21" s="22" t="s">
        <v>647</v>
      </c>
      <c r="BS21" s="22" t="s">
        <v>648</v>
      </c>
      <c r="BT21" s="22" t="s">
        <v>617</v>
      </c>
      <c r="BU21" s="20"/>
      <c r="BV21" s="22" t="s">
        <v>649</v>
      </c>
      <c r="BW21" s="20"/>
      <c r="BX21" s="20"/>
      <c r="BY21" s="20" t="s">
        <v>650</v>
      </c>
      <c r="BZ21" s="20"/>
      <c r="CA21" s="20"/>
      <c r="CB21" s="20"/>
      <c r="CC21" s="20"/>
      <c r="CD21" s="20"/>
      <c r="CE21" s="20"/>
      <c r="CF21"/>
      <c r="CG21" s="1" t="s">
        <v>1158</v>
      </c>
    </row>
    <row r="22" spans="1:85" ht="12" customHeight="1" x14ac:dyDescent="0.25">
      <c r="A22" s="19" t="s">
        <v>346</v>
      </c>
      <c r="B22" s="19" t="s">
        <v>358</v>
      </c>
      <c r="C22" t="s">
        <v>429</v>
      </c>
      <c r="D22" s="20" t="s">
        <v>466</v>
      </c>
      <c r="E22" t="s">
        <v>429</v>
      </c>
      <c r="F22" s="20" t="s">
        <v>469</v>
      </c>
      <c r="G22" s="19" t="s">
        <v>419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151</v>
      </c>
      <c r="S22" t="s">
        <v>256</v>
      </c>
      <c r="T22" t="s">
        <v>214</v>
      </c>
      <c r="U22" t="s">
        <v>369</v>
      </c>
      <c r="V22" t="s">
        <v>214</v>
      </c>
      <c r="W22" t="s">
        <v>442</v>
      </c>
      <c r="X22" s="20" t="s">
        <v>472</v>
      </c>
      <c r="Y22" t="s">
        <v>369</v>
      </c>
      <c r="Z22" s="20" t="s">
        <v>369</v>
      </c>
      <c r="AA22" s="20" t="s">
        <v>493</v>
      </c>
      <c r="AB22" s="20" t="s">
        <v>369</v>
      </c>
      <c r="AC22" s="21" t="s">
        <v>531</v>
      </c>
      <c r="AD22" s="20" t="s">
        <v>532</v>
      </c>
      <c r="AE22" t="s">
        <v>158</v>
      </c>
      <c r="AF22" t="s">
        <v>176</v>
      </c>
      <c r="AG22" t="s">
        <v>247</v>
      </c>
      <c r="AH22" t="s">
        <v>247</v>
      </c>
      <c r="AI22" t="s">
        <v>159</v>
      </c>
      <c r="AJ22" t="s">
        <v>288</v>
      </c>
      <c r="AK22" t="s">
        <v>55</v>
      </c>
      <c r="AL22" s="20" t="s">
        <v>634</v>
      </c>
      <c r="AM22" s="20"/>
      <c r="AN22" s="20"/>
      <c r="AO22" s="20" t="s">
        <v>813</v>
      </c>
      <c r="AP22" s="20" t="s">
        <v>813</v>
      </c>
      <c r="AQ22" s="22" t="s">
        <v>814</v>
      </c>
      <c r="AR22" s="22" t="s">
        <v>815</v>
      </c>
      <c r="AS22" s="20" t="s">
        <v>816</v>
      </c>
      <c r="AT22" s="20" t="s">
        <v>817</v>
      </c>
      <c r="AU22" s="20">
        <f>LEN(SUBSTITUTE(AT22, ", "," "))</f>
        <v>28</v>
      </c>
      <c r="AV22" s="22" t="s">
        <v>640</v>
      </c>
      <c r="AW22" s="22" t="s">
        <v>640</v>
      </c>
      <c r="AX22" s="22" t="s">
        <v>641</v>
      </c>
      <c r="AY22" s="22" t="s">
        <v>641</v>
      </c>
      <c r="AZ22" s="22" t="s">
        <v>55</v>
      </c>
      <c r="BA22" s="22" t="s">
        <v>55</v>
      </c>
      <c r="BB22" s="22" t="s">
        <v>642</v>
      </c>
      <c r="BC22" s="20"/>
      <c r="BD22" s="20"/>
      <c r="BE22" s="20"/>
      <c r="BF22" s="22" t="s">
        <v>818</v>
      </c>
      <c r="BG22" s="22" t="s">
        <v>819</v>
      </c>
      <c r="BH22" s="20"/>
      <c r="BI22" s="20"/>
      <c r="BJ22" s="20"/>
      <c r="BK22" s="20"/>
      <c r="BL22" s="20"/>
      <c r="BM22" s="22" t="s">
        <v>645</v>
      </c>
      <c r="BN22" s="22" t="s">
        <v>645</v>
      </c>
      <c r="BO22" s="22" t="s">
        <v>646</v>
      </c>
      <c r="BP22" s="22" t="s">
        <v>646</v>
      </c>
      <c r="BQ22" s="20"/>
      <c r="BR22" s="22" t="s">
        <v>647</v>
      </c>
      <c r="BS22" s="22" t="s">
        <v>648</v>
      </c>
      <c r="BT22" s="22" t="s">
        <v>617</v>
      </c>
      <c r="BU22" s="20"/>
      <c r="BV22" s="22" t="s">
        <v>649</v>
      </c>
      <c r="BW22" s="20"/>
      <c r="BX22" s="20"/>
      <c r="BY22" s="20" t="s">
        <v>650</v>
      </c>
      <c r="BZ22" s="20"/>
      <c r="CA22" s="20"/>
      <c r="CB22" s="20"/>
      <c r="CC22" s="20"/>
      <c r="CD22" s="20"/>
      <c r="CE22" s="20"/>
      <c r="CF22"/>
      <c r="CG22" s="1" t="s">
        <v>1158</v>
      </c>
    </row>
    <row r="23" spans="1:85" ht="12" customHeight="1" x14ac:dyDescent="0.25">
      <c r="A23" s="19" t="s">
        <v>346</v>
      </c>
      <c r="B23" s="19" t="s">
        <v>358</v>
      </c>
      <c r="C23" t="s">
        <v>429</v>
      </c>
      <c r="D23" s="20" t="s">
        <v>466</v>
      </c>
      <c r="E23" t="s">
        <v>429</v>
      </c>
      <c r="F23" s="20" t="s">
        <v>469</v>
      </c>
      <c r="G23" s="19" t="s">
        <v>419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458</v>
      </c>
      <c r="S23" t="s">
        <v>256</v>
      </c>
      <c r="T23" t="s">
        <v>214</v>
      </c>
      <c r="U23" t="s">
        <v>156</v>
      </c>
      <c r="V23" t="s">
        <v>214</v>
      </c>
      <c r="W23" t="s">
        <v>442</v>
      </c>
      <c r="X23" s="20" t="s">
        <v>472</v>
      </c>
      <c r="Y23" t="s">
        <v>156</v>
      </c>
      <c r="Z23" s="20" t="s">
        <v>156</v>
      </c>
      <c r="AA23" s="20" t="s">
        <v>493</v>
      </c>
      <c r="AB23" s="20" t="s">
        <v>156</v>
      </c>
      <c r="AC23" s="21" t="s">
        <v>533</v>
      </c>
      <c r="AD23" s="20" t="s">
        <v>534</v>
      </c>
      <c r="AE23" t="s">
        <v>123</v>
      </c>
      <c r="AF23" t="s">
        <v>230</v>
      </c>
      <c r="AG23" t="s">
        <v>143</v>
      </c>
      <c r="AH23" t="s">
        <v>143</v>
      </c>
      <c r="AI23" t="s">
        <v>159</v>
      </c>
      <c r="AJ23" t="s">
        <v>288</v>
      </c>
      <c r="AK23" t="s">
        <v>55</v>
      </c>
      <c r="AL23" s="20" t="s">
        <v>634</v>
      </c>
      <c r="AM23" s="20"/>
      <c r="AN23" s="20"/>
      <c r="AO23" s="20" t="s">
        <v>820</v>
      </c>
      <c r="AP23" s="20" t="s">
        <v>820</v>
      </c>
      <c r="AQ23" s="22" t="s">
        <v>821</v>
      </c>
      <c r="AR23" s="22" t="s">
        <v>822</v>
      </c>
      <c r="AS23" s="20" t="s">
        <v>823</v>
      </c>
      <c r="AT23" s="20" t="s">
        <v>824</v>
      </c>
      <c r="AU23" s="20">
        <f>LEN(SUBSTITUTE(AT23, ", "," "))</f>
        <v>29</v>
      </c>
      <c r="AV23" s="22" t="s">
        <v>640</v>
      </c>
      <c r="AW23" s="22" t="s">
        <v>640</v>
      </c>
      <c r="AX23" s="22" t="s">
        <v>641</v>
      </c>
      <c r="AY23" s="22" t="s">
        <v>641</v>
      </c>
      <c r="AZ23" s="22" t="s">
        <v>55</v>
      </c>
      <c r="BA23" s="22" t="s">
        <v>55</v>
      </c>
      <c r="BB23" s="22" t="s">
        <v>642</v>
      </c>
      <c r="BC23" s="20"/>
      <c r="BD23" s="20"/>
      <c r="BE23" s="20"/>
      <c r="BF23" s="22" t="s">
        <v>825</v>
      </c>
      <c r="BG23" s="22" t="s">
        <v>826</v>
      </c>
      <c r="BH23" s="20"/>
      <c r="BI23" s="20"/>
      <c r="BJ23" s="20"/>
      <c r="BK23" s="20"/>
      <c r="BL23" s="20"/>
      <c r="BM23" s="22" t="s">
        <v>645</v>
      </c>
      <c r="BN23" s="22" t="s">
        <v>645</v>
      </c>
      <c r="BO23" s="22" t="s">
        <v>646</v>
      </c>
      <c r="BP23" s="22" t="s">
        <v>646</v>
      </c>
      <c r="BQ23" s="20"/>
      <c r="BR23" s="22" t="s">
        <v>647</v>
      </c>
      <c r="BS23" s="22" t="s">
        <v>648</v>
      </c>
      <c r="BT23" s="22" t="s">
        <v>617</v>
      </c>
      <c r="BU23" s="20"/>
      <c r="BV23" s="22" t="s">
        <v>649</v>
      </c>
      <c r="BW23" s="20"/>
      <c r="BX23" s="20"/>
      <c r="BY23" s="20" t="s">
        <v>650</v>
      </c>
      <c r="BZ23" s="20"/>
      <c r="CA23" s="20"/>
      <c r="CB23" s="20"/>
      <c r="CC23" s="20"/>
      <c r="CD23" s="20"/>
      <c r="CE23" s="20"/>
      <c r="CF23"/>
      <c r="CG23" s="1" t="s">
        <v>1158</v>
      </c>
    </row>
    <row r="24" spans="1:85" ht="12" customHeight="1" x14ac:dyDescent="0.25">
      <c r="A24" s="19" t="s">
        <v>346</v>
      </c>
      <c r="B24" s="19" t="s">
        <v>358</v>
      </c>
      <c r="C24" t="s">
        <v>429</v>
      </c>
      <c r="D24" s="20" t="s">
        <v>466</v>
      </c>
      <c r="E24" t="s">
        <v>429</v>
      </c>
      <c r="F24" s="20" t="s">
        <v>469</v>
      </c>
      <c r="G24" s="19" t="s">
        <v>419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349</v>
      </c>
      <c r="S24" t="s">
        <v>256</v>
      </c>
      <c r="T24" t="s">
        <v>214</v>
      </c>
      <c r="U24" t="s">
        <v>135</v>
      </c>
      <c r="V24" t="s">
        <v>214</v>
      </c>
      <c r="W24" t="s">
        <v>442</v>
      </c>
      <c r="X24" s="20" t="s">
        <v>472</v>
      </c>
      <c r="Y24" t="s">
        <v>135</v>
      </c>
      <c r="Z24" s="20" t="s">
        <v>135</v>
      </c>
      <c r="AA24" s="20" t="s">
        <v>493</v>
      </c>
      <c r="AB24" s="20" t="s">
        <v>135</v>
      </c>
      <c r="AC24" s="21" t="s">
        <v>535</v>
      </c>
      <c r="AD24" s="20" t="s">
        <v>536</v>
      </c>
      <c r="AE24" t="s">
        <v>61</v>
      </c>
      <c r="AF24" t="s">
        <v>292</v>
      </c>
      <c r="AG24" t="s">
        <v>339</v>
      </c>
      <c r="AH24" t="s">
        <v>339</v>
      </c>
      <c r="AI24" t="s">
        <v>159</v>
      </c>
      <c r="AJ24" t="s">
        <v>288</v>
      </c>
      <c r="AK24" t="s">
        <v>55</v>
      </c>
      <c r="AL24" s="20" t="s">
        <v>634</v>
      </c>
      <c r="AM24" s="20"/>
      <c r="AN24" s="20"/>
      <c r="AO24" s="20" t="s">
        <v>827</v>
      </c>
      <c r="AP24" s="20" t="s">
        <v>827</v>
      </c>
      <c r="AQ24" s="22" t="s">
        <v>828</v>
      </c>
      <c r="AR24" s="22" t="s">
        <v>829</v>
      </c>
      <c r="AS24" s="20" t="s">
        <v>830</v>
      </c>
      <c r="AT24" s="20" t="s">
        <v>831</v>
      </c>
      <c r="AU24" s="20">
        <f>LEN(SUBSTITUTE(AT24, ", "," "))</f>
        <v>29</v>
      </c>
      <c r="AV24" s="22" t="s">
        <v>640</v>
      </c>
      <c r="AW24" s="22" t="s">
        <v>640</v>
      </c>
      <c r="AX24" s="22" t="s">
        <v>641</v>
      </c>
      <c r="AY24" s="22" t="s">
        <v>641</v>
      </c>
      <c r="AZ24" s="22" t="s">
        <v>55</v>
      </c>
      <c r="BA24" s="22" t="s">
        <v>55</v>
      </c>
      <c r="BB24" s="22" t="s">
        <v>642</v>
      </c>
      <c r="BC24" s="20"/>
      <c r="BD24" s="20"/>
      <c r="BE24" s="20"/>
      <c r="BF24" s="22" t="s">
        <v>832</v>
      </c>
      <c r="BG24" s="22" t="s">
        <v>833</v>
      </c>
      <c r="BH24" s="20"/>
      <c r="BI24" s="20"/>
      <c r="BJ24" s="20"/>
      <c r="BK24" s="20"/>
      <c r="BL24" s="20"/>
      <c r="BM24" s="22" t="s">
        <v>645</v>
      </c>
      <c r="BN24" s="22" t="s">
        <v>645</v>
      </c>
      <c r="BO24" s="22" t="s">
        <v>646</v>
      </c>
      <c r="BP24" s="22" t="s">
        <v>646</v>
      </c>
      <c r="BQ24" s="20"/>
      <c r="BR24" s="22" t="s">
        <v>647</v>
      </c>
      <c r="BS24" s="22" t="s">
        <v>648</v>
      </c>
      <c r="BT24" s="22" t="s">
        <v>617</v>
      </c>
      <c r="BU24" s="20"/>
      <c r="BV24" s="22" t="s">
        <v>649</v>
      </c>
      <c r="BW24" s="20"/>
      <c r="BX24" s="20"/>
      <c r="BY24" s="20" t="s">
        <v>650</v>
      </c>
      <c r="BZ24" s="20"/>
      <c r="CA24" s="20"/>
      <c r="CB24" s="20"/>
      <c r="CC24" s="20"/>
      <c r="CD24" s="20"/>
      <c r="CE24" s="20"/>
      <c r="CF24"/>
      <c r="CG24" s="1" t="s">
        <v>1158</v>
      </c>
    </row>
    <row r="25" spans="1:85" ht="12" customHeight="1" x14ac:dyDescent="0.25">
      <c r="A25" s="19" t="s">
        <v>346</v>
      </c>
      <c r="B25" s="19" t="s">
        <v>358</v>
      </c>
      <c r="C25" t="s">
        <v>429</v>
      </c>
      <c r="D25" s="20" t="s">
        <v>466</v>
      </c>
      <c r="E25" t="s">
        <v>429</v>
      </c>
      <c r="F25" s="20" t="s">
        <v>469</v>
      </c>
      <c r="G25" s="19" t="s">
        <v>419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268</v>
      </c>
      <c r="S25" t="s">
        <v>294</v>
      </c>
      <c r="T25" t="s">
        <v>27</v>
      </c>
      <c r="U25" t="s">
        <v>272</v>
      </c>
      <c r="V25" t="s">
        <v>148</v>
      </c>
      <c r="W25" t="s">
        <v>384</v>
      </c>
      <c r="X25" s="20" t="s">
        <v>477</v>
      </c>
      <c r="Y25" t="s">
        <v>340</v>
      </c>
      <c r="Z25" s="20" t="s">
        <v>340</v>
      </c>
      <c r="AA25" s="20" t="s">
        <v>537</v>
      </c>
      <c r="AB25" s="20" t="s">
        <v>340</v>
      </c>
      <c r="AC25" s="21" t="s">
        <v>272</v>
      </c>
      <c r="AD25" s="20" t="s">
        <v>538</v>
      </c>
      <c r="AE25" t="s">
        <v>322</v>
      </c>
      <c r="AF25" t="s">
        <v>326</v>
      </c>
      <c r="AG25" t="s">
        <v>228</v>
      </c>
      <c r="AH25" t="s">
        <v>239</v>
      </c>
      <c r="AI25" t="s">
        <v>51</v>
      </c>
      <c r="AJ25" t="s">
        <v>240</v>
      </c>
      <c r="AK25" t="s">
        <v>1</v>
      </c>
      <c r="AL25" s="20" t="s">
        <v>834</v>
      </c>
      <c r="AM25" s="20" t="s">
        <v>240</v>
      </c>
      <c r="AN25" s="20" t="s">
        <v>606</v>
      </c>
      <c r="AO25" s="20" t="s">
        <v>835</v>
      </c>
      <c r="AP25" s="20" t="s">
        <v>835</v>
      </c>
      <c r="AQ25" s="22" t="s">
        <v>836</v>
      </c>
      <c r="AR25" s="22" t="s">
        <v>837</v>
      </c>
      <c r="AS25" s="20" t="s">
        <v>838</v>
      </c>
      <c r="AT25" s="20" t="s">
        <v>839</v>
      </c>
      <c r="AU25" s="20">
        <f>LEN(SUBSTITUTE(AT25, ", "," "))</f>
        <v>29</v>
      </c>
      <c r="AV25" s="22" t="s">
        <v>840</v>
      </c>
      <c r="AW25" s="22" t="s">
        <v>840</v>
      </c>
      <c r="AX25" s="22" t="s">
        <v>685</v>
      </c>
      <c r="AY25" s="22" t="s">
        <v>685</v>
      </c>
      <c r="AZ25" s="22" t="s">
        <v>841</v>
      </c>
      <c r="BA25" s="22" t="s">
        <v>841</v>
      </c>
      <c r="BB25" s="22" t="s">
        <v>842</v>
      </c>
      <c r="BC25" s="20"/>
      <c r="BD25" s="20"/>
      <c r="BE25" s="20"/>
      <c r="BF25" s="20"/>
      <c r="BG25" s="20"/>
      <c r="BH25" s="20"/>
      <c r="BI25" s="20"/>
      <c r="BJ25" s="22" t="s">
        <v>843</v>
      </c>
      <c r="BK25" s="22" t="s">
        <v>844</v>
      </c>
      <c r="BL25" s="20"/>
      <c r="BM25" s="22" t="s">
        <v>845</v>
      </c>
      <c r="BN25" s="22" t="s">
        <v>845</v>
      </c>
      <c r="BO25" s="20"/>
      <c r="BP25" s="20"/>
      <c r="BQ25" s="20"/>
      <c r="BR25" s="22" t="s">
        <v>842</v>
      </c>
      <c r="BS25" s="20"/>
      <c r="BT25" s="22" t="s">
        <v>617</v>
      </c>
      <c r="BU25" s="22" t="s">
        <v>618</v>
      </c>
      <c r="BV25" s="20"/>
      <c r="BW25" s="20"/>
      <c r="BX25" s="20"/>
      <c r="BY25" s="20" t="s">
        <v>846</v>
      </c>
      <c r="BZ25" s="20"/>
      <c r="CA25" s="20"/>
      <c r="CB25" s="20"/>
      <c r="CC25" s="20"/>
      <c r="CD25" s="20"/>
      <c r="CE25" s="20"/>
      <c r="CF25"/>
      <c r="CG25" s="1" t="s">
        <v>1158</v>
      </c>
    </row>
    <row r="26" spans="1:85" ht="12" customHeight="1" x14ac:dyDescent="0.25">
      <c r="A26" s="19" t="s">
        <v>346</v>
      </c>
      <c r="B26" s="19" t="s">
        <v>358</v>
      </c>
      <c r="C26" t="s">
        <v>429</v>
      </c>
      <c r="D26" s="20" t="s">
        <v>466</v>
      </c>
      <c r="E26" t="s">
        <v>429</v>
      </c>
      <c r="F26" s="20" t="s">
        <v>469</v>
      </c>
      <c r="G26" s="19" t="s">
        <v>419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307</v>
      </c>
      <c r="S26" t="s">
        <v>374</v>
      </c>
      <c r="T26" t="s">
        <v>18</v>
      </c>
      <c r="U26" t="s">
        <v>464</v>
      </c>
      <c r="V26" t="s">
        <v>197</v>
      </c>
      <c r="W26" t="s">
        <v>69</v>
      </c>
      <c r="X26" s="20" t="s">
        <v>478</v>
      </c>
      <c r="Y26" t="s">
        <v>343</v>
      </c>
      <c r="Z26" s="20" t="s">
        <v>343</v>
      </c>
      <c r="AA26" s="20" t="s">
        <v>180</v>
      </c>
      <c r="AB26" s="20" t="s">
        <v>343</v>
      </c>
      <c r="AC26" s="21" t="s">
        <v>343</v>
      </c>
      <c r="AD26" s="20" t="s">
        <v>539</v>
      </c>
      <c r="AE26" t="s">
        <v>167</v>
      </c>
      <c r="AF26" t="s">
        <v>461</v>
      </c>
      <c r="AG26" t="s">
        <v>216</v>
      </c>
      <c r="AH26" t="s">
        <v>216</v>
      </c>
      <c r="AI26" t="s">
        <v>128</v>
      </c>
      <c r="AJ26" t="s">
        <v>288</v>
      </c>
      <c r="AK26" t="s">
        <v>180</v>
      </c>
      <c r="AL26" s="20" t="s">
        <v>847</v>
      </c>
      <c r="AM26" s="20"/>
      <c r="AN26" s="20"/>
      <c r="AO26" s="20" t="s">
        <v>848</v>
      </c>
      <c r="AP26" s="20" t="s">
        <v>848</v>
      </c>
      <c r="AQ26" s="22" t="s">
        <v>849</v>
      </c>
      <c r="AR26" s="22" t="s">
        <v>850</v>
      </c>
      <c r="AS26" s="20" t="s">
        <v>851</v>
      </c>
      <c r="AT26" s="20" t="s">
        <v>852</v>
      </c>
      <c r="AU26" s="20">
        <f>LEN(SUBSTITUTE(AT26, ", "," "))</f>
        <v>28</v>
      </c>
      <c r="AV26" s="22" t="s">
        <v>853</v>
      </c>
      <c r="AW26" s="22" t="s">
        <v>853</v>
      </c>
      <c r="AX26" s="22" t="s">
        <v>854</v>
      </c>
      <c r="AY26" s="22" t="s">
        <v>854</v>
      </c>
      <c r="AZ26" s="20"/>
      <c r="BA26" s="20"/>
      <c r="BB26" s="22" t="s">
        <v>855</v>
      </c>
      <c r="BC26" s="22" t="s">
        <v>856</v>
      </c>
      <c r="BD26" s="22" t="s">
        <v>857</v>
      </c>
      <c r="BE26" s="20"/>
      <c r="BF26" s="22" t="s">
        <v>858</v>
      </c>
      <c r="BG26" s="22" t="s">
        <v>859</v>
      </c>
      <c r="BH26" s="20"/>
      <c r="BI26" s="20"/>
      <c r="BJ26" s="20"/>
      <c r="BK26" s="20"/>
      <c r="BL26" s="20"/>
      <c r="BM26" s="22" t="s">
        <v>860</v>
      </c>
      <c r="BN26" s="22" t="s">
        <v>860</v>
      </c>
      <c r="BO26" s="20"/>
      <c r="BP26" s="20"/>
      <c r="BQ26" s="20"/>
      <c r="BR26" s="22" t="s">
        <v>861</v>
      </c>
      <c r="BS26" s="22" t="s">
        <v>862</v>
      </c>
      <c r="BT26" s="22" t="s">
        <v>617</v>
      </c>
      <c r="BU26" s="22" t="s">
        <v>750</v>
      </c>
      <c r="BV26" s="20"/>
      <c r="BW26" s="20"/>
      <c r="BX26" s="20"/>
      <c r="BY26" s="20" t="s">
        <v>863</v>
      </c>
      <c r="BZ26" s="20"/>
      <c r="CA26" s="20"/>
      <c r="CB26" s="20"/>
      <c r="CC26" s="20"/>
      <c r="CD26" s="20"/>
      <c r="CE26" s="20"/>
      <c r="CF26"/>
      <c r="CG26" s="1" t="s">
        <v>1158</v>
      </c>
    </row>
    <row r="27" spans="1:85" ht="12" customHeight="1" x14ac:dyDescent="0.25">
      <c r="A27" s="19" t="s">
        <v>346</v>
      </c>
      <c r="B27" s="19" t="s">
        <v>358</v>
      </c>
      <c r="C27" t="s">
        <v>429</v>
      </c>
      <c r="D27" s="20" t="s">
        <v>466</v>
      </c>
      <c r="E27" t="s">
        <v>429</v>
      </c>
      <c r="F27" s="20" t="s">
        <v>469</v>
      </c>
      <c r="G27" s="19" t="s">
        <v>419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352</v>
      </c>
      <c r="S27" t="s">
        <v>29</v>
      </c>
      <c r="T27" t="s">
        <v>373</v>
      </c>
      <c r="U27" t="s">
        <v>142</v>
      </c>
      <c r="V27" t="s">
        <v>382</v>
      </c>
      <c r="W27" t="s">
        <v>288</v>
      </c>
      <c r="X27" s="20" t="s">
        <v>479</v>
      </c>
      <c r="Y27" t="s">
        <v>142</v>
      </c>
      <c r="Z27" s="20" t="s">
        <v>142</v>
      </c>
      <c r="AA27" s="20" t="s">
        <v>540</v>
      </c>
      <c r="AB27" s="20" t="s">
        <v>142</v>
      </c>
      <c r="AC27" s="21" t="s">
        <v>142</v>
      </c>
      <c r="AD27" s="20" t="s">
        <v>541</v>
      </c>
      <c r="AE27" t="s">
        <v>206</v>
      </c>
      <c r="AF27" t="s">
        <v>408</v>
      </c>
      <c r="AG27" t="s">
        <v>149</v>
      </c>
      <c r="AH27" t="s">
        <v>362</v>
      </c>
      <c r="AI27" t="s">
        <v>31</v>
      </c>
      <c r="AJ27" t="s">
        <v>218</v>
      </c>
      <c r="AK27" t="s">
        <v>287</v>
      </c>
      <c r="AL27" s="20" t="s">
        <v>864</v>
      </c>
      <c r="AM27" s="20" t="s">
        <v>218</v>
      </c>
      <c r="AN27" s="20" t="s">
        <v>865</v>
      </c>
      <c r="AO27" s="20" t="s">
        <v>866</v>
      </c>
      <c r="AP27" s="20" t="s">
        <v>866</v>
      </c>
      <c r="AQ27" s="22" t="s">
        <v>867</v>
      </c>
      <c r="AR27" s="22" t="s">
        <v>868</v>
      </c>
      <c r="AS27" s="20" t="s">
        <v>869</v>
      </c>
      <c r="AT27" s="20" t="s">
        <v>870</v>
      </c>
      <c r="AU27" s="20">
        <f>LEN(SUBSTITUTE(AT27, ", "," "))</f>
        <v>29</v>
      </c>
      <c r="AV27" s="22" t="s">
        <v>871</v>
      </c>
      <c r="AW27" s="22" t="s">
        <v>871</v>
      </c>
      <c r="AX27" s="22" t="s">
        <v>740</v>
      </c>
      <c r="AY27" s="22" t="s">
        <v>741</v>
      </c>
      <c r="AZ27" s="22" t="s">
        <v>872</v>
      </c>
      <c r="BA27" s="22" t="s">
        <v>872</v>
      </c>
      <c r="BB27" s="22" t="s">
        <v>873</v>
      </c>
      <c r="BC27" s="22" t="s">
        <v>874</v>
      </c>
      <c r="BD27" s="22" t="s">
        <v>874</v>
      </c>
      <c r="BE27" s="20"/>
      <c r="BF27" s="22" t="s">
        <v>875</v>
      </c>
      <c r="BG27" s="22" t="s">
        <v>876</v>
      </c>
      <c r="BH27" s="20"/>
      <c r="BI27" s="20"/>
      <c r="BJ27" s="20"/>
      <c r="BK27" s="20"/>
      <c r="BL27" s="20"/>
      <c r="BM27" s="22" t="s">
        <v>860</v>
      </c>
      <c r="BN27" s="22" t="s">
        <v>860</v>
      </c>
      <c r="BO27" s="22" t="s">
        <v>877</v>
      </c>
      <c r="BP27" s="22" t="s">
        <v>877</v>
      </c>
      <c r="BQ27" s="20"/>
      <c r="BR27" s="22" t="s">
        <v>878</v>
      </c>
      <c r="BS27" s="22" t="s">
        <v>879</v>
      </c>
      <c r="BT27" s="20"/>
      <c r="BU27" s="20"/>
      <c r="BV27" s="20"/>
      <c r="BW27" s="20"/>
      <c r="BX27" s="20"/>
      <c r="BY27" s="20" t="s">
        <v>880</v>
      </c>
      <c r="BZ27" s="20"/>
      <c r="CA27" s="20"/>
      <c r="CB27" s="20"/>
      <c r="CC27" s="20"/>
      <c r="CD27" s="20"/>
      <c r="CE27" s="20"/>
      <c r="CF27"/>
      <c r="CG27" s="1" t="s">
        <v>1158</v>
      </c>
    </row>
    <row r="28" spans="1:85" ht="12" customHeight="1" x14ac:dyDescent="0.25">
      <c r="A28" s="19" t="s">
        <v>346</v>
      </c>
      <c r="B28" s="19" t="s">
        <v>358</v>
      </c>
      <c r="C28" t="s">
        <v>429</v>
      </c>
      <c r="D28" s="20" t="s">
        <v>466</v>
      </c>
      <c r="E28" t="s">
        <v>429</v>
      </c>
      <c r="F28" s="20" t="s">
        <v>469</v>
      </c>
      <c r="G28" s="19" t="s">
        <v>419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130</v>
      </c>
      <c r="S28" t="s">
        <v>374</v>
      </c>
      <c r="T28" t="s">
        <v>18</v>
      </c>
      <c r="U28" t="s">
        <v>277</v>
      </c>
      <c r="V28" t="s">
        <v>16</v>
      </c>
      <c r="W28" t="s">
        <v>288</v>
      </c>
      <c r="X28" s="20" t="s">
        <v>480</v>
      </c>
      <c r="Y28" t="s">
        <v>238</v>
      </c>
      <c r="Z28" s="20" t="s">
        <v>238</v>
      </c>
      <c r="AA28" s="20" t="s">
        <v>542</v>
      </c>
      <c r="AB28" s="20" t="s">
        <v>238</v>
      </c>
      <c r="AC28" s="21" t="s">
        <v>238</v>
      </c>
      <c r="AD28" s="20" t="s">
        <v>543</v>
      </c>
      <c r="AE28" t="s">
        <v>404</v>
      </c>
      <c r="AF28" t="s">
        <v>305</v>
      </c>
      <c r="AG28" t="s">
        <v>338</v>
      </c>
      <c r="AH28" t="s">
        <v>456</v>
      </c>
      <c r="AI28" t="s">
        <v>371</v>
      </c>
      <c r="AJ28" t="s">
        <v>8</v>
      </c>
      <c r="AK28" t="s">
        <v>95</v>
      </c>
      <c r="AL28" s="20" t="s">
        <v>881</v>
      </c>
      <c r="AM28" s="20" t="s">
        <v>8</v>
      </c>
      <c r="AN28" s="20" t="s">
        <v>882</v>
      </c>
      <c r="AO28" s="20" t="s">
        <v>883</v>
      </c>
      <c r="AP28" s="20" t="s">
        <v>883</v>
      </c>
      <c r="AQ28" s="22" t="s">
        <v>884</v>
      </c>
      <c r="AR28" s="22" t="s">
        <v>885</v>
      </c>
      <c r="AS28" s="20" t="s">
        <v>886</v>
      </c>
      <c r="AT28" s="20" t="s">
        <v>887</v>
      </c>
      <c r="AU28" s="20">
        <f>LEN(SUBSTITUTE(AT28, ", "," "))</f>
        <v>26</v>
      </c>
      <c r="AV28" s="22" t="s">
        <v>888</v>
      </c>
      <c r="AW28" s="22" t="s">
        <v>888</v>
      </c>
      <c r="AX28" s="22" t="s">
        <v>889</v>
      </c>
      <c r="AY28" s="22" t="s">
        <v>889</v>
      </c>
      <c r="AZ28" s="22" t="s">
        <v>95</v>
      </c>
      <c r="BA28" s="22" t="s">
        <v>95</v>
      </c>
      <c r="BB28" s="22" t="s">
        <v>890</v>
      </c>
      <c r="BC28" s="20"/>
      <c r="BD28" s="20"/>
      <c r="BE28" s="20"/>
      <c r="BF28" s="22" t="s">
        <v>891</v>
      </c>
      <c r="BG28" s="22" t="s">
        <v>892</v>
      </c>
      <c r="BH28" s="20"/>
      <c r="BI28" s="20"/>
      <c r="BJ28" s="20"/>
      <c r="BK28" s="20"/>
      <c r="BL28" s="20"/>
      <c r="BM28" s="22" t="s">
        <v>893</v>
      </c>
      <c r="BN28" s="22" t="s">
        <v>893</v>
      </c>
      <c r="BO28" s="20"/>
      <c r="BP28" s="20"/>
      <c r="BQ28" s="20"/>
      <c r="BR28" s="22" t="s">
        <v>894</v>
      </c>
      <c r="BS28" s="22" t="s">
        <v>895</v>
      </c>
      <c r="BT28" s="22" t="s">
        <v>617</v>
      </c>
      <c r="BU28" s="22" t="s">
        <v>618</v>
      </c>
      <c r="BV28" s="22" t="s">
        <v>649</v>
      </c>
      <c r="BW28" s="20"/>
      <c r="BX28" s="22" t="s">
        <v>896</v>
      </c>
      <c r="BY28" s="20" t="s">
        <v>897</v>
      </c>
      <c r="BZ28" s="20"/>
      <c r="CA28" s="20"/>
      <c r="CB28" s="20"/>
      <c r="CC28" s="20"/>
      <c r="CD28" s="20"/>
      <c r="CE28" s="20"/>
      <c r="CF28"/>
      <c r="CG28" s="1" t="s">
        <v>1158</v>
      </c>
    </row>
    <row r="29" spans="1:85" ht="12" customHeight="1" x14ac:dyDescent="0.25">
      <c r="A29" s="19" t="s">
        <v>346</v>
      </c>
      <c r="B29" s="19" t="s">
        <v>358</v>
      </c>
      <c r="C29" t="s">
        <v>429</v>
      </c>
      <c r="D29" s="20" t="s">
        <v>466</v>
      </c>
      <c r="E29" t="s">
        <v>429</v>
      </c>
      <c r="F29" s="20" t="s">
        <v>469</v>
      </c>
      <c r="G29" s="19" t="s">
        <v>419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400</v>
      </c>
      <c r="S29" t="s">
        <v>450</v>
      </c>
      <c r="T29" t="s">
        <v>4</v>
      </c>
      <c r="U29" t="s">
        <v>60</v>
      </c>
      <c r="V29" t="s">
        <v>82</v>
      </c>
      <c r="W29" t="s">
        <v>288</v>
      </c>
      <c r="X29" s="20" t="s">
        <v>481</v>
      </c>
      <c r="Y29" t="s">
        <v>60</v>
      </c>
      <c r="Z29" s="20" t="s">
        <v>60</v>
      </c>
      <c r="AA29" s="20" t="s">
        <v>544</v>
      </c>
      <c r="AB29" s="20" t="s">
        <v>60</v>
      </c>
      <c r="AC29" s="21" t="s">
        <v>60</v>
      </c>
      <c r="AD29" s="20" t="s">
        <v>545</v>
      </c>
      <c r="AE29" t="s">
        <v>220</v>
      </c>
      <c r="AF29" t="s">
        <v>58</v>
      </c>
      <c r="AG29" t="s">
        <v>431</v>
      </c>
      <c r="AH29" t="s">
        <v>226</v>
      </c>
      <c r="AI29" t="s">
        <v>436</v>
      </c>
      <c r="AJ29" t="s">
        <v>336</v>
      </c>
      <c r="AK29" t="s">
        <v>288</v>
      </c>
      <c r="AL29" s="20" t="s">
        <v>898</v>
      </c>
      <c r="AM29" s="20" t="s">
        <v>336</v>
      </c>
      <c r="AN29" s="20" t="s">
        <v>899</v>
      </c>
      <c r="AO29" s="20" t="s">
        <v>900</v>
      </c>
      <c r="AP29" s="20" t="s">
        <v>900</v>
      </c>
      <c r="AQ29" s="22" t="s">
        <v>901</v>
      </c>
      <c r="AR29" s="22" t="s">
        <v>902</v>
      </c>
      <c r="AS29" s="20" t="s">
        <v>903</v>
      </c>
      <c r="AT29" s="20" t="s">
        <v>904</v>
      </c>
      <c r="AU29" s="20">
        <f>LEN(SUBSTITUTE(AT29, ", "," "))</f>
        <v>26</v>
      </c>
      <c r="AV29" s="22" t="s">
        <v>905</v>
      </c>
      <c r="AW29" s="22" t="s">
        <v>905</v>
      </c>
      <c r="AX29" s="22" t="s">
        <v>906</v>
      </c>
      <c r="AY29" s="22" t="s">
        <v>906</v>
      </c>
      <c r="AZ29" s="22" t="s">
        <v>907</v>
      </c>
      <c r="BA29" s="22" t="s">
        <v>907</v>
      </c>
      <c r="BB29" s="22" t="s">
        <v>908</v>
      </c>
      <c r="BC29" s="20"/>
      <c r="BD29" s="20"/>
      <c r="BE29" s="20"/>
      <c r="BF29" s="22" t="s">
        <v>909</v>
      </c>
      <c r="BG29" s="22" t="s">
        <v>910</v>
      </c>
      <c r="BH29" s="20"/>
      <c r="BI29" s="20"/>
      <c r="BJ29" s="20"/>
      <c r="BK29" s="20"/>
      <c r="BL29" s="20"/>
      <c r="BM29" s="22" t="s">
        <v>911</v>
      </c>
      <c r="BN29" s="22" t="s">
        <v>911</v>
      </c>
      <c r="BO29" s="20"/>
      <c r="BP29" s="20"/>
      <c r="BQ29" s="20"/>
      <c r="BR29" s="22" t="s">
        <v>912</v>
      </c>
      <c r="BS29" s="22" t="s">
        <v>913</v>
      </c>
      <c r="BT29" s="20" t="s">
        <v>617</v>
      </c>
      <c r="BU29" s="20" t="s">
        <v>618</v>
      </c>
      <c r="BV29" s="20"/>
      <c r="BW29" s="20"/>
      <c r="BX29" s="20"/>
      <c r="BY29" s="20" t="s">
        <v>914</v>
      </c>
      <c r="BZ29" s="20"/>
      <c r="CA29" s="20"/>
      <c r="CB29" s="20"/>
      <c r="CC29" s="20"/>
      <c r="CD29" s="20"/>
      <c r="CE29" s="20"/>
      <c r="CF29"/>
      <c r="CG29" s="1" t="s">
        <v>1158</v>
      </c>
    </row>
    <row r="30" spans="1:85" ht="12" customHeight="1" x14ac:dyDescent="0.25">
      <c r="A30" s="19" t="s">
        <v>346</v>
      </c>
      <c r="B30" s="19" t="s">
        <v>358</v>
      </c>
      <c r="C30" t="s">
        <v>429</v>
      </c>
      <c r="D30" s="20" t="s">
        <v>466</v>
      </c>
      <c r="E30" t="s">
        <v>429</v>
      </c>
      <c r="F30" s="20" t="s">
        <v>469</v>
      </c>
      <c r="G30" s="19" t="s">
        <v>419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457</v>
      </c>
      <c r="S30" t="s">
        <v>256</v>
      </c>
      <c r="T30" t="s">
        <v>214</v>
      </c>
      <c r="U30" t="s">
        <v>402</v>
      </c>
      <c r="V30" t="s">
        <v>214</v>
      </c>
      <c r="W30" t="s">
        <v>442</v>
      </c>
      <c r="X30" s="20" t="s">
        <v>472</v>
      </c>
      <c r="Y30" t="s">
        <v>402</v>
      </c>
      <c r="Z30" s="20" t="s">
        <v>402</v>
      </c>
      <c r="AA30" s="20" t="s">
        <v>493</v>
      </c>
      <c r="AB30" s="20" t="s">
        <v>402</v>
      </c>
      <c r="AC30" s="21" t="s">
        <v>546</v>
      </c>
      <c r="AD30" s="20" t="s">
        <v>547</v>
      </c>
      <c r="AE30" t="s">
        <v>89</v>
      </c>
      <c r="AF30" t="s">
        <v>236</v>
      </c>
      <c r="AG30" t="s">
        <v>70</v>
      </c>
      <c r="AH30" t="s">
        <v>70</v>
      </c>
      <c r="AI30" t="s">
        <v>159</v>
      </c>
      <c r="AJ30" t="s">
        <v>288</v>
      </c>
      <c r="AK30" t="s">
        <v>55</v>
      </c>
      <c r="AL30" s="20" t="s">
        <v>634</v>
      </c>
      <c r="AM30" s="20"/>
      <c r="AN30" s="20"/>
      <c r="AO30" s="20" t="s">
        <v>915</v>
      </c>
      <c r="AP30" s="20" t="s">
        <v>915</v>
      </c>
      <c r="AQ30" s="22" t="s">
        <v>916</v>
      </c>
      <c r="AR30" s="22" t="s">
        <v>917</v>
      </c>
      <c r="AS30" s="20" t="s">
        <v>918</v>
      </c>
      <c r="AT30" s="20" t="s">
        <v>919</v>
      </c>
      <c r="AU30" s="20">
        <f>LEN(SUBSTITUTE(AT30, ", "," "))</f>
        <v>28</v>
      </c>
      <c r="AV30" s="22" t="s">
        <v>640</v>
      </c>
      <c r="AW30" s="22" t="s">
        <v>640</v>
      </c>
      <c r="AX30" s="22" t="s">
        <v>641</v>
      </c>
      <c r="AY30" s="22" t="s">
        <v>641</v>
      </c>
      <c r="AZ30" s="22" t="s">
        <v>55</v>
      </c>
      <c r="BA30" s="22" t="s">
        <v>55</v>
      </c>
      <c r="BB30" s="22" t="s">
        <v>642</v>
      </c>
      <c r="BC30" s="20"/>
      <c r="BD30" s="20"/>
      <c r="BE30" s="20"/>
      <c r="BF30" s="22" t="s">
        <v>920</v>
      </c>
      <c r="BG30" s="22" t="s">
        <v>921</v>
      </c>
      <c r="BH30" s="20"/>
      <c r="BI30" s="20"/>
      <c r="BJ30" s="20"/>
      <c r="BK30" s="20"/>
      <c r="BL30" s="20"/>
      <c r="BM30" s="22" t="s">
        <v>645</v>
      </c>
      <c r="BN30" s="22" t="s">
        <v>645</v>
      </c>
      <c r="BO30" s="22" t="s">
        <v>646</v>
      </c>
      <c r="BP30" s="22" t="s">
        <v>646</v>
      </c>
      <c r="BQ30" s="20"/>
      <c r="BR30" s="22" t="s">
        <v>647</v>
      </c>
      <c r="BS30" s="22" t="s">
        <v>648</v>
      </c>
      <c r="BT30" s="22" t="s">
        <v>617</v>
      </c>
      <c r="BU30" s="20"/>
      <c r="BV30" s="22" t="s">
        <v>649</v>
      </c>
      <c r="BW30" s="20"/>
      <c r="BX30" s="20"/>
      <c r="BY30" s="20" t="s">
        <v>650</v>
      </c>
      <c r="BZ30" s="20"/>
      <c r="CA30" s="20"/>
      <c r="CB30" s="20"/>
      <c r="CC30" s="20"/>
      <c r="CD30" s="20"/>
      <c r="CE30" s="20"/>
      <c r="CF30"/>
      <c r="CG30" s="1" t="s">
        <v>1158</v>
      </c>
    </row>
    <row r="31" spans="1:85" ht="12" customHeight="1" x14ac:dyDescent="0.25">
      <c r="A31" s="19" t="s">
        <v>346</v>
      </c>
      <c r="B31" s="19" t="s">
        <v>358</v>
      </c>
      <c r="C31" t="s">
        <v>429</v>
      </c>
      <c r="D31" s="20" t="s">
        <v>466</v>
      </c>
      <c r="E31" t="s">
        <v>429</v>
      </c>
      <c r="F31" s="20" t="s">
        <v>469</v>
      </c>
      <c r="G31" s="19" t="s">
        <v>419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399</v>
      </c>
      <c r="S31" t="s">
        <v>256</v>
      </c>
      <c r="T31" t="s">
        <v>214</v>
      </c>
      <c r="U31" t="s">
        <v>183</v>
      </c>
      <c r="V31" t="s">
        <v>214</v>
      </c>
      <c r="W31" t="s">
        <v>442</v>
      </c>
      <c r="X31" s="20" t="s">
        <v>472</v>
      </c>
      <c r="Y31" t="s">
        <v>183</v>
      </c>
      <c r="Z31" s="20" t="s">
        <v>183</v>
      </c>
      <c r="AA31" s="20" t="s">
        <v>493</v>
      </c>
      <c r="AB31" s="20" t="s">
        <v>183</v>
      </c>
      <c r="AC31" s="21" t="s">
        <v>548</v>
      </c>
      <c r="AD31" s="20" t="s">
        <v>549</v>
      </c>
      <c r="AE31" t="s">
        <v>100</v>
      </c>
      <c r="AF31" t="s">
        <v>420</v>
      </c>
      <c r="AG31" t="s">
        <v>40</v>
      </c>
      <c r="AH31" t="s">
        <v>40</v>
      </c>
      <c r="AI31" t="s">
        <v>159</v>
      </c>
      <c r="AJ31" t="s">
        <v>288</v>
      </c>
      <c r="AK31" t="s">
        <v>55</v>
      </c>
      <c r="AL31" s="20" t="s">
        <v>634</v>
      </c>
      <c r="AM31" s="20"/>
      <c r="AN31" s="20"/>
      <c r="AO31" s="20" t="s">
        <v>922</v>
      </c>
      <c r="AP31" s="20" t="s">
        <v>922</v>
      </c>
      <c r="AQ31" s="22" t="s">
        <v>923</v>
      </c>
      <c r="AR31" s="22" t="s">
        <v>924</v>
      </c>
      <c r="AS31" s="20" t="s">
        <v>925</v>
      </c>
      <c r="AT31" s="20" t="s">
        <v>926</v>
      </c>
      <c r="AU31" s="20">
        <f>LEN(SUBSTITUTE(AT31, ", "," "))</f>
        <v>29</v>
      </c>
      <c r="AV31" s="22" t="s">
        <v>640</v>
      </c>
      <c r="AW31" s="22" t="s">
        <v>640</v>
      </c>
      <c r="AX31" s="22" t="s">
        <v>641</v>
      </c>
      <c r="AY31" s="22" t="s">
        <v>641</v>
      </c>
      <c r="AZ31" s="22" t="s">
        <v>55</v>
      </c>
      <c r="BA31" s="22" t="s">
        <v>55</v>
      </c>
      <c r="BB31" s="22" t="s">
        <v>642</v>
      </c>
      <c r="BC31" s="20"/>
      <c r="BD31" s="20"/>
      <c r="BE31" s="20"/>
      <c r="BF31" s="22" t="s">
        <v>927</v>
      </c>
      <c r="BG31" s="22" t="s">
        <v>928</v>
      </c>
      <c r="BH31" s="20"/>
      <c r="BI31" s="20"/>
      <c r="BJ31" s="20"/>
      <c r="BK31" s="20"/>
      <c r="BL31" s="20"/>
      <c r="BM31" s="22" t="s">
        <v>645</v>
      </c>
      <c r="BN31" s="22" t="s">
        <v>645</v>
      </c>
      <c r="BO31" s="22" t="s">
        <v>646</v>
      </c>
      <c r="BP31" s="22" t="s">
        <v>646</v>
      </c>
      <c r="BQ31" s="20"/>
      <c r="BR31" s="22" t="s">
        <v>647</v>
      </c>
      <c r="BS31" s="22" t="s">
        <v>648</v>
      </c>
      <c r="BT31" s="22" t="s">
        <v>617</v>
      </c>
      <c r="BU31" s="20"/>
      <c r="BV31" s="22" t="s">
        <v>649</v>
      </c>
      <c r="BW31" s="20"/>
      <c r="BX31" s="20"/>
      <c r="BY31" s="20" t="s">
        <v>650</v>
      </c>
      <c r="BZ31" s="20"/>
      <c r="CA31" s="20"/>
      <c r="CB31" s="20"/>
      <c r="CC31" s="20"/>
      <c r="CD31" s="20"/>
      <c r="CE31" s="20"/>
      <c r="CF31"/>
      <c r="CG31" s="1" t="s">
        <v>1158</v>
      </c>
    </row>
    <row r="32" spans="1:85" ht="12" customHeight="1" x14ac:dyDescent="0.25">
      <c r="A32" s="19" t="s">
        <v>346</v>
      </c>
      <c r="B32" s="19" t="s">
        <v>358</v>
      </c>
      <c r="C32" t="s">
        <v>429</v>
      </c>
      <c r="D32" s="20" t="s">
        <v>466</v>
      </c>
      <c r="E32" t="s">
        <v>429</v>
      </c>
      <c r="F32" s="20" t="s">
        <v>469</v>
      </c>
      <c r="G32" s="19" t="s">
        <v>419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85</v>
      </c>
      <c r="S32" t="s">
        <v>279</v>
      </c>
      <c r="T32" t="s">
        <v>396</v>
      </c>
      <c r="U32" t="s">
        <v>403</v>
      </c>
      <c r="V32" t="s">
        <v>227</v>
      </c>
      <c r="W32" t="s">
        <v>28</v>
      </c>
      <c r="X32" s="20" t="s">
        <v>482</v>
      </c>
      <c r="Y32" t="s">
        <v>403</v>
      </c>
      <c r="Z32" s="20" t="s">
        <v>403</v>
      </c>
      <c r="AA32" s="20" t="s">
        <v>550</v>
      </c>
      <c r="AB32" s="20" t="s">
        <v>403</v>
      </c>
      <c r="AC32" s="21" t="s">
        <v>403</v>
      </c>
      <c r="AD32" s="20" t="s">
        <v>551</v>
      </c>
      <c r="AE32" t="s">
        <v>300</v>
      </c>
      <c r="AF32" t="s">
        <v>257</v>
      </c>
      <c r="AG32" t="s">
        <v>288</v>
      </c>
      <c r="AH32" t="s">
        <v>288</v>
      </c>
      <c r="AI32" t="s">
        <v>288</v>
      </c>
      <c r="AJ32" t="s">
        <v>288</v>
      </c>
      <c r="AK32" t="s">
        <v>288</v>
      </c>
      <c r="AL32" s="20" t="s">
        <v>929</v>
      </c>
      <c r="AM32" s="20"/>
      <c r="AN32" s="20"/>
      <c r="AO32" s="20" t="s">
        <v>930</v>
      </c>
      <c r="AP32" s="20" t="s">
        <v>930</v>
      </c>
      <c r="AQ32" s="22" t="s">
        <v>931</v>
      </c>
      <c r="AR32" s="22" t="s">
        <v>932</v>
      </c>
      <c r="AS32" s="20" t="s">
        <v>933</v>
      </c>
      <c r="AT32" s="20" t="s">
        <v>934</v>
      </c>
      <c r="AU32" s="20">
        <f>LEN(SUBSTITUTE(AT32, ", "," "))</f>
        <v>27</v>
      </c>
      <c r="AV32" s="22" t="s">
        <v>935</v>
      </c>
      <c r="AW32" s="22" t="s">
        <v>935</v>
      </c>
      <c r="AX32" s="22" t="s">
        <v>936</v>
      </c>
      <c r="AY32" s="22" t="s">
        <v>936</v>
      </c>
      <c r="AZ32" s="22" t="s">
        <v>937</v>
      </c>
      <c r="BA32" s="22" t="s">
        <v>937</v>
      </c>
      <c r="BB32" s="20"/>
      <c r="BC32" s="20"/>
      <c r="BD32" s="20"/>
      <c r="BE32" s="20"/>
      <c r="BF32" s="22" t="s">
        <v>938</v>
      </c>
      <c r="BG32" s="22" t="s">
        <v>939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2" t="s">
        <v>940</v>
      </c>
      <c r="BS32" s="22" t="s">
        <v>940</v>
      </c>
      <c r="BT32" s="20"/>
      <c r="BU32" s="20"/>
      <c r="BV32" s="20"/>
      <c r="BW32" s="20"/>
      <c r="BX32" s="20"/>
      <c r="BY32" s="20" t="s">
        <v>941</v>
      </c>
      <c r="BZ32" s="20"/>
      <c r="CA32" s="20"/>
      <c r="CB32" s="20"/>
      <c r="CC32" s="20"/>
      <c r="CD32" s="20"/>
      <c r="CE32" s="20"/>
      <c r="CF32"/>
      <c r="CG32" s="1" t="s">
        <v>1158</v>
      </c>
    </row>
    <row r="33" spans="1:85" ht="12" customHeight="1" x14ac:dyDescent="0.25">
      <c r="A33" s="19" t="s">
        <v>346</v>
      </c>
      <c r="B33" s="19" t="s">
        <v>358</v>
      </c>
      <c r="C33" t="s">
        <v>429</v>
      </c>
      <c r="D33" s="20" t="s">
        <v>466</v>
      </c>
      <c r="E33" t="s">
        <v>429</v>
      </c>
      <c r="F33" s="20" t="s">
        <v>469</v>
      </c>
      <c r="G33" s="19" t="s">
        <v>419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92</v>
      </c>
      <c r="S33" t="s">
        <v>374</v>
      </c>
      <c r="T33" t="s">
        <v>18</v>
      </c>
      <c r="U33" t="s">
        <v>207</v>
      </c>
      <c r="V33" t="s">
        <v>432</v>
      </c>
      <c r="W33" t="s">
        <v>288</v>
      </c>
      <c r="X33" s="20" t="s">
        <v>483</v>
      </c>
      <c r="Y33" t="s">
        <v>9</v>
      </c>
      <c r="Z33" s="20" t="s">
        <v>9</v>
      </c>
      <c r="AA33" s="20" t="s">
        <v>552</v>
      </c>
      <c r="AB33" s="20" t="s">
        <v>9</v>
      </c>
      <c r="AC33" s="21" t="s">
        <v>9</v>
      </c>
      <c r="AD33" s="20" t="s">
        <v>553</v>
      </c>
      <c r="AE33" t="s">
        <v>12</v>
      </c>
      <c r="AF33" t="s">
        <v>155</v>
      </c>
      <c r="AG33" t="s">
        <v>303</v>
      </c>
      <c r="AH33" t="s">
        <v>288</v>
      </c>
      <c r="AI33" t="s">
        <v>288</v>
      </c>
      <c r="AJ33" t="s">
        <v>288</v>
      </c>
      <c r="AK33" t="s">
        <v>355</v>
      </c>
      <c r="AL33" s="20" t="s">
        <v>942</v>
      </c>
      <c r="AM33" s="20"/>
      <c r="AN33" s="20"/>
      <c r="AO33" s="20" t="s">
        <v>943</v>
      </c>
      <c r="AP33" s="20" t="s">
        <v>943</v>
      </c>
      <c r="AQ33" s="22" t="s">
        <v>944</v>
      </c>
      <c r="AR33" s="22" t="s">
        <v>945</v>
      </c>
      <c r="AS33" s="20" t="s">
        <v>946</v>
      </c>
      <c r="AT33" s="20" t="s">
        <v>947</v>
      </c>
      <c r="AU33" s="20">
        <f>LEN(SUBSTITUTE(AT33, ", "," "))</f>
        <v>26</v>
      </c>
      <c r="AV33" s="22" t="s">
        <v>948</v>
      </c>
      <c r="AW33" s="22" t="s">
        <v>949</v>
      </c>
      <c r="AX33" s="22" t="s">
        <v>950</v>
      </c>
      <c r="AY33" s="20"/>
      <c r="AZ33" s="22" t="s">
        <v>951</v>
      </c>
      <c r="BA33" s="22" t="s">
        <v>951</v>
      </c>
      <c r="BB33" s="22" t="s">
        <v>952</v>
      </c>
      <c r="BC33" s="20"/>
      <c r="BD33" s="20"/>
      <c r="BE33" s="20"/>
      <c r="BF33" s="22" t="s">
        <v>953</v>
      </c>
      <c r="BG33" s="22" t="s">
        <v>954</v>
      </c>
      <c r="BH33" s="20"/>
      <c r="BI33" s="20"/>
      <c r="BJ33" s="20"/>
      <c r="BK33" s="20"/>
      <c r="BL33" s="20"/>
      <c r="BM33" s="22" t="s">
        <v>955</v>
      </c>
      <c r="BN33" s="22" t="s">
        <v>955</v>
      </c>
      <c r="BO33" s="20"/>
      <c r="BP33" s="20"/>
      <c r="BQ33" s="20"/>
      <c r="BR33" s="22" t="s">
        <v>956</v>
      </c>
      <c r="BS33" s="22" t="s">
        <v>957</v>
      </c>
      <c r="BT33" s="22" t="s">
        <v>617</v>
      </c>
      <c r="BU33" s="22" t="s">
        <v>750</v>
      </c>
      <c r="BV33" s="22" t="s">
        <v>649</v>
      </c>
      <c r="BW33" s="20"/>
      <c r="BX33" s="20"/>
      <c r="BY33" s="20" t="s">
        <v>958</v>
      </c>
      <c r="BZ33" s="20"/>
      <c r="CA33" s="20"/>
      <c r="CB33" s="20"/>
      <c r="CC33" s="20"/>
      <c r="CD33" s="20"/>
      <c r="CE33" s="20"/>
      <c r="CF33"/>
      <c r="CG33" s="1" t="s">
        <v>1158</v>
      </c>
    </row>
    <row r="34" spans="1:85" ht="12" customHeight="1" x14ac:dyDescent="0.25">
      <c r="A34" s="19" t="s">
        <v>346</v>
      </c>
      <c r="B34" s="19" t="s">
        <v>358</v>
      </c>
      <c r="C34" t="s">
        <v>429</v>
      </c>
      <c r="D34" s="20" t="s">
        <v>466</v>
      </c>
      <c r="E34" t="s">
        <v>429</v>
      </c>
      <c r="F34" s="20" t="s">
        <v>469</v>
      </c>
      <c r="G34" s="19" t="s">
        <v>419</v>
      </c>
      <c r="H34"/>
      <c r="I34"/>
      <c r="J34"/>
      <c r="K34"/>
      <c r="L34"/>
      <c r="M34"/>
      <c r="N34"/>
      <c r="O34"/>
      <c r="P34">
        <v>33</v>
      </c>
      <c r="Q34">
        <v>33</v>
      </c>
      <c r="R34" t="s">
        <v>430</v>
      </c>
      <c r="S34" t="s">
        <v>374</v>
      </c>
      <c r="T34" t="s">
        <v>18</v>
      </c>
      <c r="U34" t="s">
        <v>320</v>
      </c>
      <c r="V34" t="s">
        <v>432</v>
      </c>
      <c r="W34" t="s">
        <v>288</v>
      </c>
      <c r="X34" s="20" t="s">
        <v>483</v>
      </c>
      <c r="Y34" t="s">
        <v>267</v>
      </c>
      <c r="Z34" s="20" t="s">
        <v>267</v>
      </c>
      <c r="AA34" s="20" t="s">
        <v>552</v>
      </c>
      <c r="AB34" s="20" t="s">
        <v>267</v>
      </c>
      <c r="AC34" s="21" t="s">
        <v>267</v>
      </c>
      <c r="AD34" s="20" t="s">
        <v>554</v>
      </c>
      <c r="AE34" t="s">
        <v>175</v>
      </c>
      <c r="AF34" t="s">
        <v>260</v>
      </c>
      <c r="AG34" t="s">
        <v>308</v>
      </c>
      <c r="AH34" t="s">
        <v>308</v>
      </c>
      <c r="AI34" t="s">
        <v>38</v>
      </c>
      <c r="AJ34" t="s">
        <v>453</v>
      </c>
      <c r="AK34" t="s">
        <v>75</v>
      </c>
      <c r="AL34" s="20" t="s">
        <v>959</v>
      </c>
      <c r="AM34" s="20"/>
      <c r="AN34" s="20"/>
      <c r="AO34" s="20" t="s">
        <v>960</v>
      </c>
      <c r="AP34" s="20" t="s">
        <v>960</v>
      </c>
      <c r="AQ34" s="22" t="s">
        <v>961</v>
      </c>
      <c r="AR34" s="22" t="s">
        <v>962</v>
      </c>
      <c r="AS34" s="20" t="s">
        <v>963</v>
      </c>
      <c r="AT34" s="20" t="s">
        <v>964</v>
      </c>
      <c r="AU34" s="20">
        <f>LEN(SUBSTITUTE(AT34, ", "," "))</f>
        <v>26</v>
      </c>
      <c r="AV34" s="22" t="s">
        <v>965</v>
      </c>
      <c r="AW34" s="22" t="s">
        <v>965</v>
      </c>
      <c r="AX34" s="22" t="s">
        <v>966</v>
      </c>
      <c r="AY34" s="22" t="s">
        <v>966</v>
      </c>
      <c r="AZ34" s="22" t="s">
        <v>75</v>
      </c>
      <c r="BA34" s="22" t="s">
        <v>75</v>
      </c>
      <c r="BB34" s="22" t="s">
        <v>967</v>
      </c>
      <c r="BC34" s="22" t="s">
        <v>968</v>
      </c>
      <c r="BD34" s="22" t="s">
        <v>969</v>
      </c>
      <c r="BE34" s="20"/>
      <c r="BF34" s="22" t="s">
        <v>970</v>
      </c>
      <c r="BG34" s="22" t="s">
        <v>971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2" t="s">
        <v>972</v>
      </c>
      <c r="BS34" s="22" t="s">
        <v>973</v>
      </c>
      <c r="BT34" s="22" t="s">
        <v>617</v>
      </c>
      <c r="BU34" s="22" t="s">
        <v>750</v>
      </c>
      <c r="BV34" s="20"/>
      <c r="BW34" s="20"/>
      <c r="BX34" s="20"/>
      <c r="BY34" s="20" t="s">
        <v>974</v>
      </c>
      <c r="BZ34" s="20"/>
      <c r="CA34" s="20"/>
      <c r="CB34" s="20"/>
      <c r="CC34" s="20"/>
      <c r="CD34" s="20"/>
      <c r="CE34" s="20"/>
      <c r="CF34"/>
      <c r="CG34" s="1" t="s">
        <v>1158</v>
      </c>
    </row>
    <row r="35" spans="1:85" ht="12" customHeight="1" x14ac:dyDescent="0.25">
      <c r="A35" s="19" t="s">
        <v>346</v>
      </c>
      <c r="B35" s="19" t="s">
        <v>358</v>
      </c>
      <c r="C35" t="s">
        <v>429</v>
      </c>
      <c r="D35" s="20" t="s">
        <v>468</v>
      </c>
      <c r="E35" t="s">
        <v>429</v>
      </c>
      <c r="F35" s="20" t="s">
        <v>469</v>
      </c>
      <c r="G35" s="19" t="s">
        <v>419</v>
      </c>
      <c r="H35"/>
      <c r="I35"/>
      <c r="J35"/>
      <c r="K35"/>
      <c r="L35"/>
      <c r="M35"/>
      <c r="N35"/>
      <c r="O35"/>
      <c r="P35">
        <v>34</v>
      </c>
      <c r="Q35">
        <v>34</v>
      </c>
      <c r="R35" t="s">
        <v>253</v>
      </c>
      <c r="S35" t="s">
        <v>45</v>
      </c>
      <c r="T35" t="s">
        <v>315</v>
      </c>
      <c r="U35" t="s">
        <v>124</v>
      </c>
      <c r="V35" t="s">
        <v>315</v>
      </c>
      <c r="W35" t="s">
        <v>276</v>
      </c>
      <c r="X35" s="20" t="s">
        <v>484</v>
      </c>
      <c r="Y35" t="s">
        <v>348</v>
      </c>
      <c r="Z35" s="20" t="s">
        <v>348</v>
      </c>
      <c r="AA35" s="20" t="s">
        <v>555</v>
      </c>
      <c r="AB35" s="20" t="s">
        <v>348</v>
      </c>
      <c r="AC35" s="21" t="s">
        <v>348</v>
      </c>
      <c r="AD35" s="20" t="s">
        <v>556</v>
      </c>
      <c r="AE35" t="s">
        <v>170</v>
      </c>
      <c r="AF35" t="s">
        <v>59</v>
      </c>
      <c r="AG35" t="s">
        <v>242</v>
      </c>
      <c r="AH35" t="s">
        <v>23</v>
      </c>
      <c r="AI35" t="s">
        <v>118</v>
      </c>
      <c r="AJ35" t="s">
        <v>152</v>
      </c>
      <c r="AK35" t="s">
        <v>397</v>
      </c>
      <c r="AL35" s="20" t="s">
        <v>975</v>
      </c>
      <c r="AM35" s="20" t="s">
        <v>976</v>
      </c>
      <c r="AN35" s="20" t="s">
        <v>977</v>
      </c>
      <c r="AO35" s="20" t="s">
        <v>978</v>
      </c>
      <c r="AP35" s="20" t="s">
        <v>978</v>
      </c>
      <c r="AQ35" s="22" t="s">
        <v>979</v>
      </c>
      <c r="AR35" s="22" t="s">
        <v>980</v>
      </c>
      <c r="AS35" s="20" t="s">
        <v>981</v>
      </c>
      <c r="AT35" s="20" t="s">
        <v>982</v>
      </c>
      <c r="AU35" s="20">
        <f>LEN(SUBSTITUTE(AT35, ", "," "))</f>
        <v>27</v>
      </c>
      <c r="AV35" s="22" t="s">
        <v>983</v>
      </c>
      <c r="AW35" s="22" t="s">
        <v>983</v>
      </c>
      <c r="AX35" s="22" t="s">
        <v>984</v>
      </c>
      <c r="AY35" s="22" t="s">
        <v>984</v>
      </c>
      <c r="AZ35" s="22" t="s">
        <v>397</v>
      </c>
      <c r="BA35" s="22" t="s">
        <v>397</v>
      </c>
      <c r="BB35" s="22" t="s">
        <v>985</v>
      </c>
      <c r="BC35" s="22" t="s">
        <v>986</v>
      </c>
      <c r="BD35" s="22" t="s">
        <v>986</v>
      </c>
      <c r="BE35" s="20"/>
      <c r="BF35" s="22" t="s">
        <v>987</v>
      </c>
      <c r="BG35" s="22" t="s">
        <v>988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2" t="s">
        <v>985</v>
      </c>
      <c r="BS35" s="20"/>
      <c r="BT35" s="20" t="s">
        <v>617</v>
      </c>
      <c r="BU35" s="22" t="s">
        <v>618</v>
      </c>
      <c r="BV35" s="20"/>
      <c r="BW35" s="20"/>
      <c r="BX35" s="20"/>
      <c r="BY35" s="20" t="s">
        <v>989</v>
      </c>
      <c r="BZ35" s="20"/>
      <c r="CA35" s="20"/>
      <c r="CB35" s="20"/>
      <c r="CC35" s="20"/>
      <c r="CD35" s="20"/>
      <c r="CE35" s="20"/>
      <c r="CF35"/>
      <c r="CG35" s="1" t="s">
        <v>1158</v>
      </c>
    </row>
    <row r="36" spans="1:85" ht="12" customHeight="1" x14ac:dyDescent="0.25">
      <c r="A36" s="19" t="s">
        <v>346</v>
      </c>
      <c r="B36" s="19" t="s">
        <v>358</v>
      </c>
      <c r="C36" t="s">
        <v>429</v>
      </c>
      <c r="D36" s="20" t="s">
        <v>466</v>
      </c>
      <c r="E36" t="s">
        <v>429</v>
      </c>
      <c r="F36" s="20" t="s">
        <v>469</v>
      </c>
      <c r="G36" s="19" t="s">
        <v>419</v>
      </c>
      <c r="H36"/>
      <c r="I36"/>
      <c r="J36"/>
      <c r="K36"/>
      <c r="L36"/>
      <c r="M36"/>
      <c r="N36"/>
      <c r="O36"/>
      <c r="P36">
        <v>35</v>
      </c>
      <c r="Q36">
        <v>35</v>
      </c>
      <c r="R36" t="s">
        <v>390</v>
      </c>
      <c r="S36" t="s">
        <v>256</v>
      </c>
      <c r="T36" t="s">
        <v>214</v>
      </c>
      <c r="U36" t="s">
        <v>319</v>
      </c>
      <c r="V36" t="s">
        <v>214</v>
      </c>
      <c r="W36" t="s">
        <v>442</v>
      </c>
      <c r="X36" s="20" t="s">
        <v>472</v>
      </c>
      <c r="Y36" t="s">
        <v>319</v>
      </c>
      <c r="Z36" s="20" t="s">
        <v>319</v>
      </c>
      <c r="AA36" s="20" t="s">
        <v>493</v>
      </c>
      <c r="AB36" s="20" t="s">
        <v>319</v>
      </c>
      <c r="AC36" s="21" t="s">
        <v>557</v>
      </c>
      <c r="AD36" s="20" t="s">
        <v>558</v>
      </c>
      <c r="AE36" t="s">
        <v>114</v>
      </c>
      <c r="AF36" t="s">
        <v>356</v>
      </c>
      <c r="AG36" t="s">
        <v>387</v>
      </c>
      <c r="AH36" t="s">
        <v>387</v>
      </c>
      <c r="AI36" t="s">
        <v>159</v>
      </c>
      <c r="AJ36" t="s">
        <v>288</v>
      </c>
      <c r="AK36" t="s">
        <v>55</v>
      </c>
      <c r="AL36" s="20" t="s">
        <v>634</v>
      </c>
      <c r="AM36" s="20"/>
      <c r="AN36" s="20"/>
      <c r="AO36" s="20" t="s">
        <v>990</v>
      </c>
      <c r="AP36" s="20" t="s">
        <v>990</v>
      </c>
      <c r="AQ36" s="22" t="s">
        <v>991</v>
      </c>
      <c r="AR36" s="22" t="s">
        <v>992</v>
      </c>
      <c r="AS36" s="20" t="s">
        <v>993</v>
      </c>
      <c r="AT36" s="20" t="s">
        <v>994</v>
      </c>
      <c r="AU36" s="20">
        <f>LEN(SUBSTITUTE(AT36, ", "," "))</f>
        <v>29</v>
      </c>
      <c r="AV36" s="22" t="s">
        <v>640</v>
      </c>
      <c r="AW36" s="22" t="s">
        <v>640</v>
      </c>
      <c r="AX36" s="22" t="s">
        <v>641</v>
      </c>
      <c r="AY36" s="22" t="s">
        <v>641</v>
      </c>
      <c r="AZ36" s="22" t="s">
        <v>55</v>
      </c>
      <c r="BA36" s="22" t="s">
        <v>55</v>
      </c>
      <c r="BB36" s="22" t="s">
        <v>642</v>
      </c>
      <c r="BC36" s="20"/>
      <c r="BD36" s="20"/>
      <c r="BE36" s="20"/>
      <c r="BF36" s="22" t="s">
        <v>995</v>
      </c>
      <c r="BG36" s="22" t="s">
        <v>996</v>
      </c>
      <c r="BH36" s="20"/>
      <c r="BI36" s="20"/>
      <c r="BJ36" s="20"/>
      <c r="BK36" s="20"/>
      <c r="BL36" s="20"/>
      <c r="BM36" s="22" t="s">
        <v>645</v>
      </c>
      <c r="BN36" s="22" t="s">
        <v>645</v>
      </c>
      <c r="BO36" s="22" t="s">
        <v>646</v>
      </c>
      <c r="BP36" s="22" t="s">
        <v>646</v>
      </c>
      <c r="BQ36" s="20"/>
      <c r="BR36" s="22" t="s">
        <v>647</v>
      </c>
      <c r="BS36" s="22" t="s">
        <v>648</v>
      </c>
      <c r="BT36" s="22" t="s">
        <v>617</v>
      </c>
      <c r="BU36" s="20"/>
      <c r="BV36" s="22" t="s">
        <v>649</v>
      </c>
      <c r="BW36" s="20"/>
      <c r="BX36" s="20"/>
      <c r="BY36" s="20" t="s">
        <v>650</v>
      </c>
      <c r="BZ36" s="20"/>
      <c r="CA36" s="20"/>
      <c r="CB36" s="20"/>
      <c r="CC36" s="20"/>
      <c r="CD36" s="20"/>
      <c r="CE36" s="20"/>
      <c r="CF36"/>
      <c r="CG36" s="1" t="s">
        <v>1158</v>
      </c>
    </row>
    <row r="37" spans="1:85" ht="12" customHeight="1" x14ac:dyDescent="0.25">
      <c r="A37" s="19" t="s">
        <v>346</v>
      </c>
      <c r="B37" s="19" t="s">
        <v>358</v>
      </c>
      <c r="C37" t="s">
        <v>429</v>
      </c>
      <c r="D37" s="20" t="s">
        <v>468</v>
      </c>
      <c r="E37" t="s">
        <v>429</v>
      </c>
      <c r="F37" s="20" t="s">
        <v>469</v>
      </c>
      <c r="G37" s="19" t="s">
        <v>419</v>
      </c>
      <c r="H37"/>
      <c r="I37"/>
      <c r="J37"/>
      <c r="K37"/>
      <c r="L37"/>
      <c r="M37"/>
      <c r="N37"/>
      <c r="O37"/>
      <c r="P37">
        <v>36</v>
      </c>
      <c r="Q37">
        <v>36</v>
      </c>
      <c r="R37" t="s">
        <v>161</v>
      </c>
      <c r="S37" t="s">
        <v>185</v>
      </c>
      <c r="T37" t="s">
        <v>361</v>
      </c>
      <c r="U37" t="s">
        <v>7</v>
      </c>
      <c r="V37" t="s">
        <v>196</v>
      </c>
      <c r="W37" t="s">
        <v>288</v>
      </c>
      <c r="X37" s="20" t="s">
        <v>485</v>
      </c>
      <c r="Y37" t="s">
        <v>7</v>
      </c>
      <c r="Z37" s="20" t="s">
        <v>7</v>
      </c>
      <c r="AA37" s="20" t="s">
        <v>485</v>
      </c>
      <c r="AB37" s="20" t="s">
        <v>7</v>
      </c>
      <c r="AC37" s="21" t="s">
        <v>7</v>
      </c>
      <c r="AD37" s="20" t="s">
        <v>559</v>
      </c>
      <c r="AE37" t="s">
        <v>261</v>
      </c>
      <c r="AF37" t="s">
        <v>64</v>
      </c>
      <c r="AG37" t="s">
        <v>91</v>
      </c>
      <c r="AH37" t="s">
        <v>91</v>
      </c>
      <c r="AI37" t="s">
        <v>449</v>
      </c>
      <c r="AJ37" t="s">
        <v>288</v>
      </c>
      <c r="AK37" t="s">
        <v>109</v>
      </c>
      <c r="AL37" s="20" t="s">
        <v>997</v>
      </c>
      <c r="AM37" s="20"/>
      <c r="AN37" s="20"/>
      <c r="AO37" s="20" t="s">
        <v>998</v>
      </c>
      <c r="AP37" s="20" t="s">
        <v>998</v>
      </c>
      <c r="AQ37" s="22" t="s">
        <v>999</v>
      </c>
      <c r="AR37" s="22" t="s">
        <v>1000</v>
      </c>
      <c r="AS37" s="20" t="s">
        <v>1001</v>
      </c>
      <c r="AT37" s="20" t="s">
        <v>1002</v>
      </c>
      <c r="AU37" s="20">
        <f>LEN(SUBSTITUTE(AT37, ", "," "))</f>
        <v>28</v>
      </c>
      <c r="AV37" s="22" t="s">
        <v>612</v>
      </c>
      <c r="AW37" s="22" t="s">
        <v>1003</v>
      </c>
      <c r="AX37" s="22" t="s">
        <v>1004</v>
      </c>
      <c r="AY37" s="20"/>
      <c r="AZ37" s="22" t="s">
        <v>109</v>
      </c>
      <c r="BA37" s="22" t="s">
        <v>109</v>
      </c>
      <c r="BB37" s="22" t="s">
        <v>1005</v>
      </c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2" t="s">
        <v>1006</v>
      </c>
      <c r="BS37" s="22" t="s">
        <v>1007</v>
      </c>
      <c r="BT37" s="22" t="s">
        <v>617</v>
      </c>
      <c r="BU37" s="22" t="s">
        <v>618</v>
      </c>
      <c r="BV37" s="20"/>
      <c r="BW37" s="20"/>
      <c r="BX37" s="20"/>
      <c r="BY37" s="20" t="s">
        <v>1008</v>
      </c>
      <c r="BZ37" s="20"/>
      <c r="CA37" s="20"/>
      <c r="CB37" s="20"/>
      <c r="CC37" s="20"/>
      <c r="CD37" s="20"/>
      <c r="CE37" s="20"/>
      <c r="CF37"/>
      <c r="CG37" s="1" t="s">
        <v>1158</v>
      </c>
    </row>
    <row r="38" spans="1:85" ht="12" customHeight="1" x14ac:dyDescent="0.25">
      <c r="A38" s="19" t="s">
        <v>346</v>
      </c>
      <c r="B38" s="19" t="s">
        <v>358</v>
      </c>
      <c r="C38" t="s">
        <v>429</v>
      </c>
      <c r="D38" s="20" t="s">
        <v>467</v>
      </c>
      <c r="E38" t="s">
        <v>429</v>
      </c>
      <c r="F38" s="20" t="s">
        <v>469</v>
      </c>
      <c r="G38" s="19" t="s">
        <v>419</v>
      </c>
      <c r="H38"/>
      <c r="I38"/>
      <c r="J38"/>
      <c r="K38"/>
      <c r="L38"/>
      <c r="M38"/>
      <c r="N38"/>
      <c r="O38"/>
      <c r="P38">
        <v>37</v>
      </c>
      <c r="Q38">
        <v>37</v>
      </c>
      <c r="R38" t="s">
        <v>106</v>
      </c>
      <c r="S38" t="s">
        <v>354</v>
      </c>
      <c r="T38" t="s">
        <v>426</v>
      </c>
      <c r="U38" t="s">
        <v>186</v>
      </c>
      <c r="V38" t="s">
        <v>438</v>
      </c>
      <c r="W38" t="s">
        <v>288</v>
      </c>
      <c r="X38" s="20" t="s">
        <v>438</v>
      </c>
      <c r="Y38" t="s">
        <v>186</v>
      </c>
      <c r="Z38" s="20" t="s">
        <v>186</v>
      </c>
      <c r="AA38" s="20" t="s">
        <v>438</v>
      </c>
      <c r="AB38" s="20" t="s">
        <v>186</v>
      </c>
      <c r="AC38" s="21" t="s">
        <v>186</v>
      </c>
      <c r="AD38" s="20" t="s">
        <v>560</v>
      </c>
      <c r="AE38" t="s">
        <v>232</v>
      </c>
      <c r="AF38" t="s">
        <v>379</v>
      </c>
      <c r="AG38" t="s">
        <v>288</v>
      </c>
      <c r="AH38" t="s">
        <v>288</v>
      </c>
      <c r="AI38" t="s">
        <v>288</v>
      </c>
      <c r="AJ38" t="s">
        <v>288</v>
      </c>
      <c r="AK38" t="s">
        <v>288</v>
      </c>
      <c r="AL38" s="20" t="s">
        <v>1009</v>
      </c>
      <c r="AM38" s="20"/>
      <c r="AN38" s="20"/>
      <c r="AO38" s="20" t="s">
        <v>232</v>
      </c>
      <c r="AP38" s="20" t="s">
        <v>232</v>
      </c>
      <c r="AQ38" s="22" t="s">
        <v>1010</v>
      </c>
      <c r="AR38" s="22" t="s">
        <v>1011</v>
      </c>
      <c r="AS38" s="20" t="s">
        <v>1012</v>
      </c>
      <c r="AT38" s="20" t="s">
        <v>1013</v>
      </c>
      <c r="AU38" s="20">
        <f>LEN(SUBSTITUTE(AT38, ", "," "))</f>
        <v>30</v>
      </c>
      <c r="AV38" s="22" t="s">
        <v>1014</v>
      </c>
      <c r="AW38" s="22" t="s">
        <v>1014</v>
      </c>
      <c r="AX38" s="22" t="s">
        <v>1015</v>
      </c>
      <c r="AY38" s="22" t="s">
        <v>1015</v>
      </c>
      <c r="AZ38" s="20"/>
      <c r="BA38" s="20"/>
      <c r="BB38" s="22" t="s">
        <v>438</v>
      </c>
      <c r="BC38" s="22" t="s">
        <v>1016</v>
      </c>
      <c r="BD38" s="22" t="s">
        <v>1017</v>
      </c>
      <c r="BE38" s="20"/>
      <c r="BF38" s="20"/>
      <c r="BG38" s="20"/>
      <c r="BH38" s="20"/>
      <c r="BI38" s="20"/>
      <c r="BJ38" s="22" t="s">
        <v>1018</v>
      </c>
      <c r="BK38" s="22" t="s">
        <v>1019</v>
      </c>
      <c r="BL38" s="20"/>
      <c r="BM38" s="22" t="s">
        <v>438</v>
      </c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2" t="s">
        <v>1020</v>
      </c>
      <c r="BY38" s="20" t="s">
        <v>633</v>
      </c>
      <c r="BZ38" s="20"/>
      <c r="CA38" s="20"/>
      <c r="CB38" s="20"/>
      <c r="CC38" s="20"/>
      <c r="CD38" s="20"/>
      <c r="CE38" s="20"/>
      <c r="CF38"/>
      <c r="CG38" s="1" t="s">
        <v>1158</v>
      </c>
    </row>
    <row r="39" spans="1:85" ht="12" customHeight="1" x14ac:dyDescent="0.25">
      <c r="A39" s="19" t="s">
        <v>346</v>
      </c>
      <c r="B39" s="19" t="s">
        <v>358</v>
      </c>
      <c r="C39" t="s">
        <v>429</v>
      </c>
      <c r="D39" s="20" t="s">
        <v>466</v>
      </c>
      <c r="E39" t="s">
        <v>429</v>
      </c>
      <c r="F39" s="20" t="s">
        <v>469</v>
      </c>
      <c r="G39" s="19" t="s">
        <v>419</v>
      </c>
      <c r="H39"/>
      <c r="I39"/>
      <c r="J39"/>
      <c r="K39"/>
      <c r="L39"/>
      <c r="M39"/>
      <c r="N39"/>
      <c r="O39"/>
      <c r="P39">
        <v>38</v>
      </c>
      <c r="Q39">
        <v>38</v>
      </c>
      <c r="R39" t="s">
        <v>342</v>
      </c>
      <c r="S39" t="s">
        <v>263</v>
      </c>
      <c r="T39" t="s">
        <v>72</v>
      </c>
      <c r="U39" t="s">
        <v>392</v>
      </c>
      <c r="V39" t="s">
        <v>297</v>
      </c>
      <c r="W39" t="s">
        <v>217</v>
      </c>
      <c r="X39" s="20" t="s">
        <v>297</v>
      </c>
      <c r="Y39" t="s">
        <v>392</v>
      </c>
      <c r="Z39" s="20" t="s">
        <v>392</v>
      </c>
      <c r="AA39" s="20" t="s">
        <v>297</v>
      </c>
      <c r="AB39" s="20" t="s">
        <v>392</v>
      </c>
      <c r="AC39" s="21" t="s">
        <v>561</v>
      </c>
      <c r="AD39" s="20" t="s">
        <v>562</v>
      </c>
      <c r="AE39" t="s">
        <v>248</v>
      </c>
      <c r="AF39" t="s">
        <v>421</v>
      </c>
      <c r="AG39" t="s">
        <v>380</v>
      </c>
      <c r="AH39" t="s">
        <v>380</v>
      </c>
      <c r="AI39" t="s">
        <v>310</v>
      </c>
      <c r="AJ39" t="s">
        <v>98</v>
      </c>
      <c r="AK39" t="s">
        <v>385</v>
      </c>
      <c r="AL39" s="20" t="s">
        <v>1021</v>
      </c>
      <c r="AM39" s="20" t="s">
        <v>98</v>
      </c>
      <c r="AN39" s="20" t="s">
        <v>1022</v>
      </c>
      <c r="AO39" s="20" t="s">
        <v>1023</v>
      </c>
      <c r="AP39" s="20" t="s">
        <v>1023</v>
      </c>
      <c r="AQ39" s="22" t="s">
        <v>1024</v>
      </c>
      <c r="AR39" s="22" t="s">
        <v>1025</v>
      </c>
      <c r="AS39" s="20" t="s">
        <v>1026</v>
      </c>
      <c r="AT39" s="20" t="s">
        <v>1027</v>
      </c>
      <c r="AU39" s="20">
        <f>LEN(SUBSTITUTE(AT39, ", "," "))</f>
        <v>30</v>
      </c>
      <c r="AV39" s="22" t="s">
        <v>1028</v>
      </c>
      <c r="AW39" s="22" t="s">
        <v>1028</v>
      </c>
      <c r="AX39" s="22" t="s">
        <v>1029</v>
      </c>
      <c r="AY39" s="22" t="s">
        <v>1029</v>
      </c>
      <c r="AZ39" s="22" t="s">
        <v>385</v>
      </c>
      <c r="BA39" s="22" t="s">
        <v>385</v>
      </c>
      <c r="BB39" s="22" t="s">
        <v>1030</v>
      </c>
      <c r="BC39" s="20"/>
      <c r="BD39" s="20"/>
      <c r="BE39" s="20"/>
      <c r="BF39" s="22" t="s">
        <v>1031</v>
      </c>
      <c r="BG39" s="22" t="s">
        <v>1032</v>
      </c>
      <c r="BH39" s="20"/>
      <c r="BI39" s="20"/>
      <c r="BJ39" s="22" t="s">
        <v>1033</v>
      </c>
      <c r="BK39" s="22" t="s">
        <v>1034</v>
      </c>
      <c r="BL39" s="20"/>
      <c r="BM39" s="22" t="s">
        <v>1035</v>
      </c>
      <c r="BN39" s="22" t="s">
        <v>1035</v>
      </c>
      <c r="BO39" s="20"/>
      <c r="BP39" s="20"/>
      <c r="BQ39" s="20"/>
      <c r="BR39" s="22" t="s">
        <v>1036</v>
      </c>
      <c r="BS39" s="22" t="s">
        <v>1037</v>
      </c>
      <c r="BT39" s="20" t="s">
        <v>617</v>
      </c>
      <c r="BU39" s="20" t="s">
        <v>618</v>
      </c>
      <c r="BV39" s="20"/>
      <c r="BW39" s="20"/>
      <c r="BX39" s="20"/>
      <c r="BY39" s="20" t="s">
        <v>1038</v>
      </c>
      <c r="BZ39" s="20"/>
      <c r="CA39" s="20"/>
      <c r="CB39" s="20"/>
      <c r="CC39" s="20"/>
      <c r="CD39" s="20"/>
      <c r="CE39" s="20"/>
      <c r="CF39"/>
      <c r="CG39" s="1" t="s">
        <v>1158</v>
      </c>
    </row>
    <row r="40" spans="1:85" ht="12" customHeight="1" x14ac:dyDescent="0.25">
      <c r="A40" s="19" t="s">
        <v>346</v>
      </c>
      <c r="B40" s="19" t="s">
        <v>358</v>
      </c>
      <c r="C40" t="s">
        <v>429</v>
      </c>
      <c r="D40" s="20" t="s">
        <v>466</v>
      </c>
      <c r="E40" t="s">
        <v>429</v>
      </c>
      <c r="F40" s="20" t="s">
        <v>469</v>
      </c>
      <c r="G40" s="19" t="s">
        <v>419</v>
      </c>
      <c r="H40"/>
      <c r="I40"/>
      <c r="J40"/>
      <c r="K40"/>
      <c r="L40"/>
      <c r="M40"/>
      <c r="N40"/>
      <c r="O40"/>
      <c r="P40">
        <v>39</v>
      </c>
      <c r="Q40">
        <v>39</v>
      </c>
      <c r="R40" t="s">
        <v>391</v>
      </c>
      <c r="S40" t="s">
        <v>374</v>
      </c>
      <c r="T40" t="s">
        <v>18</v>
      </c>
      <c r="U40" t="s">
        <v>83</v>
      </c>
      <c r="V40" t="s">
        <v>432</v>
      </c>
      <c r="W40" t="s">
        <v>288</v>
      </c>
      <c r="X40" s="20" t="s">
        <v>483</v>
      </c>
      <c r="Y40" t="s">
        <v>412</v>
      </c>
      <c r="Z40" s="20" t="s">
        <v>412</v>
      </c>
      <c r="AA40" s="20" t="s">
        <v>552</v>
      </c>
      <c r="AB40" s="20" t="s">
        <v>412</v>
      </c>
      <c r="AC40" s="21" t="s">
        <v>412</v>
      </c>
      <c r="AD40" s="20" t="s">
        <v>563</v>
      </c>
      <c r="AE40" t="s">
        <v>168</v>
      </c>
      <c r="AF40" t="s">
        <v>112</v>
      </c>
      <c r="AG40" t="s">
        <v>325</v>
      </c>
      <c r="AH40" t="s">
        <v>427</v>
      </c>
      <c r="AI40" t="s">
        <v>90</v>
      </c>
      <c r="AJ40" t="s">
        <v>288</v>
      </c>
      <c r="AK40" t="s">
        <v>288</v>
      </c>
      <c r="AL40" s="20" t="s">
        <v>665</v>
      </c>
      <c r="AM40" s="20"/>
      <c r="AN40" s="20"/>
      <c r="AO40" s="20" t="s">
        <v>1039</v>
      </c>
      <c r="AP40" s="20" t="s">
        <v>1039</v>
      </c>
      <c r="AQ40" s="22" t="s">
        <v>1040</v>
      </c>
      <c r="AR40" s="22" t="s">
        <v>1041</v>
      </c>
      <c r="AS40" s="20" t="s">
        <v>1042</v>
      </c>
      <c r="AT40" s="20" t="s">
        <v>1043</v>
      </c>
      <c r="AU40" s="20">
        <f>LEN(SUBSTITUTE(AT40, ", "," "))</f>
        <v>30</v>
      </c>
      <c r="AV40" s="22" t="s">
        <v>671</v>
      </c>
      <c r="AW40" s="22" t="s">
        <v>671</v>
      </c>
      <c r="AX40" s="22" t="s">
        <v>672</v>
      </c>
      <c r="AY40" s="22" t="s">
        <v>672</v>
      </c>
      <c r="AZ40" s="20"/>
      <c r="BA40" s="20"/>
      <c r="BB40" s="22" t="s">
        <v>673</v>
      </c>
      <c r="BC40" s="20"/>
      <c r="BD40" s="20"/>
      <c r="BE40" s="20"/>
      <c r="BF40" s="20"/>
      <c r="BG40" s="20"/>
      <c r="BH40" s="20"/>
      <c r="BI40" s="20"/>
      <c r="BJ40" s="22" t="s">
        <v>1044</v>
      </c>
      <c r="BK40" s="22" t="s">
        <v>1045</v>
      </c>
      <c r="BL40" s="20"/>
      <c r="BM40" s="22" t="s">
        <v>673</v>
      </c>
      <c r="BN40" s="20"/>
      <c r="BO40" s="20"/>
      <c r="BP40" s="20"/>
      <c r="BQ40" s="20"/>
      <c r="BR40" s="22" t="s">
        <v>1046</v>
      </c>
      <c r="BS40" s="22" t="s">
        <v>1046</v>
      </c>
      <c r="BT40" s="22" t="s">
        <v>617</v>
      </c>
      <c r="BU40" s="20"/>
      <c r="BV40" s="20"/>
      <c r="BW40" s="20"/>
      <c r="BX40" s="22" t="s">
        <v>1047</v>
      </c>
      <c r="BY40" s="20" t="s">
        <v>1048</v>
      </c>
      <c r="BZ40" s="20"/>
      <c r="CA40" s="20"/>
      <c r="CB40" s="20"/>
      <c r="CC40" s="20"/>
      <c r="CD40" s="20"/>
      <c r="CE40" s="20"/>
      <c r="CF40"/>
      <c r="CG40" s="1" t="s">
        <v>1158</v>
      </c>
    </row>
    <row r="41" spans="1:85" ht="12" customHeight="1" x14ac:dyDescent="0.25">
      <c r="A41" s="19" t="s">
        <v>346</v>
      </c>
      <c r="B41" s="19" t="s">
        <v>358</v>
      </c>
      <c r="C41" t="s">
        <v>429</v>
      </c>
      <c r="D41" s="20" t="s">
        <v>466</v>
      </c>
      <c r="E41" t="s">
        <v>429</v>
      </c>
      <c r="F41" s="20" t="s">
        <v>469</v>
      </c>
      <c r="G41" s="19" t="s">
        <v>419</v>
      </c>
      <c r="H41"/>
      <c r="I41"/>
      <c r="J41"/>
      <c r="K41"/>
      <c r="L41"/>
      <c r="M41"/>
      <c r="N41"/>
      <c r="O41"/>
      <c r="P41">
        <v>40</v>
      </c>
      <c r="Q41">
        <v>40</v>
      </c>
      <c r="R41" t="s">
        <v>398</v>
      </c>
      <c r="S41" t="s">
        <v>415</v>
      </c>
      <c r="T41" t="s">
        <v>413</v>
      </c>
      <c r="U41" t="s">
        <v>141</v>
      </c>
      <c r="V41" t="s">
        <v>97</v>
      </c>
      <c r="W41" t="s">
        <v>288</v>
      </c>
      <c r="X41" s="20" t="s">
        <v>486</v>
      </c>
      <c r="Y41" t="s">
        <v>141</v>
      </c>
      <c r="Z41" s="20" t="s">
        <v>141</v>
      </c>
      <c r="AA41" s="20" t="s">
        <v>564</v>
      </c>
      <c r="AB41" s="20" t="s">
        <v>141</v>
      </c>
      <c r="AC41" s="21" t="s">
        <v>141</v>
      </c>
      <c r="AD41" s="20" t="s">
        <v>565</v>
      </c>
      <c r="AE41" t="s">
        <v>11</v>
      </c>
      <c r="AF41" t="s">
        <v>309</v>
      </c>
      <c r="AG41" t="s">
        <v>199</v>
      </c>
      <c r="AH41" t="s">
        <v>288</v>
      </c>
      <c r="AI41" t="s">
        <v>288</v>
      </c>
      <c r="AJ41" t="s">
        <v>288</v>
      </c>
      <c r="AK41" t="s">
        <v>265</v>
      </c>
      <c r="AL41" s="20" t="s">
        <v>1049</v>
      </c>
      <c r="AM41" s="20"/>
      <c r="AN41" s="20"/>
      <c r="AO41" s="20" t="s">
        <v>1050</v>
      </c>
      <c r="AP41" s="20" t="s">
        <v>1050</v>
      </c>
      <c r="AQ41" s="22" t="s">
        <v>1051</v>
      </c>
      <c r="AR41" s="22" t="s">
        <v>1052</v>
      </c>
      <c r="AS41" s="20" t="s">
        <v>1053</v>
      </c>
      <c r="AT41" s="20" t="s">
        <v>1054</v>
      </c>
      <c r="AU41" s="20">
        <f>LEN(SUBSTITUTE(AT41, ", "," "))</f>
        <v>29</v>
      </c>
      <c r="AV41" s="22" t="s">
        <v>1055</v>
      </c>
      <c r="AW41" s="22" t="s">
        <v>1055</v>
      </c>
      <c r="AX41" s="22" t="s">
        <v>1056</v>
      </c>
      <c r="AY41" s="22" t="s">
        <v>1056</v>
      </c>
      <c r="AZ41" s="22" t="s">
        <v>1057</v>
      </c>
      <c r="BA41" s="22" t="s">
        <v>1057</v>
      </c>
      <c r="BB41" s="22" t="s">
        <v>1058</v>
      </c>
      <c r="BC41" s="20"/>
      <c r="BD41" s="20"/>
      <c r="BE41" s="20"/>
      <c r="BF41" s="22" t="s">
        <v>1059</v>
      </c>
      <c r="BG41" s="22" t="s">
        <v>1060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2" t="s">
        <v>1061</v>
      </c>
      <c r="BS41" s="22" t="s">
        <v>1062</v>
      </c>
      <c r="BT41" s="20" t="s">
        <v>617</v>
      </c>
      <c r="BU41" s="20" t="s">
        <v>618</v>
      </c>
      <c r="BV41" s="20"/>
      <c r="BW41" s="20"/>
      <c r="BX41" s="20"/>
      <c r="BY41" s="20" t="s">
        <v>1063</v>
      </c>
      <c r="BZ41" s="20"/>
      <c r="CA41" s="20"/>
      <c r="CB41" s="20"/>
      <c r="CC41" s="20"/>
      <c r="CD41" s="20"/>
      <c r="CE41" s="20"/>
      <c r="CF41"/>
      <c r="CG41" s="1" t="s">
        <v>1158</v>
      </c>
    </row>
    <row r="42" spans="1:85" ht="12" customHeight="1" x14ac:dyDescent="0.25">
      <c r="A42" s="19" t="s">
        <v>346</v>
      </c>
      <c r="B42" s="19" t="s">
        <v>358</v>
      </c>
      <c r="C42" t="s">
        <v>429</v>
      </c>
      <c r="D42" s="20" t="s">
        <v>466</v>
      </c>
      <c r="E42" t="s">
        <v>429</v>
      </c>
      <c r="F42" s="20" t="s">
        <v>469</v>
      </c>
      <c r="G42" s="19" t="s">
        <v>419</v>
      </c>
      <c r="H42"/>
      <c r="I42"/>
      <c r="J42"/>
      <c r="K42"/>
      <c r="L42"/>
      <c r="M42"/>
      <c r="N42"/>
      <c r="O42"/>
      <c r="P42">
        <v>41</v>
      </c>
      <c r="Q42">
        <v>41</v>
      </c>
      <c r="R42" t="s">
        <v>383</v>
      </c>
      <c r="S42" t="s">
        <v>283</v>
      </c>
      <c r="T42" t="s">
        <v>314</v>
      </c>
      <c r="U42" t="s">
        <v>443</v>
      </c>
      <c r="V42" t="s">
        <v>212</v>
      </c>
      <c r="W42" t="s">
        <v>288</v>
      </c>
      <c r="X42" s="20" t="s">
        <v>212</v>
      </c>
      <c r="Y42" t="s">
        <v>443</v>
      </c>
      <c r="Z42" s="20" t="s">
        <v>443</v>
      </c>
      <c r="AA42" s="20" t="s">
        <v>212</v>
      </c>
      <c r="AB42" s="20" t="s">
        <v>443</v>
      </c>
      <c r="AC42" s="21" t="s">
        <v>566</v>
      </c>
      <c r="AD42" s="20" t="s">
        <v>567</v>
      </c>
      <c r="AE42" t="s">
        <v>205</v>
      </c>
      <c r="AF42" t="s">
        <v>157</v>
      </c>
      <c r="AG42" t="s">
        <v>78</v>
      </c>
      <c r="AH42" t="s">
        <v>288</v>
      </c>
      <c r="AI42" t="s">
        <v>288</v>
      </c>
      <c r="AJ42" t="s">
        <v>288</v>
      </c>
      <c r="AK42" t="s">
        <v>288</v>
      </c>
      <c r="AL42" s="20" t="s">
        <v>689</v>
      </c>
      <c r="AM42" s="20" t="s">
        <v>34</v>
      </c>
      <c r="AN42" s="20" t="s">
        <v>690</v>
      </c>
      <c r="AO42" s="20" t="s">
        <v>1064</v>
      </c>
      <c r="AP42" s="20" t="s">
        <v>1064</v>
      </c>
      <c r="AQ42" s="22" t="s">
        <v>1065</v>
      </c>
      <c r="AR42" s="22" t="s">
        <v>1066</v>
      </c>
      <c r="AS42" s="20" t="s">
        <v>1067</v>
      </c>
      <c r="AT42" s="20" t="s">
        <v>1068</v>
      </c>
      <c r="AU42" s="20">
        <f>LEN(SUBSTITUTE(AT42, ", "," "))</f>
        <v>30</v>
      </c>
      <c r="AV42" s="22" t="s">
        <v>684</v>
      </c>
      <c r="AW42" s="22" t="s">
        <v>684</v>
      </c>
      <c r="AX42" s="22" t="s">
        <v>696</v>
      </c>
      <c r="AY42" s="22" t="s">
        <v>696</v>
      </c>
      <c r="AZ42" s="22" t="s">
        <v>24</v>
      </c>
      <c r="BA42" s="22" t="s">
        <v>24</v>
      </c>
      <c r="BB42" s="22" t="s">
        <v>697</v>
      </c>
      <c r="BC42" s="20"/>
      <c r="BD42" s="20"/>
      <c r="BE42" s="20"/>
      <c r="BF42" s="20"/>
      <c r="BG42" s="20"/>
      <c r="BH42" s="20"/>
      <c r="BI42" s="20"/>
      <c r="BJ42" s="22" t="s">
        <v>1069</v>
      </c>
      <c r="BK42" s="22" t="s">
        <v>1070</v>
      </c>
      <c r="BL42" s="20"/>
      <c r="BM42" s="22" t="s">
        <v>700</v>
      </c>
      <c r="BN42" s="22" t="s">
        <v>700</v>
      </c>
      <c r="BO42" s="20"/>
      <c r="BP42" s="20"/>
      <c r="BQ42" s="20"/>
      <c r="BR42" s="22" t="s">
        <v>701</v>
      </c>
      <c r="BS42" s="22" t="s">
        <v>702</v>
      </c>
      <c r="BT42" s="20"/>
      <c r="BU42" s="20"/>
      <c r="BV42" s="20"/>
      <c r="BW42" s="20"/>
      <c r="BX42" s="20"/>
      <c r="BY42" s="20" t="s">
        <v>703</v>
      </c>
      <c r="BZ42" s="20"/>
      <c r="CA42" s="20"/>
      <c r="CB42" s="20"/>
      <c r="CC42" s="20"/>
      <c r="CD42" s="20"/>
      <c r="CE42" s="20"/>
      <c r="CF42"/>
      <c r="CG42" s="1" t="s">
        <v>1158</v>
      </c>
    </row>
    <row r="43" spans="1:85" ht="12" customHeight="1" x14ac:dyDescent="0.25">
      <c r="A43" s="19" t="s">
        <v>346</v>
      </c>
      <c r="B43" s="19" t="s">
        <v>358</v>
      </c>
      <c r="C43" t="s">
        <v>429</v>
      </c>
      <c r="D43" s="20" t="s">
        <v>466</v>
      </c>
      <c r="E43" t="s">
        <v>429</v>
      </c>
      <c r="F43" s="20" t="s">
        <v>469</v>
      </c>
      <c r="G43" s="19" t="s">
        <v>419</v>
      </c>
      <c r="H43"/>
      <c r="I43"/>
      <c r="J43"/>
      <c r="K43"/>
      <c r="L43"/>
      <c r="M43"/>
      <c r="N43"/>
      <c r="O43"/>
      <c r="P43">
        <v>42</v>
      </c>
      <c r="Q43">
        <v>42</v>
      </c>
      <c r="R43" t="s">
        <v>332</v>
      </c>
      <c r="S43" t="s">
        <v>256</v>
      </c>
      <c r="T43" t="s">
        <v>214</v>
      </c>
      <c r="U43" t="s">
        <v>264</v>
      </c>
      <c r="V43" t="s">
        <v>214</v>
      </c>
      <c r="W43" t="s">
        <v>442</v>
      </c>
      <c r="X43" s="20" t="s">
        <v>472</v>
      </c>
      <c r="Y43" t="s">
        <v>264</v>
      </c>
      <c r="Z43" s="20" t="s">
        <v>264</v>
      </c>
      <c r="AA43" s="20" t="s">
        <v>493</v>
      </c>
      <c r="AB43" s="20" t="s">
        <v>264</v>
      </c>
      <c r="AC43" s="21" t="s">
        <v>568</v>
      </c>
      <c r="AD43" s="20" t="s">
        <v>569</v>
      </c>
      <c r="AE43" t="s">
        <v>452</v>
      </c>
      <c r="AF43" t="s">
        <v>428</v>
      </c>
      <c r="AG43" t="s">
        <v>311</v>
      </c>
      <c r="AH43" t="s">
        <v>311</v>
      </c>
      <c r="AI43" t="s">
        <v>159</v>
      </c>
      <c r="AJ43" t="s">
        <v>288</v>
      </c>
      <c r="AK43" t="s">
        <v>55</v>
      </c>
      <c r="AL43" s="20" t="s">
        <v>634</v>
      </c>
      <c r="AM43" s="20"/>
      <c r="AN43" s="20"/>
      <c r="AO43" s="20" t="s">
        <v>1071</v>
      </c>
      <c r="AP43" s="20" t="s">
        <v>1071</v>
      </c>
      <c r="AQ43" s="22" t="s">
        <v>1072</v>
      </c>
      <c r="AR43" s="22" t="s">
        <v>1073</v>
      </c>
      <c r="AS43" s="20" t="s">
        <v>1074</v>
      </c>
      <c r="AT43" s="20" t="s">
        <v>1075</v>
      </c>
      <c r="AU43" s="20">
        <f>LEN(SUBSTITUTE(AT43, ", "," "))</f>
        <v>29</v>
      </c>
      <c r="AV43" s="22" t="s">
        <v>640</v>
      </c>
      <c r="AW43" s="22" t="s">
        <v>640</v>
      </c>
      <c r="AX43" s="22" t="s">
        <v>641</v>
      </c>
      <c r="AY43" s="22" t="s">
        <v>641</v>
      </c>
      <c r="AZ43" s="22" t="s">
        <v>55</v>
      </c>
      <c r="BA43" s="22" t="s">
        <v>55</v>
      </c>
      <c r="BB43" s="22" t="s">
        <v>642</v>
      </c>
      <c r="BC43" s="20"/>
      <c r="BD43" s="20"/>
      <c r="BE43" s="20"/>
      <c r="BF43" s="22" t="s">
        <v>1076</v>
      </c>
      <c r="BG43" s="22" t="s">
        <v>1077</v>
      </c>
      <c r="BH43" s="20"/>
      <c r="BI43" s="20"/>
      <c r="BJ43" s="20"/>
      <c r="BK43" s="20"/>
      <c r="BL43" s="20"/>
      <c r="BM43" s="22" t="s">
        <v>645</v>
      </c>
      <c r="BN43" s="22" t="s">
        <v>645</v>
      </c>
      <c r="BO43" s="22" t="s">
        <v>646</v>
      </c>
      <c r="BP43" s="22" t="s">
        <v>646</v>
      </c>
      <c r="BQ43" s="20"/>
      <c r="BR43" s="22" t="s">
        <v>647</v>
      </c>
      <c r="BS43" s="22" t="s">
        <v>648</v>
      </c>
      <c r="BT43" s="22" t="s">
        <v>617</v>
      </c>
      <c r="BU43" s="20"/>
      <c r="BV43" s="22" t="s">
        <v>649</v>
      </c>
      <c r="BW43" s="20"/>
      <c r="BX43" s="20"/>
      <c r="BY43" s="20" t="s">
        <v>650</v>
      </c>
      <c r="BZ43" s="20"/>
      <c r="CA43" s="20"/>
      <c r="CB43" s="20"/>
      <c r="CC43" s="20"/>
      <c r="CD43" s="20"/>
      <c r="CE43" s="20"/>
      <c r="CF43"/>
      <c r="CG43" s="1" t="s">
        <v>1158</v>
      </c>
    </row>
    <row r="44" spans="1:85" ht="12" customHeight="1" x14ac:dyDescent="0.25">
      <c r="A44" s="19" t="s">
        <v>346</v>
      </c>
      <c r="B44" s="19" t="s">
        <v>358</v>
      </c>
      <c r="C44" t="s">
        <v>429</v>
      </c>
      <c r="D44" s="20" t="s">
        <v>466</v>
      </c>
      <c r="E44" t="s">
        <v>429</v>
      </c>
      <c r="F44" s="20" t="s">
        <v>469</v>
      </c>
      <c r="G44" s="19" t="s">
        <v>419</v>
      </c>
      <c r="H44"/>
      <c r="I44"/>
      <c r="J44"/>
      <c r="K44"/>
      <c r="L44"/>
      <c r="M44"/>
      <c r="N44"/>
      <c r="O44"/>
      <c r="P44">
        <v>43</v>
      </c>
      <c r="Q44">
        <v>43</v>
      </c>
      <c r="R44" t="s">
        <v>202</v>
      </c>
      <c r="S44" t="s">
        <v>256</v>
      </c>
      <c r="T44" t="s">
        <v>214</v>
      </c>
      <c r="U44" t="s">
        <v>115</v>
      </c>
      <c r="V44" t="s">
        <v>214</v>
      </c>
      <c r="W44" t="s">
        <v>442</v>
      </c>
      <c r="X44" s="20" t="s">
        <v>472</v>
      </c>
      <c r="Y44" t="s">
        <v>115</v>
      </c>
      <c r="Z44" s="20" t="s">
        <v>115</v>
      </c>
      <c r="AA44" s="20" t="s">
        <v>493</v>
      </c>
      <c r="AB44" s="20" t="s">
        <v>115</v>
      </c>
      <c r="AC44" s="21" t="s">
        <v>570</v>
      </c>
      <c r="AD44" s="20" t="s">
        <v>571</v>
      </c>
      <c r="AE44" t="s">
        <v>200</v>
      </c>
      <c r="AF44" t="s">
        <v>177</v>
      </c>
      <c r="AG44" t="s">
        <v>122</v>
      </c>
      <c r="AH44" t="s">
        <v>122</v>
      </c>
      <c r="AI44" t="s">
        <v>159</v>
      </c>
      <c r="AJ44" t="s">
        <v>288</v>
      </c>
      <c r="AK44" t="s">
        <v>55</v>
      </c>
      <c r="AL44" s="20" t="s">
        <v>634</v>
      </c>
      <c r="AM44" s="20"/>
      <c r="AN44" s="20"/>
      <c r="AO44" s="20" t="s">
        <v>1078</v>
      </c>
      <c r="AP44" s="20" t="s">
        <v>1078</v>
      </c>
      <c r="AQ44" s="22" t="s">
        <v>1079</v>
      </c>
      <c r="AR44" s="22" t="s">
        <v>1080</v>
      </c>
      <c r="AS44" s="20" t="s">
        <v>1081</v>
      </c>
      <c r="AT44" s="20" t="s">
        <v>1082</v>
      </c>
      <c r="AU44" s="20">
        <f>LEN(SUBSTITUTE(AT44, ", "," "))</f>
        <v>29</v>
      </c>
      <c r="AV44" s="22" t="s">
        <v>640</v>
      </c>
      <c r="AW44" s="22" t="s">
        <v>640</v>
      </c>
      <c r="AX44" s="22" t="s">
        <v>641</v>
      </c>
      <c r="AY44" s="22" t="s">
        <v>641</v>
      </c>
      <c r="AZ44" s="22" t="s">
        <v>55</v>
      </c>
      <c r="BA44" s="22" t="s">
        <v>55</v>
      </c>
      <c r="BB44" s="22" t="s">
        <v>642</v>
      </c>
      <c r="BC44" s="20"/>
      <c r="BD44" s="20"/>
      <c r="BE44" s="20"/>
      <c r="BF44" s="22" t="s">
        <v>1083</v>
      </c>
      <c r="BG44" s="22" t="s">
        <v>1084</v>
      </c>
      <c r="BH44" s="20"/>
      <c r="BI44" s="20"/>
      <c r="BJ44" s="20"/>
      <c r="BK44" s="20"/>
      <c r="BL44" s="20"/>
      <c r="BM44" s="22" t="s">
        <v>645</v>
      </c>
      <c r="BN44" s="22" t="s">
        <v>645</v>
      </c>
      <c r="BO44" s="22" t="s">
        <v>646</v>
      </c>
      <c r="BP44" s="22" t="s">
        <v>646</v>
      </c>
      <c r="BQ44" s="20"/>
      <c r="BR44" s="22" t="s">
        <v>647</v>
      </c>
      <c r="BS44" s="22" t="s">
        <v>648</v>
      </c>
      <c r="BT44" s="22" t="s">
        <v>617</v>
      </c>
      <c r="BU44" s="20"/>
      <c r="BV44" s="22" t="s">
        <v>649</v>
      </c>
      <c r="BW44" s="20"/>
      <c r="BX44" s="20"/>
      <c r="BY44" s="20" t="s">
        <v>650</v>
      </c>
      <c r="BZ44" s="20"/>
      <c r="CA44" s="20"/>
      <c r="CB44" s="20"/>
      <c r="CC44" s="20"/>
      <c r="CD44" s="20"/>
      <c r="CE44" s="20"/>
      <c r="CF44"/>
      <c r="CG44" s="1" t="s">
        <v>1158</v>
      </c>
    </row>
    <row r="45" spans="1:85" ht="12" customHeight="1" x14ac:dyDescent="0.25">
      <c r="A45" s="19" t="s">
        <v>346</v>
      </c>
      <c r="B45" s="19" t="s">
        <v>358</v>
      </c>
      <c r="C45" t="s">
        <v>429</v>
      </c>
      <c r="D45" s="20" t="s">
        <v>466</v>
      </c>
      <c r="E45" t="s">
        <v>429</v>
      </c>
      <c r="F45" s="20" t="s">
        <v>469</v>
      </c>
      <c r="G45" s="19" t="s">
        <v>419</v>
      </c>
      <c r="H45"/>
      <c r="I45"/>
      <c r="J45"/>
      <c r="K45"/>
      <c r="L45"/>
      <c r="M45"/>
      <c r="N45"/>
      <c r="O45"/>
      <c r="P45">
        <v>44</v>
      </c>
      <c r="Q45">
        <v>44</v>
      </c>
      <c r="R45" t="s">
        <v>376</v>
      </c>
      <c r="S45" t="s">
        <v>279</v>
      </c>
      <c r="T45" t="s">
        <v>396</v>
      </c>
      <c r="U45" t="s">
        <v>407</v>
      </c>
      <c r="V45" t="s">
        <v>227</v>
      </c>
      <c r="W45" t="s">
        <v>28</v>
      </c>
      <c r="X45" s="20" t="s">
        <v>482</v>
      </c>
      <c r="Y45" t="s">
        <v>407</v>
      </c>
      <c r="Z45" s="20" t="s">
        <v>407</v>
      </c>
      <c r="AA45" s="20" t="s">
        <v>550</v>
      </c>
      <c r="AB45" s="20" t="s">
        <v>407</v>
      </c>
      <c r="AC45" s="21" t="s">
        <v>407</v>
      </c>
      <c r="AD45" s="20" t="s">
        <v>572</v>
      </c>
      <c r="AE45" t="s">
        <v>416</v>
      </c>
      <c r="AF45" t="s">
        <v>194</v>
      </c>
      <c r="AG45" t="s">
        <v>288</v>
      </c>
      <c r="AH45" t="s">
        <v>288</v>
      </c>
      <c r="AI45" t="s">
        <v>288</v>
      </c>
      <c r="AJ45" t="s">
        <v>288</v>
      </c>
      <c r="AK45" t="s">
        <v>288</v>
      </c>
      <c r="AL45" s="20" t="s">
        <v>929</v>
      </c>
      <c r="AM45" s="20"/>
      <c r="AN45" s="20"/>
      <c r="AO45" s="20" t="s">
        <v>1085</v>
      </c>
      <c r="AP45" s="20" t="s">
        <v>1085</v>
      </c>
      <c r="AQ45" s="22" t="s">
        <v>1086</v>
      </c>
      <c r="AR45" s="22" t="s">
        <v>1087</v>
      </c>
      <c r="AS45" s="20" t="s">
        <v>1088</v>
      </c>
      <c r="AT45" s="20" t="s">
        <v>1089</v>
      </c>
      <c r="AU45" s="20">
        <f>LEN(SUBSTITUTE(AT45, ", "," "))</f>
        <v>28</v>
      </c>
      <c r="AV45" s="22" t="s">
        <v>935</v>
      </c>
      <c r="AW45" s="22" t="s">
        <v>935</v>
      </c>
      <c r="AX45" s="22" t="s">
        <v>936</v>
      </c>
      <c r="AY45" s="22" t="s">
        <v>936</v>
      </c>
      <c r="AZ45" s="22" t="s">
        <v>937</v>
      </c>
      <c r="BA45" s="22" t="s">
        <v>937</v>
      </c>
      <c r="BB45" s="22" t="s">
        <v>1090</v>
      </c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2" t="s">
        <v>1091</v>
      </c>
      <c r="BS45" s="22" t="s">
        <v>1092</v>
      </c>
      <c r="BT45" s="20" t="s">
        <v>617</v>
      </c>
      <c r="BU45" s="20" t="s">
        <v>750</v>
      </c>
      <c r="BV45" s="20"/>
      <c r="BW45" s="20"/>
      <c r="BX45" s="20"/>
      <c r="BY45" s="20" t="s">
        <v>1093</v>
      </c>
      <c r="BZ45" s="20"/>
      <c r="CA45" s="20"/>
      <c r="CB45" s="20"/>
      <c r="CC45" s="20"/>
      <c r="CD45" s="20"/>
      <c r="CE45" s="20"/>
      <c r="CF45"/>
      <c r="CG45" s="1" t="s">
        <v>1158</v>
      </c>
    </row>
    <row r="46" spans="1:85" ht="12" customHeight="1" x14ac:dyDescent="0.25">
      <c r="A46" s="19" t="s">
        <v>346</v>
      </c>
      <c r="B46" s="19" t="s">
        <v>358</v>
      </c>
      <c r="C46" t="s">
        <v>429</v>
      </c>
      <c r="D46" s="20" t="s">
        <v>466</v>
      </c>
      <c r="E46" t="s">
        <v>429</v>
      </c>
      <c r="F46" s="20" t="s">
        <v>469</v>
      </c>
      <c r="G46" s="19" t="s">
        <v>419</v>
      </c>
      <c r="H46"/>
      <c r="I46"/>
      <c r="J46"/>
      <c r="K46"/>
      <c r="L46"/>
      <c r="M46"/>
      <c r="N46"/>
      <c r="O46"/>
      <c r="P46">
        <v>45</v>
      </c>
      <c r="Q46">
        <v>45</v>
      </c>
      <c r="R46" t="s">
        <v>6</v>
      </c>
      <c r="S46" t="s">
        <v>241</v>
      </c>
      <c r="T46" t="s">
        <v>409</v>
      </c>
      <c r="U46" t="s">
        <v>140</v>
      </c>
      <c r="V46" t="s">
        <v>409</v>
      </c>
      <c r="W46" t="s">
        <v>288</v>
      </c>
      <c r="X46" s="20" t="s">
        <v>409</v>
      </c>
      <c r="Y46" t="s">
        <v>184</v>
      </c>
      <c r="Z46" s="20" t="s">
        <v>184</v>
      </c>
      <c r="AA46" s="20" t="s">
        <v>573</v>
      </c>
      <c r="AB46" s="20" t="s">
        <v>184</v>
      </c>
      <c r="AC46" s="21" t="s">
        <v>574</v>
      </c>
      <c r="AD46" s="20" t="s">
        <v>575</v>
      </c>
      <c r="AE46" t="s">
        <v>120</v>
      </c>
      <c r="AF46" t="s">
        <v>394</v>
      </c>
      <c r="AG46" t="s">
        <v>375</v>
      </c>
      <c r="AH46" t="s">
        <v>252</v>
      </c>
      <c r="AI46" t="s">
        <v>41</v>
      </c>
      <c r="AJ46" t="s">
        <v>288</v>
      </c>
      <c r="AK46" t="s">
        <v>192</v>
      </c>
      <c r="AL46" s="20" t="s">
        <v>1094</v>
      </c>
      <c r="AM46" s="20"/>
      <c r="AN46" s="20"/>
      <c r="AO46" s="20" t="s">
        <v>1095</v>
      </c>
      <c r="AP46" s="20" t="s">
        <v>1095</v>
      </c>
      <c r="AQ46" s="22" t="s">
        <v>1096</v>
      </c>
      <c r="AR46" s="22" t="s">
        <v>1097</v>
      </c>
      <c r="AS46" s="20" t="s">
        <v>1098</v>
      </c>
      <c r="AT46" s="20" t="s">
        <v>1099</v>
      </c>
      <c r="AU46" s="20">
        <f>LEN(SUBSTITUTE(AT46, ", "," "))</f>
        <v>27</v>
      </c>
      <c r="AV46" s="22" t="s">
        <v>873</v>
      </c>
      <c r="AW46" s="22" t="s">
        <v>873</v>
      </c>
      <c r="AX46" s="22" t="s">
        <v>1100</v>
      </c>
      <c r="AY46" s="22" t="s">
        <v>1100</v>
      </c>
      <c r="AZ46" s="22" t="s">
        <v>1101</v>
      </c>
      <c r="BA46" s="22" t="s">
        <v>1101</v>
      </c>
      <c r="BB46" s="22" t="s">
        <v>1102</v>
      </c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2" t="s">
        <v>1103</v>
      </c>
      <c r="BR46" s="22" t="s">
        <v>1104</v>
      </c>
      <c r="BS46" s="22" t="s">
        <v>1105</v>
      </c>
      <c r="BT46" s="22" t="s">
        <v>617</v>
      </c>
      <c r="BU46" s="22" t="s">
        <v>618</v>
      </c>
      <c r="BV46" s="20"/>
      <c r="BW46" s="20"/>
      <c r="BX46" s="22" t="s">
        <v>1106</v>
      </c>
      <c r="BY46" s="20" t="s">
        <v>1107</v>
      </c>
      <c r="BZ46" s="20"/>
      <c r="CA46" s="20"/>
      <c r="CB46" s="20"/>
      <c r="CC46" s="20"/>
      <c r="CD46" s="20"/>
      <c r="CE46" s="20"/>
      <c r="CF46"/>
      <c r="CG46" s="1" t="s">
        <v>1158</v>
      </c>
    </row>
    <row r="47" spans="1:85" ht="12" customHeight="1" x14ac:dyDescent="0.25">
      <c r="A47" s="19" t="s">
        <v>346</v>
      </c>
      <c r="B47" s="19" t="s">
        <v>358</v>
      </c>
      <c r="C47" t="s">
        <v>429</v>
      </c>
      <c r="D47" s="20" t="s">
        <v>466</v>
      </c>
      <c r="E47" t="s">
        <v>429</v>
      </c>
      <c r="F47" s="20" t="s">
        <v>469</v>
      </c>
      <c r="G47" s="19" t="s">
        <v>419</v>
      </c>
      <c r="H47"/>
      <c r="I47"/>
      <c r="J47"/>
      <c r="K47"/>
      <c r="L47"/>
      <c r="M47"/>
      <c r="N47"/>
      <c r="O47"/>
      <c r="P47">
        <v>46</v>
      </c>
      <c r="Q47">
        <v>46</v>
      </c>
      <c r="R47" t="s">
        <v>25</v>
      </c>
      <c r="S47" t="s">
        <v>374</v>
      </c>
      <c r="T47" t="s">
        <v>18</v>
      </c>
      <c r="U47" t="s">
        <v>32</v>
      </c>
      <c r="V47" t="s">
        <v>328</v>
      </c>
      <c r="W47" t="s">
        <v>288</v>
      </c>
      <c r="X47" s="20" t="s">
        <v>487</v>
      </c>
      <c r="Y47" t="s">
        <v>273</v>
      </c>
      <c r="Z47" s="20" t="s">
        <v>273</v>
      </c>
      <c r="AA47" s="20" t="s">
        <v>576</v>
      </c>
      <c r="AB47" s="20" t="s">
        <v>273</v>
      </c>
      <c r="AC47" s="21" t="s">
        <v>577</v>
      </c>
      <c r="AD47" s="20" t="s">
        <v>578</v>
      </c>
      <c r="AE47" t="s">
        <v>127</v>
      </c>
      <c r="AF47" t="s">
        <v>306</v>
      </c>
      <c r="AG47" t="s">
        <v>93</v>
      </c>
      <c r="AH47" t="s">
        <v>288</v>
      </c>
      <c r="AI47" t="s">
        <v>139</v>
      </c>
      <c r="AJ47" t="s">
        <v>288</v>
      </c>
      <c r="AK47" t="s">
        <v>288</v>
      </c>
      <c r="AL47" s="20" t="s">
        <v>1108</v>
      </c>
      <c r="AM47" s="20" t="s">
        <v>336</v>
      </c>
      <c r="AN47" s="20" t="s">
        <v>899</v>
      </c>
      <c r="AO47" s="20" t="s">
        <v>1109</v>
      </c>
      <c r="AP47" s="20" t="s">
        <v>1109</v>
      </c>
      <c r="AQ47" s="22" t="s">
        <v>1110</v>
      </c>
      <c r="AR47" s="22" t="s">
        <v>1111</v>
      </c>
      <c r="AS47" s="20" t="s">
        <v>1112</v>
      </c>
      <c r="AT47" s="20" t="s">
        <v>1113</v>
      </c>
      <c r="AU47" s="20">
        <f>LEN(SUBSTITUTE(AT47, ", "," "))</f>
        <v>28</v>
      </c>
      <c r="AV47" s="22" t="s">
        <v>905</v>
      </c>
      <c r="AW47" s="22" t="s">
        <v>905</v>
      </c>
      <c r="AX47" s="22" t="s">
        <v>966</v>
      </c>
      <c r="AY47" s="22" t="s">
        <v>966</v>
      </c>
      <c r="AZ47" s="22" t="s">
        <v>1114</v>
      </c>
      <c r="BA47" s="22" t="s">
        <v>1114</v>
      </c>
      <c r="BB47" s="22" t="s">
        <v>1115</v>
      </c>
      <c r="BC47" s="20"/>
      <c r="BD47" s="20"/>
      <c r="BE47" s="20"/>
      <c r="BF47" s="22" t="s">
        <v>1116</v>
      </c>
      <c r="BG47" s="22" t="s">
        <v>1117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2" t="s">
        <v>1115</v>
      </c>
      <c r="BS47" s="20"/>
      <c r="BT47" s="20" t="s">
        <v>617</v>
      </c>
      <c r="BU47" s="20" t="s">
        <v>750</v>
      </c>
      <c r="BV47" s="20"/>
      <c r="BW47" s="20"/>
      <c r="BX47" s="22" t="s">
        <v>1118</v>
      </c>
      <c r="BY47" s="20" t="s">
        <v>1119</v>
      </c>
      <c r="BZ47" s="20"/>
      <c r="CA47" s="20"/>
      <c r="CB47" s="20"/>
      <c r="CC47" s="20"/>
      <c r="CD47" s="20"/>
      <c r="CE47" s="20"/>
      <c r="CF47"/>
      <c r="CG47" s="1" t="s">
        <v>1158</v>
      </c>
    </row>
    <row r="48" spans="1:85" ht="12" customHeight="1" x14ac:dyDescent="0.25">
      <c r="A48" s="19" t="s">
        <v>346</v>
      </c>
      <c r="B48" s="19" t="s">
        <v>358</v>
      </c>
      <c r="C48" t="s">
        <v>429</v>
      </c>
      <c r="D48" s="20" t="s">
        <v>467</v>
      </c>
      <c r="E48" t="s">
        <v>429</v>
      </c>
      <c r="F48" s="20" t="s">
        <v>469</v>
      </c>
      <c r="G48" s="19" t="s">
        <v>419</v>
      </c>
      <c r="H48"/>
      <c r="I48"/>
      <c r="J48"/>
      <c r="K48"/>
      <c r="L48"/>
      <c r="M48"/>
      <c r="N48"/>
      <c r="O48"/>
      <c r="P48">
        <v>47</v>
      </c>
      <c r="Q48">
        <v>47</v>
      </c>
      <c r="R48" t="s">
        <v>367</v>
      </c>
      <c r="S48" t="s">
        <v>374</v>
      </c>
      <c r="T48" t="s">
        <v>18</v>
      </c>
      <c r="U48" t="s">
        <v>54</v>
      </c>
      <c r="V48" t="s">
        <v>16</v>
      </c>
      <c r="W48" t="s">
        <v>288</v>
      </c>
      <c r="X48" s="20" t="s">
        <v>480</v>
      </c>
      <c r="Y48" t="s">
        <v>36</v>
      </c>
      <c r="Z48" s="20" t="s">
        <v>36</v>
      </c>
      <c r="AA48" s="20" t="s">
        <v>542</v>
      </c>
      <c r="AB48" s="20" t="s">
        <v>36</v>
      </c>
      <c r="AC48" s="21" t="s">
        <v>36</v>
      </c>
      <c r="AD48" s="20" t="s">
        <v>579</v>
      </c>
      <c r="AE48" t="s">
        <v>274</v>
      </c>
      <c r="AF48" t="s">
        <v>46</v>
      </c>
      <c r="AG48" t="s">
        <v>288</v>
      </c>
      <c r="AH48" t="s">
        <v>288</v>
      </c>
      <c r="AI48" t="s">
        <v>288</v>
      </c>
      <c r="AJ48" t="s">
        <v>288</v>
      </c>
      <c r="AK48" t="s">
        <v>288</v>
      </c>
      <c r="AL48" s="20" t="s">
        <v>1120</v>
      </c>
      <c r="AM48" s="20" t="s">
        <v>1121</v>
      </c>
      <c r="AN48" s="20" t="s">
        <v>1122</v>
      </c>
      <c r="AO48" s="20" t="s">
        <v>274</v>
      </c>
      <c r="AP48" s="20" t="s">
        <v>274</v>
      </c>
      <c r="AQ48" s="22" t="s">
        <v>1123</v>
      </c>
      <c r="AR48" s="22" t="s">
        <v>1124</v>
      </c>
      <c r="AS48" s="20" t="s">
        <v>1125</v>
      </c>
      <c r="AT48" s="20" t="s">
        <v>1126</v>
      </c>
      <c r="AU48" s="20">
        <f>LEN(SUBSTITUTE(AT48, ", "," "))</f>
        <v>27</v>
      </c>
      <c r="AV48" s="22" t="s">
        <v>1127</v>
      </c>
      <c r="AW48" s="22" t="s">
        <v>1127</v>
      </c>
      <c r="AX48" s="22" t="s">
        <v>1128</v>
      </c>
      <c r="AY48" s="22" t="s">
        <v>1128</v>
      </c>
      <c r="AZ48" s="20"/>
      <c r="BA48" s="20"/>
      <c r="BB48" s="20"/>
      <c r="BC48" s="20"/>
      <c r="BD48" s="20"/>
      <c r="BE48" s="20"/>
      <c r="BF48" s="22" t="s">
        <v>1129</v>
      </c>
      <c r="BG48" s="22" t="s">
        <v>1130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2" t="s">
        <v>1131</v>
      </c>
      <c r="BR48" s="20"/>
      <c r="BS48" s="20"/>
      <c r="BT48" s="20"/>
      <c r="BU48" s="20"/>
      <c r="BV48" s="20"/>
      <c r="BW48" s="20"/>
      <c r="BX48" s="20"/>
      <c r="BY48" s="20" t="s">
        <v>633</v>
      </c>
      <c r="BZ48" s="20"/>
      <c r="CA48" s="20"/>
      <c r="CB48" s="20"/>
      <c r="CC48" s="20"/>
      <c r="CD48" s="20"/>
      <c r="CE48" s="20"/>
      <c r="CF48"/>
      <c r="CG48" s="1" t="s">
        <v>1158</v>
      </c>
    </row>
    <row r="49" spans="1:85" ht="12" customHeight="1" x14ac:dyDescent="0.25">
      <c r="A49" s="19" t="s">
        <v>346</v>
      </c>
      <c r="B49" s="19" t="s">
        <v>358</v>
      </c>
      <c r="C49" t="s">
        <v>429</v>
      </c>
      <c r="D49" s="20" t="s">
        <v>468</v>
      </c>
      <c r="E49" t="s">
        <v>429</v>
      </c>
      <c r="F49" s="20" t="s">
        <v>469</v>
      </c>
      <c r="G49" s="19" t="s">
        <v>419</v>
      </c>
      <c r="H49"/>
      <c r="I49"/>
      <c r="J49"/>
      <c r="K49"/>
      <c r="L49"/>
      <c r="M49"/>
      <c r="N49"/>
      <c r="O49"/>
      <c r="P49">
        <v>48</v>
      </c>
      <c r="Q49">
        <v>48</v>
      </c>
      <c r="R49" t="s">
        <v>137</v>
      </c>
      <c r="S49" t="s">
        <v>62</v>
      </c>
      <c r="T49" t="s">
        <v>414</v>
      </c>
      <c r="U49" t="s">
        <v>233</v>
      </c>
      <c r="V49" t="s">
        <v>395</v>
      </c>
      <c r="W49" t="s">
        <v>288</v>
      </c>
      <c r="X49" s="20" t="s">
        <v>471</v>
      </c>
      <c r="Y49" t="s">
        <v>233</v>
      </c>
      <c r="Z49" s="20" t="s">
        <v>233</v>
      </c>
      <c r="AA49" s="20" t="s">
        <v>471</v>
      </c>
      <c r="AB49" s="20" t="s">
        <v>233</v>
      </c>
      <c r="AC49" s="21" t="s">
        <v>580</v>
      </c>
      <c r="AD49" s="20" t="s">
        <v>581</v>
      </c>
      <c r="AE49" t="s">
        <v>20</v>
      </c>
      <c r="AF49" t="s">
        <v>5</v>
      </c>
      <c r="AG49" t="s">
        <v>35</v>
      </c>
      <c r="AH49" t="s">
        <v>35</v>
      </c>
      <c r="AI49" t="s">
        <v>147</v>
      </c>
      <c r="AJ49" t="s">
        <v>288</v>
      </c>
      <c r="AK49" t="s">
        <v>145</v>
      </c>
      <c r="AL49" s="20" t="s">
        <v>620</v>
      </c>
      <c r="AM49" s="20" t="s">
        <v>240</v>
      </c>
      <c r="AN49" s="20" t="s">
        <v>606</v>
      </c>
      <c r="AO49" s="20" t="s">
        <v>1132</v>
      </c>
      <c r="AP49" s="20" t="s">
        <v>1132</v>
      </c>
      <c r="AQ49" s="22" t="s">
        <v>1133</v>
      </c>
      <c r="AR49" s="22" t="s">
        <v>1134</v>
      </c>
      <c r="AS49" s="20" t="s">
        <v>1135</v>
      </c>
      <c r="AT49" s="20" t="s">
        <v>1136</v>
      </c>
      <c r="AU49" s="20">
        <f>LEN(SUBSTITUTE(AT49, ", "," "))</f>
        <v>27</v>
      </c>
      <c r="AV49" s="22" t="s">
        <v>625</v>
      </c>
      <c r="AW49" s="22" t="s">
        <v>625</v>
      </c>
      <c r="AX49" s="22" t="s">
        <v>626</v>
      </c>
      <c r="AY49" s="22" t="s">
        <v>626</v>
      </c>
      <c r="AZ49" s="22" t="s">
        <v>145</v>
      </c>
      <c r="BA49" s="22" t="s">
        <v>145</v>
      </c>
      <c r="BB49" s="22" t="s">
        <v>627</v>
      </c>
      <c r="BC49" s="22" t="s">
        <v>628</v>
      </c>
      <c r="BD49" s="22" t="s">
        <v>628</v>
      </c>
      <c r="BE49" s="20"/>
      <c r="BF49" s="22" t="s">
        <v>1137</v>
      </c>
      <c r="BG49" s="22" t="s">
        <v>1138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2" t="s">
        <v>631</v>
      </c>
      <c r="BS49" s="22" t="s">
        <v>632</v>
      </c>
      <c r="BT49" s="22" t="s">
        <v>617</v>
      </c>
      <c r="BU49" s="22" t="s">
        <v>618</v>
      </c>
      <c r="BV49" s="20"/>
      <c r="BW49" s="20"/>
      <c r="BX49" s="20"/>
      <c r="BY49" s="20" t="s">
        <v>1139</v>
      </c>
      <c r="BZ49" s="20"/>
      <c r="CA49" s="20"/>
      <c r="CB49" s="20"/>
      <c r="CC49" s="20"/>
      <c r="CD49" s="20"/>
      <c r="CE49" s="20"/>
      <c r="CF49"/>
      <c r="CG49" s="1" t="s">
        <v>1158</v>
      </c>
    </row>
    <row r="50" spans="1:85" ht="12" customHeight="1" x14ac:dyDescent="0.25">
      <c r="A50" s="19" t="s">
        <v>346</v>
      </c>
      <c r="B50" s="19" t="s">
        <v>358</v>
      </c>
      <c r="C50" t="s">
        <v>429</v>
      </c>
      <c r="D50" s="20" t="s">
        <v>466</v>
      </c>
      <c r="E50" t="s">
        <v>429</v>
      </c>
      <c r="F50" s="20" t="s">
        <v>469</v>
      </c>
      <c r="G50" s="19" t="s">
        <v>419</v>
      </c>
      <c r="H50"/>
      <c r="I50"/>
      <c r="J50"/>
      <c r="K50"/>
      <c r="L50"/>
      <c r="M50"/>
      <c r="N50"/>
      <c r="O50"/>
      <c r="P50">
        <v>49</v>
      </c>
      <c r="Q50">
        <v>49</v>
      </c>
      <c r="R50" t="s">
        <v>42</v>
      </c>
      <c r="S50" t="s">
        <v>256</v>
      </c>
      <c r="T50" t="s">
        <v>214</v>
      </c>
      <c r="U50" t="s">
        <v>169</v>
      </c>
      <c r="V50" t="s">
        <v>214</v>
      </c>
      <c r="W50" t="s">
        <v>442</v>
      </c>
      <c r="X50" s="20" t="s">
        <v>472</v>
      </c>
      <c r="Y50" t="s">
        <v>169</v>
      </c>
      <c r="Z50" s="20" t="s">
        <v>169</v>
      </c>
      <c r="AA50" s="20" t="s">
        <v>493</v>
      </c>
      <c r="AB50" s="20" t="s">
        <v>169</v>
      </c>
      <c r="AC50" s="21" t="s">
        <v>582</v>
      </c>
      <c r="AD50" s="20" t="s">
        <v>583</v>
      </c>
      <c r="AE50" t="s">
        <v>188</v>
      </c>
      <c r="AF50" t="s">
        <v>14</v>
      </c>
      <c r="AG50" t="s">
        <v>353</v>
      </c>
      <c r="AH50" t="s">
        <v>353</v>
      </c>
      <c r="AI50" t="s">
        <v>159</v>
      </c>
      <c r="AJ50" t="s">
        <v>288</v>
      </c>
      <c r="AK50" t="s">
        <v>55</v>
      </c>
      <c r="AL50" s="20" t="s">
        <v>634</v>
      </c>
      <c r="AM50" s="20"/>
      <c r="AN50" s="20"/>
      <c r="AO50" s="20" t="s">
        <v>1140</v>
      </c>
      <c r="AP50" s="20" t="s">
        <v>1140</v>
      </c>
      <c r="AQ50" s="22" t="s">
        <v>1141</v>
      </c>
      <c r="AR50" s="22" t="s">
        <v>1142</v>
      </c>
      <c r="AS50" s="20" t="s">
        <v>1143</v>
      </c>
      <c r="AT50" s="20" t="s">
        <v>1144</v>
      </c>
      <c r="AU50" s="20">
        <f>LEN(SUBSTITUTE(AT50, ", "," "))</f>
        <v>29</v>
      </c>
      <c r="AV50" s="22" t="s">
        <v>640</v>
      </c>
      <c r="AW50" s="22" t="s">
        <v>640</v>
      </c>
      <c r="AX50" s="22" t="s">
        <v>641</v>
      </c>
      <c r="AY50" s="22" t="s">
        <v>641</v>
      </c>
      <c r="AZ50" s="22" t="s">
        <v>55</v>
      </c>
      <c r="BA50" s="22" t="s">
        <v>55</v>
      </c>
      <c r="BB50" s="22" t="s">
        <v>642</v>
      </c>
      <c r="BC50" s="20"/>
      <c r="BD50" s="20"/>
      <c r="BE50" s="20"/>
      <c r="BF50" s="22" t="s">
        <v>1145</v>
      </c>
      <c r="BG50" s="22" t="s">
        <v>1146</v>
      </c>
      <c r="BH50" s="20"/>
      <c r="BI50" s="20"/>
      <c r="BJ50" s="20"/>
      <c r="BK50" s="20"/>
      <c r="BL50" s="20"/>
      <c r="BM50" s="22" t="s">
        <v>645</v>
      </c>
      <c r="BN50" s="22" t="s">
        <v>645</v>
      </c>
      <c r="BO50" s="22" t="s">
        <v>646</v>
      </c>
      <c r="BP50" s="22" t="s">
        <v>646</v>
      </c>
      <c r="BQ50" s="20"/>
      <c r="BR50" s="22" t="s">
        <v>647</v>
      </c>
      <c r="BS50" s="22" t="s">
        <v>648</v>
      </c>
      <c r="BT50" s="22" t="s">
        <v>617</v>
      </c>
      <c r="BU50" s="20"/>
      <c r="BV50" s="22" t="s">
        <v>649</v>
      </c>
      <c r="BW50" s="20"/>
      <c r="BX50" s="20"/>
      <c r="BY50" s="20" t="s">
        <v>650</v>
      </c>
      <c r="BZ50" s="20"/>
      <c r="CA50" s="20"/>
      <c r="CB50" s="20"/>
      <c r="CC50" s="20"/>
      <c r="CD50" s="20"/>
      <c r="CE50" s="20"/>
      <c r="CF50"/>
      <c r="CG50" s="1" t="s">
        <v>1158</v>
      </c>
    </row>
    <row r="51" spans="1:85" ht="12" customHeight="1" x14ac:dyDescent="0.25">
      <c r="A51" s="19" t="s">
        <v>346</v>
      </c>
      <c r="B51" s="19" t="s">
        <v>358</v>
      </c>
      <c r="C51" t="s">
        <v>429</v>
      </c>
      <c r="D51" s="20" t="s">
        <v>466</v>
      </c>
      <c r="E51" t="s">
        <v>429</v>
      </c>
      <c r="F51"/>
      <c r="G51" s="19" t="s">
        <v>419</v>
      </c>
      <c r="H51"/>
      <c r="I51"/>
      <c r="J51"/>
      <c r="K51"/>
      <c r="L51"/>
      <c r="M51"/>
      <c r="N51"/>
      <c r="O51"/>
      <c r="P51">
        <v>50</v>
      </c>
      <c r="Q51">
        <v>50</v>
      </c>
      <c r="R51" t="s">
        <v>350</v>
      </c>
      <c r="S51" t="s">
        <v>279</v>
      </c>
      <c r="T51" t="s">
        <v>396</v>
      </c>
      <c r="U51" t="s">
        <v>234</v>
      </c>
      <c r="V51" t="s">
        <v>227</v>
      </c>
      <c r="W51" t="s">
        <v>28</v>
      </c>
      <c r="X51" s="20" t="s">
        <v>482</v>
      </c>
      <c r="Y51" t="s">
        <v>234</v>
      </c>
      <c r="Z51" s="20" t="s">
        <v>234</v>
      </c>
      <c r="AA51" s="20" t="s">
        <v>550</v>
      </c>
      <c r="AB51" s="20" t="s">
        <v>234</v>
      </c>
      <c r="AC51" s="21" t="s">
        <v>234</v>
      </c>
      <c r="AD51" s="20" t="s">
        <v>584</v>
      </c>
      <c r="AE51" t="s">
        <v>275</v>
      </c>
      <c r="AF51" t="s">
        <v>411</v>
      </c>
      <c r="AG51" t="s">
        <v>288</v>
      </c>
      <c r="AH51" t="s">
        <v>288</v>
      </c>
      <c r="AI51" t="s">
        <v>288</v>
      </c>
      <c r="AJ51" t="s">
        <v>288</v>
      </c>
      <c r="AK51" t="s">
        <v>288</v>
      </c>
      <c r="AL51" s="20" t="s">
        <v>1147</v>
      </c>
      <c r="AM51" s="20"/>
      <c r="AN51" s="20"/>
      <c r="AO51" s="20" t="s">
        <v>1148</v>
      </c>
      <c r="AP51" s="20" t="s">
        <v>1148</v>
      </c>
      <c r="AQ51" s="22" t="s">
        <v>1149</v>
      </c>
      <c r="AR51" s="22" t="s">
        <v>1150</v>
      </c>
      <c r="AS51" s="20" t="s">
        <v>1151</v>
      </c>
      <c r="AT51" s="20" t="s">
        <v>1152</v>
      </c>
      <c r="AU51" s="20">
        <f>LEN(SUBSTITUTE(AT51, ", "," "))</f>
        <v>30</v>
      </c>
      <c r="AV51" s="22" t="s">
        <v>1153</v>
      </c>
      <c r="AW51" s="22" t="s">
        <v>1153</v>
      </c>
      <c r="AX51" s="22" t="s">
        <v>1154</v>
      </c>
      <c r="AY51" s="22" t="s">
        <v>1154</v>
      </c>
      <c r="AZ51" s="22" t="s">
        <v>937</v>
      </c>
      <c r="BA51" s="22" t="s">
        <v>937</v>
      </c>
      <c r="BB51" s="22" t="s">
        <v>1155</v>
      </c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2" t="s">
        <v>1156</v>
      </c>
      <c r="BS51" s="22" t="s">
        <v>940</v>
      </c>
      <c r="BT51" s="20"/>
      <c r="BU51" s="20"/>
      <c r="BV51" s="20"/>
      <c r="BW51" s="20"/>
      <c r="BX51" s="20"/>
      <c r="BY51" s="20" t="s">
        <v>1157</v>
      </c>
      <c r="BZ51" s="20"/>
      <c r="CA51" s="20"/>
      <c r="CB51" s="20"/>
      <c r="CC51" s="20"/>
      <c r="CD51" s="20"/>
      <c r="CE51" s="20"/>
      <c r="CF51"/>
      <c r="CG51" s="1" t="s">
        <v>1158</v>
      </c>
    </row>
  </sheetData>
  <autoFilter ref="A1:CG51"/>
  <sortState ref="A2:CH51">
    <sortCondition ref="P2:P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2023-08-18T12:00:54Z</dcterms:modified>
</cp:coreProperties>
</file>