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Sheet1!$A$1:$DH$56</definedName>
  </definedNames>
  <calcPr calcId="124519"/>
  <webPublishing codePage="0"/>
</workbook>
</file>

<file path=xl/calcChain.xml><?xml version="1.0" encoding="utf-8"?>
<calcChain xmlns="http://schemas.openxmlformats.org/spreadsheetml/2006/main">
  <c r="AW56" i="1"/>
  <c r="AW55"/>
  <c r="AW54"/>
  <c r="AW53"/>
  <c r="AW52"/>
  <c r="AW51"/>
  <c r="AW50"/>
  <c r="AW49"/>
  <c r="AW48"/>
  <c r="AW47"/>
  <c r="AW46"/>
  <c r="AW45"/>
  <c r="AW44"/>
  <c r="AW43"/>
  <c r="AW42"/>
  <c r="AW41"/>
  <c r="AW40"/>
  <c r="AW39"/>
  <c r="AW38"/>
  <c r="AW37"/>
  <c r="AW36"/>
  <c r="AW35"/>
  <c r="AW34"/>
  <c r="AW33"/>
  <c r="AW32"/>
  <c r="AW31"/>
  <c r="AW30"/>
  <c r="AW29"/>
  <c r="AW28"/>
  <c r="AW27"/>
  <c r="AW26"/>
  <c r="AW25"/>
  <c r="AW24"/>
  <c r="AW23"/>
  <c r="AW22"/>
  <c r="AW21"/>
  <c r="AW20"/>
  <c r="AW19"/>
  <c r="AW18"/>
  <c r="AW17"/>
  <c r="AW16"/>
  <c r="AW15"/>
  <c r="AW14"/>
  <c r="AW13"/>
  <c r="AW12"/>
  <c r="AW11"/>
  <c r="AW10"/>
  <c r="AW9"/>
  <c r="AW8"/>
  <c r="AW7"/>
  <c r="AW6"/>
  <c r="AW5"/>
  <c r="AW4"/>
  <c r="AW3"/>
  <c r="AW2"/>
</calcChain>
</file>

<file path=xl/sharedStrings.xml><?xml version="1.0" encoding="utf-8"?>
<sst xmlns="http://schemas.openxmlformats.org/spreadsheetml/2006/main" count="1921" uniqueCount="833">
  <si>
    <t>ROLLATOR PATIENT BARIATRIC ADJUSTABLE HEIGHT RED DAYS</t>
  </si>
  <si>
    <t>64kProdigoItemKey</t>
  </si>
  <si>
    <t>ASIS Item Description (Long Description 4000)</t>
  </si>
  <si>
    <t>PRODIGO1051748</t>
  </si>
  <si>
    <t>COMFYPRENE HAND THUMB PEDS LG. NAVY</t>
  </si>
  <si>
    <t>081595545</t>
  </si>
  <si>
    <t>PRODIGO1051703</t>
  </si>
  <si>
    <t>7201933</t>
  </si>
  <si>
    <t>Ref#</t>
  </si>
  <si>
    <t>HCPCS description</t>
  </si>
  <si>
    <t>81622893</t>
  </si>
  <si>
    <t>Item Description (Long Description)</t>
  </si>
  <si>
    <t>URL</t>
  </si>
  <si>
    <t>PRODIGO0544747</t>
  </si>
  <si>
    <t>SHERPA PADDING 15.5 OZ 60IN X 1 YD (1)</t>
  </si>
  <si>
    <t>PERFORMANCE HEALTH INC</t>
  </si>
  <si>
    <t>To Process</t>
  </si>
  <si>
    <t>266965</t>
  </si>
  <si>
    <t>Classification Remarks1</t>
  </si>
  <si>
    <t>55975402</t>
  </si>
  <si>
    <t>PRODIGO0505625</t>
  </si>
  <si>
    <t>Project2</t>
  </si>
  <si>
    <t>261646</t>
  </si>
  <si>
    <t>HCPCS Desc1</t>
  </si>
  <si>
    <t>PRODIGO1051777</t>
  </si>
  <si>
    <t>55030510</t>
  </si>
  <si>
    <t>PAD COMPRESSION UNDERWRAP 4INW X 0.12INL 6 3/4FTL ROLL POLYURETHANE FOAM TEAR RESITANT SLIP RESISTANT W/CLIP F/LYMPHEDEMA VENOUS EDEMA ROSIDAL LATEX-FREE 081595545</t>
  </si>
  <si>
    <t>SUPPORT ORTHOPEDIC 2XL 10 1/4-11 1/4IN CIRC 6INL RIGHT WRIST SLIP-ON HOOK-LOOP STRAP DORSAL STAY LATEX-FREE</t>
  </si>
  <si>
    <t>081622893</t>
  </si>
  <si>
    <t>Property</t>
  </si>
  <si>
    <t>Standardized UNSPSC1</t>
  </si>
  <si>
    <t>Standardized UNSPSC</t>
  </si>
  <si>
    <t>Data Enrichment | UNSPSC Classification</t>
  </si>
  <si>
    <t>PUSH METAGRIP CMC THUMB BRACE RIGHT 0</t>
  </si>
  <si>
    <t>7103077</t>
  </si>
  <si>
    <t>Accepted Date</t>
  </si>
  <si>
    <t>Status</t>
  </si>
  <si>
    <t>PRODIGO0505731</t>
  </si>
  <si>
    <t>Delivered</t>
  </si>
  <si>
    <t>78830401</t>
  </si>
  <si>
    <t>Gender</t>
  </si>
  <si>
    <t>READYWRAP GAUNTLET LARGE LEFT BLACK</t>
  </si>
  <si>
    <t>Potential Duplicates</t>
  </si>
  <si>
    <t>Description Duplicate</t>
  </si>
  <si>
    <t>PRODIGO0497542</t>
  </si>
  <si>
    <t>Long Description</t>
  </si>
  <si>
    <t>PRODIGO1051784</t>
  </si>
  <si>
    <t>Sterile</t>
  </si>
  <si>
    <t>Item Name (Short Description)</t>
  </si>
  <si>
    <t>COMPANION DISINFECTANT WIPES 160CT PER CANISTER</t>
  </si>
  <si>
    <t>55975406</t>
  </si>
  <si>
    <t>31114M</t>
  </si>
  <si>
    <t>Mapped with 066</t>
  </si>
  <si>
    <t>55030519</t>
  </si>
  <si>
    <t>263112</t>
  </si>
  <si>
    <t>269754</t>
  </si>
  <si>
    <t>EXERCISER HAND RESISTIVE 3 1/2INW X 1/8INH REPLACEMENT COLOR-CODED RUBBER BAND RED LATEX PVC-FREE</t>
  </si>
  <si>
    <t>PRODIGO1051936</t>
  </si>
  <si>
    <t>QA Comments</t>
  </si>
  <si>
    <t>243608</t>
  </si>
  <si>
    <t>Ref</t>
  </si>
  <si>
    <t>LUMIN WAND</t>
  </si>
  <si>
    <t>PRODIGO0505807</t>
  </si>
  <si>
    <t>SUPPORT ORTHOPEDIC XL 4-4 1/2INW ELASTIC RIGHT WRIST SLIP-ON HOOK-LOOP CLOSE WRIST STRAP PALMAR STAY THUMB HOLE BLACK</t>
  </si>
  <si>
    <t>PRODIGO1051757</t>
  </si>
  <si>
    <t>PLYOBACK REFLEX-REBOUNDER ONLY</t>
  </si>
  <si>
    <t>RefName</t>
  </si>
  <si>
    <t>QA Code</t>
  </si>
  <si>
    <t>555907</t>
  </si>
  <si>
    <t>SlNo</t>
  </si>
  <si>
    <t>081675560</t>
  </si>
  <si>
    <t>SOFT FLEX BANDAGE 4-WING BOX OF 50</t>
  </si>
  <si>
    <t>SE Code</t>
  </si>
  <si>
    <t>081621721</t>
  </si>
  <si>
    <t>Previous CE Code</t>
  </si>
  <si>
    <t>PRODIGO0505691</t>
  </si>
  <si>
    <t>Item Description (Long Description 4000)1</t>
  </si>
  <si>
    <t>81621721</t>
  </si>
  <si>
    <t>PRODIGO0496931</t>
  </si>
  <si>
    <t>TURFCORDZ SUPER BUNG 10FT 75LB</t>
  </si>
  <si>
    <t>Potential Duplicates1</t>
  </si>
  <si>
    <t>PrimaryDimension(IDXODXLXWXHXDXTHK)</t>
  </si>
  <si>
    <t>Production User</t>
  </si>
  <si>
    <t>Quality A/R</t>
  </si>
  <si>
    <t>INTELECT RPW2 USA</t>
  </si>
  <si>
    <t>PRODIGO1051804</t>
  </si>
  <si>
    <t>Long Description 254 Enriched</t>
  </si>
  <si>
    <t>Sort Code</t>
  </si>
  <si>
    <t>XX</t>
  </si>
  <si>
    <t>PRODIGO1051720</t>
  </si>
  <si>
    <t>PRODIGO1051730</t>
  </si>
  <si>
    <t>Short Description 60 Enriched</t>
  </si>
  <si>
    <t>STIMULATOR NEUROMUSCULAR DIGITAL EA INTELECT</t>
  </si>
  <si>
    <t>PRODIGO1051770</t>
  </si>
  <si>
    <t>PRODIGO1051740</t>
  </si>
  <si>
    <t>12340</t>
  </si>
  <si>
    <t>7102657</t>
  </si>
  <si>
    <t>DE Code</t>
  </si>
  <si>
    <t>ROLYAN SMART SPLINT BATH-STANDARD</t>
  </si>
  <si>
    <t>VERIDIAN PRO KIT COMBO BLACK</t>
  </si>
  <si>
    <t>PERFORMANCE HEALTH</t>
  </si>
  <si>
    <t>SWITCH STICKS FOLDING CANE PEARL GOLD</t>
  </si>
  <si>
    <t>Standardized Manufacturer Name</t>
  </si>
  <si>
    <t>BANDL SOOTHE EYE DROPS 28/BX</t>
  </si>
  <si>
    <t>Project1</t>
  </si>
  <si>
    <t>Descr Status</t>
  </si>
  <si>
    <t>PRODIGO1051927</t>
  </si>
  <si>
    <t>PRODIGO1051937</t>
  </si>
  <si>
    <t>7103249</t>
  </si>
  <si>
    <t>DRESSING WOUND 3INW X 4INL COTTON NON-ADHERENT FILM TELFA LATEX-FREE STERILE 50/BX PEEL BACK</t>
  </si>
  <si>
    <t>PRODIGO0500306</t>
  </si>
  <si>
    <t>Location</t>
  </si>
  <si>
    <t>7202001</t>
  </si>
  <si>
    <t>7103258</t>
  </si>
  <si>
    <t>TRAINER'S ANGEL</t>
  </si>
  <si>
    <t>Mfg Item Number</t>
  </si>
  <si>
    <t>Miscellaneous</t>
  </si>
  <si>
    <t>Mfg Name</t>
  </si>
  <si>
    <t>Prodigo Standard Short Description - 254</t>
  </si>
  <si>
    <t>7500348</t>
  </si>
  <si>
    <t>45080</t>
  </si>
  <si>
    <t>Tab</t>
  </si>
  <si>
    <t>Batch</t>
  </si>
  <si>
    <t>BANDAGE ADHESIVE 2INW X 3INL FABRIC PATCH NON-ADHERENT PAD FLEX-BAND LATEX-FREE STERILE 50/PK</t>
  </si>
  <si>
    <t>PRODIGO1051742</t>
  </si>
  <si>
    <t>PLYOBOX ANGLED 18IN TALL</t>
  </si>
  <si>
    <t>BrandName</t>
  </si>
  <si>
    <t>CREAM SKIN TREATMENT DERMAFUNGAL 3.75OZ TUBE ANTIFUNGAL ODOR CONTROL BARRIER 2% MICONAZOLE NITRATE 24/CA</t>
  </si>
  <si>
    <t>55030507</t>
  </si>
  <si>
    <t>243883</t>
  </si>
  <si>
    <t>PRODIGO1051741</t>
  </si>
  <si>
    <t>2XL EMPTY BUCKET W/LID FOR WIPE REFILLS 2/CS</t>
  </si>
  <si>
    <t>29118M</t>
  </si>
  <si>
    <t>Modifier</t>
  </si>
  <si>
    <t>Customer Code</t>
  </si>
  <si>
    <t>File Name</t>
  </si>
  <si>
    <t>PRODIGO1051786</t>
  </si>
  <si>
    <t>BRACE ORTHOPEDIC SMALL LEFT DORSAL WRIST THERMOSKIN</t>
  </si>
  <si>
    <t>Short Description</t>
  </si>
  <si>
    <t>PRODIGO1051787</t>
  </si>
  <si>
    <t>PRODIGO1051754</t>
  </si>
  <si>
    <t>Volume/Weight</t>
  </si>
  <si>
    <t>PLYOBOX ANGLED 24IN TALL</t>
  </si>
  <si>
    <t>PRODIGO0496854</t>
  </si>
  <si>
    <t>PRODIGO0496781</t>
  </si>
  <si>
    <t>URL1</t>
  </si>
  <si>
    <t>Start Date</t>
  </si>
  <si>
    <t>UNSPSC Description</t>
  </si>
  <si>
    <t>PRODIGO0505699</t>
  </si>
  <si>
    <t>DBC SPRING SINGLES 0.25X15MM</t>
  </si>
  <si>
    <t>7201983</t>
  </si>
  <si>
    <t>BRACE ORTHOPEDIC LARGE RIGHT WRIST FOREARM THERMOSKIN</t>
  </si>
  <si>
    <t>78830402</t>
  </si>
  <si>
    <t>UNSPC V24</t>
  </si>
  <si>
    <t>SLNo_Prod</t>
  </si>
  <si>
    <t>Mfg Ref ID</t>
  </si>
  <si>
    <t>81675693</t>
  </si>
  <si>
    <t>Remarks1</t>
  </si>
  <si>
    <t>263370</t>
  </si>
  <si>
    <t>Remarks</t>
  </si>
  <si>
    <t>PRODIGO1051718</t>
  </si>
  <si>
    <t>PRODIGO1051778</t>
  </si>
  <si>
    <t>Age</t>
  </si>
  <si>
    <t>UNSPSC</t>
  </si>
  <si>
    <t>Classification Remarks</t>
  </si>
  <si>
    <t>Size</t>
  </si>
  <si>
    <t>BODYSOLID FLAT BENCH</t>
  </si>
  <si>
    <t>Len</t>
  </si>
  <si>
    <t>081672286</t>
  </si>
  <si>
    <t>240427</t>
  </si>
  <si>
    <t>Delivered Date</t>
  </si>
  <si>
    <t>Potential / Desc Duplicate across Consolidated</t>
  </si>
  <si>
    <t>260956</t>
  </si>
  <si>
    <t>7102886</t>
  </si>
  <si>
    <t>317269</t>
  </si>
  <si>
    <t>81672286</t>
  </si>
  <si>
    <t>PILL CRUSHER AND SPLITTER</t>
  </si>
  <si>
    <t>Standardized Manufacturer Item Number</t>
  </si>
  <si>
    <t>Packaging for drugs and solutions</t>
  </si>
  <si>
    <t>RED ZIPLK BIOHAZ BGS9 X 12.5IN 100/PK</t>
  </si>
  <si>
    <t>QE Comments</t>
  </si>
  <si>
    <t>RETAINER DRESSING NET SIZE 1 6 7/8INW X 25YDL WRIST FINGER TOE TUBULAR ELASTIC STRETCH SURGILAST</t>
  </si>
  <si>
    <t>REMOVER TAPE TUFFNER 10OZ PRE-TAPE ADHERENT CAN SPRAY</t>
  </si>
  <si>
    <t>PRODIGO1051705</t>
  </si>
  <si>
    <t>PRODIGO1051715</t>
  </si>
  <si>
    <t>016-235-273</t>
  </si>
  <si>
    <t>PRODIGO0496730</t>
  </si>
  <si>
    <t>Miscellaneous1</t>
  </si>
  <si>
    <t>7100675</t>
  </si>
  <si>
    <t>Material</t>
  </si>
  <si>
    <t>ProdigoItemKey1</t>
  </si>
  <si>
    <t>Activities</t>
  </si>
  <si>
    <t>530402</t>
  </si>
  <si>
    <t>PRODIGO1051919</t>
  </si>
  <si>
    <t>Production Comments</t>
  </si>
  <si>
    <t>081675693</t>
  </si>
  <si>
    <t>Latex</t>
  </si>
  <si>
    <t>KNEE HIGH OPEN TOE XL TALL BLACK 20-30 081672286</t>
  </si>
  <si>
    <t>30016M</t>
  </si>
  <si>
    <t>PRODIGO1051709</t>
  </si>
  <si>
    <t>PRODIGO1051719</t>
  </si>
  <si>
    <t>PRODIGO1051769</t>
  </si>
  <si>
    <t>PRODIGO1051749</t>
  </si>
  <si>
    <t>Noun</t>
  </si>
  <si>
    <t>81595545</t>
  </si>
  <si>
    <t>16783</t>
  </si>
  <si>
    <t>PRODIGO1051724</t>
  </si>
  <si>
    <t>7102759</t>
  </si>
  <si>
    <t>Adjective</t>
  </si>
  <si>
    <t>PRODIGO1051795</t>
  </si>
  <si>
    <t>PDF</t>
  </si>
  <si>
    <t>PDG</t>
  </si>
  <si>
    <t>SUPPORT ORTHOPEDIC XL 4-4 1/2INW ELASTIC LEFT WRIST SLIP-ON HOOK-LOOP CLOSE WRIST STRAP PALMAR STAY THUMB HOLE BLACK</t>
  </si>
  <si>
    <t>Short Description 60 Enriched1</t>
  </si>
  <si>
    <t>BAG EQUIPMENT MINI BLACK MEDTRUNK</t>
  </si>
  <si>
    <t>PRODIGO1051803</t>
  </si>
  <si>
    <t>Sort Comment</t>
  </si>
  <si>
    <t>THERATOUCH CX2 2 CHANNEL COMBO</t>
  </si>
  <si>
    <t>HYDRAHEAT PACK - LARGE</t>
  </si>
  <si>
    <t>BANDAID TOUGH STRIPS BOX 20/PK</t>
  </si>
  <si>
    <t>BRACKET MOUNTING FALL PREVENTION BED UNIVERSAL ALARM</t>
  </si>
  <si>
    <t>PRODIGO1051726</t>
  </si>
  <si>
    <t>PRODIGO1051716</t>
  </si>
  <si>
    <t>PRODIGO1051756</t>
  </si>
  <si>
    <t>16784</t>
  </si>
  <si>
    <t>PRODIGO1051796</t>
  </si>
  <si>
    <t>Validated MFR Name</t>
  </si>
  <si>
    <t>55980604</t>
  </si>
  <si>
    <t>7103247</t>
  </si>
  <si>
    <t>7103237</t>
  </si>
  <si>
    <t>Brandname1</t>
  </si>
  <si>
    <t>TRITON 6M TABLE BLACK BASIC PACKAGE</t>
  </si>
  <si>
    <t>Conc</t>
  </si>
  <si>
    <t>7103245</t>
  </si>
  <si>
    <t>SUPPORT ORTHOPEDIC XL 9-10IN CIRC NEOPRENE RIGHT FOREARM WRIST SLIP-ON HOOK-LOOP STRAP DORSAL STAY</t>
  </si>
  <si>
    <t>ProdigoItemKey</t>
  </si>
  <si>
    <t>WRAP ORTHOPEDIC LARGE FABRIFOAM PEDIATRIC LEFT CARPAL NEOPRENE-FREE BLUE CARPALGARD LATEX-FREE</t>
  </si>
  <si>
    <t>553050</t>
  </si>
  <si>
    <t>Count</t>
  </si>
  <si>
    <t>PRODIGO1051751</t>
  </si>
  <si>
    <t>QE Code</t>
  </si>
  <si>
    <t>7103283</t>
  </si>
  <si>
    <t>Job No</t>
  </si>
  <si>
    <t>PRODIGO0544734</t>
  </si>
  <si>
    <t>PUSH METAGRIP CMC THUMB BRACE LEFT 0</t>
  </si>
  <si>
    <t>BRACE ORTHOPEDIC LARGE LEFT DORSAL WRIST THERMOSKIN</t>
  </si>
  <si>
    <t>81675560</t>
  </si>
  <si>
    <t>BIOMED REVIVED II TENS/EMS/MASSAGE OTC</t>
  </si>
  <si>
    <t>Project</t>
  </si>
  <si>
    <t>SE Comments</t>
  </si>
  <si>
    <t>BRACE ORTHOPEDIC SMALL RIGHT DORSAL WRIST THERMOSKIN 1/EA</t>
  </si>
  <si>
    <t>7103257</t>
  </si>
  <si>
    <t>Secondary Dimension(IDXODXLXWXHXDXTHK)</t>
  </si>
  <si>
    <t>PRODIGO1051926</t>
  </si>
  <si>
    <t>UNSPSC Description1</t>
  </si>
  <si>
    <t>ForGhria_Output_2023-06-21</t>
  </si>
  <si>
    <t>Project_Code</t>
  </si>
  <si>
    <t>TAPE MEDICAL 1.5IN X 15YD JAYBIRD ONE</t>
  </si>
  <si>
    <t>47615</t>
  </si>
  <si>
    <t>PRODIGO1051702</t>
  </si>
  <si>
    <t>PRODIGO1051772</t>
  </si>
  <si>
    <t>Source</t>
  </si>
  <si>
    <t>To_Process</t>
  </si>
  <si>
    <t>Corrected By</t>
  </si>
  <si>
    <t>Color</t>
  </si>
  <si>
    <t>GENUTRAIN P3 TITANIUM RIGHT 2</t>
  </si>
  <si>
    <t>PRODIGO1051717</t>
  </si>
  <si>
    <t>PRODIGO0500214</t>
  </si>
  <si>
    <t>UNSPSC1</t>
  </si>
  <si>
    <t>317519</t>
  </si>
  <si>
    <t>HCPCS code</t>
  </si>
  <si>
    <t>BLACK ARM AVERAGE X-LARGE 46 CM</t>
  </si>
  <si>
    <t>HCPCS1</t>
  </si>
  <si>
    <t>Validated MFR Num</t>
  </si>
  <si>
    <t>CHJ</t>
  </si>
  <si>
    <t>11kProdigoItemKey</t>
  </si>
  <si>
    <t>Long Description 254 Enriched1</t>
  </si>
  <si>
    <t>7103250</t>
  </si>
  <si>
    <t>Disposable</t>
  </si>
  <si>
    <t>Source1</t>
  </si>
  <si>
    <t>CE Comments</t>
  </si>
  <si>
    <t>ETRAINER A/P - ACTIVE AND PASSIVE TRAINER</t>
  </si>
  <si>
    <t>55030502</t>
  </si>
  <si>
    <t>ADAPTER DISP LEAD WIRE ELECT</t>
  </si>
  <si>
    <t>RefCat</t>
  </si>
  <si>
    <t>55030504</t>
  </si>
  <si>
    <t>PRODIGO0505796</t>
  </si>
  <si>
    <t>Job No1</t>
  </si>
  <si>
    <t>SUPPORT ORTHOPEDIC LARGE 6-6 1/2IN CIRC FOAM PEDIATRIC LEFT WRIST SLIP-ON WRAP AROUND HOOK-LOOP CLOSURE THUMB HOLE BLACK F/CARPAL TUNNEL SYNDROME WRIST PAIN WRIST STRAIN ARTHRITIS NUSTIM CARPALGARD LATEX-FREE</t>
  </si>
  <si>
    <t>PRODIGO0544675</t>
  </si>
  <si>
    <t>PERFORMANCE HEALTH_081595545</t>
  </si>
  <si>
    <t>PERFORMANCE HEALTH_81621721</t>
  </si>
  <si>
    <t>PERFORMANCE HEALTH_081622893</t>
  </si>
  <si>
    <t>PERFORMANCE HEALTH_081672286</t>
  </si>
  <si>
    <t>PERFORMANCE HEALTH_081675560</t>
  </si>
  <si>
    <t>PERFORMANCE HEALTH_081675693</t>
  </si>
  <si>
    <t>PERFORMANCE HEALTH_12340</t>
  </si>
  <si>
    <t>PERFORMANCE HEALTH_16783</t>
  </si>
  <si>
    <t>PERFORMANCE HEALTH_16784</t>
  </si>
  <si>
    <t>PERFORMANCE HEALTH_240427</t>
  </si>
  <si>
    <t>PERFORMANCE HEALTH_243608</t>
  </si>
  <si>
    <t>PERFORMANCE HEALTH_243883</t>
  </si>
  <si>
    <t>PERFORMANCE HEALTH_260956</t>
  </si>
  <si>
    <t>PERFORMANCE HEALTH_261646</t>
  </si>
  <si>
    <t>PERFORMANCE HEALTH_263112</t>
  </si>
  <si>
    <t>PERFORMANCE HEALTH_263370</t>
  </si>
  <si>
    <t>PERFORMANCE HEALTH_266965</t>
  </si>
  <si>
    <t>PERFORMANCE HEALTH_269754</t>
  </si>
  <si>
    <t>PERFORMANCE HEALTH_29118M</t>
  </si>
  <si>
    <t>PERFORMANCE HEALTH_30016M</t>
  </si>
  <si>
    <t>PERFORMANCE HEALTH_31114M</t>
  </si>
  <si>
    <t>PERFORMANCE HEALTH_317269</t>
  </si>
  <si>
    <t>PERFORMANCE HEALTH_317519</t>
  </si>
  <si>
    <t>PERFORMANCE HEALTH_45080</t>
  </si>
  <si>
    <t>PERFORMANCE HEALTH_47615</t>
  </si>
  <si>
    <t>PERFORMANCE HEALTH_530402</t>
  </si>
  <si>
    <t>PERFORMANCE HEALTH_55030502</t>
  </si>
  <si>
    <t>PERFORMANCE HEALTH_55030504</t>
  </si>
  <si>
    <t>PERFORMANCE HEALTH_55030507</t>
  </si>
  <si>
    <t>PERFORMANCE HEALTH_55030510</t>
  </si>
  <si>
    <t>PERFORMANCE HEALTH_55030519</t>
  </si>
  <si>
    <t>PERFORMANCE HEALTH_553050</t>
  </si>
  <si>
    <t>PERFORMANCE HEALTH_555907</t>
  </si>
  <si>
    <t>PERFORMANCE HEALTH_55975402</t>
  </si>
  <si>
    <t>PERFORMANCE HEALTH_55975406</t>
  </si>
  <si>
    <t>PERFORMANCE HEALTH_55980604</t>
  </si>
  <si>
    <t>PERFORMANCE HEALTH_7100675</t>
  </si>
  <si>
    <t>PERFORMANCE HEALTH_7102657</t>
  </si>
  <si>
    <t>PERFORMANCE HEALTH_7102759</t>
  </si>
  <si>
    <t>PERFORMANCE HEALTH_7102886</t>
  </si>
  <si>
    <t>PERFORMANCE HEALTH_7103077</t>
  </si>
  <si>
    <t>PERFORMANCE HEALTH_7103237</t>
  </si>
  <si>
    <t>PERFORMANCE HEALTH_7103245</t>
  </si>
  <si>
    <t>PERFORMANCE HEALTH_7103247</t>
  </si>
  <si>
    <t>PERFORMANCE HEALTH_7103249</t>
  </si>
  <si>
    <t>PERFORMANCE HEALTH_7103250</t>
  </si>
  <si>
    <t>PERFORMANCE HEALTH_7103257</t>
  </si>
  <si>
    <t>PERFORMANCE HEALTH_7103258</t>
  </si>
  <si>
    <t>PERFORMANCE HEALTH_7103283</t>
  </si>
  <si>
    <t>PERFORMANCE HEALTH_7201933</t>
  </si>
  <si>
    <t>PERFORMANCE HEALTH_7201983</t>
  </si>
  <si>
    <t>PERFORMANCE HEALTH_7202001</t>
  </si>
  <si>
    <t>PERFORMANCE HEALTH_7500348</t>
  </si>
  <si>
    <t>PERFORMANCE HEALTH_78830401</t>
  </si>
  <si>
    <t>PERFORMANCE HEALTH_78830402</t>
  </si>
  <si>
    <t>42141705  Patient positioning cushion or pad or pillow</t>
  </si>
  <si>
    <t>E0190</t>
  </si>
  <si>
    <t>POSITIONING CUSHION/PILLOW/WEDGE, ANY SHAPE OR SIZE, INCLUDES ALL COMPONENTS AND ACCESSORIES</t>
  </si>
  <si>
    <t>Rosidal Soft Foam Padding</t>
  </si>
  <si>
    <t>PAD, COMPRESSION, 0.12X4 IN, SOFT, UNDER WRAP, ROLL, TEAR RESISTANT SLIP, WITH CLIP, FOR LYMPHEDEMA VENOUS, EDEMA, POLYURETHANE FOAM, ROSIDAL, LATEX-FREE</t>
  </si>
  <si>
    <t>PAD, COMPR, 0.12X4 IN, SFT, UNDER WRP, RL, TEAR RESIST SLIP, W/ CLP, FOR LYMPHEDEMA VEN, EDEMA, POLYURETHANE FOAM, ROSIDAL, LF</t>
  </si>
  <si>
    <t>PAD, COMPR, 0.12X4 IN, SFT, UNDER WRP, RL, TEAR RESIST, ROSIDAL</t>
  </si>
  <si>
    <t>PAD</t>
  </si>
  <si>
    <t>COMPRESSION</t>
  </si>
  <si>
    <t>0.12X4 IN</t>
  </si>
  <si>
    <t>SOFT, UNDER WRAP, ROLL, TEAR RESISTANT SLIP, WITH CLIP, FOR LYMPHEDEMA VENOUS, EDEMA</t>
  </si>
  <si>
    <t>POLYURETHANE FOAM</t>
  </si>
  <si>
    <t>ROSIDAL</t>
  </si>
  <si>
    <t>LATEX-FREE</t>
  </si>
  <si>
    <t>6 3/4FTL</t>
  </si>
  <si>
    <t>https://www.performancehealth.com/rosidal-soft-foam-paddings#sin=76457</t>
  </si>
  <si>
    <t>42241807  Hand or finger orthopedic softgoods</t>
  </si>
  <si>
    <t>L3806</t>
  </si>
  <si>
    <t>WRIST HAND FINGER ORTHOSIS, INCLUDES ONE OR MORE NONTORSION JOINT(S), TURNBUCKLES, ELASTIC BANDS/SPRINGS, MAY INCLUDE SOFT INTERFACE MATERIAL, STRAPS, CUSTOM FABRICATED, INCLUDES FITTING AND ADJUSTMENT</t>
  </si>
  <si>
    <t>Comfyprene Hand/Thumb Orthosis</t>
  </si>
  <si>
    <t>ORTHOSIS, HAND/THUMB, LARGE, PEDIATRIC, 4.5-6 IN, 9.5 IN, COMFYPRENE, NAVY, COMFYSPLINTS</t>
  </si>
  <si>
    <t>ORTHOSIS, HAND/THUMB, LG, PEDIATRIC, 4.5-6 IN, 9.5 IN, COMFYPRENE, NAVY, COMFYSPLINTS</t>
  </si>
  <si>
    <t>ORTHOSIS, HAND/THUMB, LG, PEDIATRIC, 4.5-6 IN, 9.5 IN, NAVY</t>
  </si>
  <si>
    <t>ORTHOSIS</t>
  </si>
  <si>
    <t>HAND/THUMB</t>
  </si>
  <si>
    <t>LARGE</t>
  </si>
  <si>
    <t>PEDIATRIC</t>
  </si>
  <si>
    <t>4.5-6 IN</t>
  </si>
  <si>
    <t>9.5 IN</t>
  </si>
  <si>
    <t>COMFYPRENE</t>
  </si>
  <si>
    <t>NAVY</t>
  </si>
  <si>
    <t>COMFYSPLINTS</t>
  </si>
  <si>
    <t>https://www.performancehealth.com/comfyprene-hand-thumb-support#sin=46672</t>
  </si>
  <si>
    <t>42211501  Canes</t>
  </si>
  <si>
    <t>E0105</t>
  </si>
  <si>
    <t>CANE, QUAD OR THREE PRONG, INCLUDES CANES OF ALL MATERIALS, ADJUSTABLE OR FIXED, WITH TIPS</t>
  </si>
  <si>
    <t>Switch Sticks Folding Cane</t>
  </si>
  <si>
    <t>CANE, WALKING, FOLDING, LIGHTWEIGHT, ALUMINUM,  PEARL GOLD, SWITCH STICKS</t>
  </si>
  <si>
    <t>CANE, WALKING, FOLDING, LIGHTWEIGHT, ALUM,  PEARL GLD, SWITCH STK</t>
  </si>
  <si>
    <t>CANE</t>
  </si>
  <si>
    <t>WALKING</t>
  </si>
  <si>
    <t>FOLDING</t>
  </si>
  <si>
    <t>LIGHTWEIGHT</t>
  </si>
  <si>
    <t>ALUMINUM</t>
  </si>
  <si>
    <t xml:space="preserve"> PEARL GOLD</t>
  </si>
  <si>
    <t>SWITCH STICKS</t>
  </si>
  <si>
    <t>https://www.performancehealth.com/switch-sticks-folding-canes#sin=44229</t>
  </si>
  <si>
    <t>42142802  Vascular or compression apparel or support</t>
  </si>
  <si>
    <t>A6530</t>
  </si>
  <si>
    <t>GRADIENT COMPRESSION STOCKING, BELOW KNEE, 18-30 MMHG, EACH</t>
  </si>
  <si>
    <t>ExoStrong Below Knee</t>
  </si>
  <si>
    <t>STOCKING, COMPRESSION, OPEN TOE, XLARGE, TALL, 28-31 CM, BELOW KNEE, BLACK, EXOSTRONG</t>
  </si>
  <si>
    <t>STOCKING, COMPR, OPN TOE, XL, TALL, 28-31 CM, BK, BLK, EXOSTRONG</t>
  </si>
  <si>
    <t>STOCKING</t>
  </si>
  <si>
    <t>OPEN TOE</t>
  </si>
  <si>
    <t>XLARGE, TALL, 28-31 CM</t>
  </si>
  <si>
    <t>BELOW KNEE</t>
  </si>
  <si>
    <t>BLACK</t>
  </si>
  <si>
    <t>EXOSTRONG</t>
  </si>
  <si>
    <t>https://www.performancehealth.com/exostrong-below-knee#sin=50552</t>
  </si>
  <si>
    <t>42241801  Arm orthopedic softgoods</t>
  </si>
  <si>
    <t>ReadyWrap Gauntlet</t>
  </si>
  <si>
    <t>GAUNTLET, ORTHOPAEDIC, LARGE, LEFT, BLACK, READYWRAP</t>
  </si>
  <si>
    <t>GAUNTLET, ORTH, LG, LT, BLK, READYWRAP</t>
  </si>
  <si>
    <t>GAUNTLET</t>
  </si>
  <si>
    <t>ORTHOPAEDIC</t>
  </si>
  <si>
    <t>LEFT</t>
  </si>
  <si>
    <t>READYWRAP</t>
  </si>
  <si>
    <t>https://www.performancehealth.com/readywrap-gauntlet#sin=51175</t>
  </si>
  <si>
    <t>ReadyWrap Arm</t>
  </si>
  <si>
    <t>ARM, COMPRESSION, XLARGE, 36-50 CM, AVERAGE, BLACK, READYWRAP</t>
  </si>
  <si>
    <t>ARM, COMPR, XL, 36-50 CM, AVG, BLK, READYWRAP</t>
  </si>
  <si>
    <t>ARM</t>
  </si>
  <si>
    <t>XLARGE, 36-50 CM</t>
  </si>
  <si>
    <t>AVERAGE</t>
  </si>
  <si>
    <t>https://www.performancehealth.com/readywrap-arm#sin=50021</t>
  </si>
  <si>
    <t>42311551  Medical or surgical tape removers</t>
  </si>
  <si>
    <t>REMOVER, TAPE, PRE-TAPE, 10 OZ, ADHERENT, CAN, SPRAY, TUFFNER</t>
  </si>
  <si>
    <t>REMOVER, TAPE, PRE-TAPE, 10 OZ, ADH, CAN, SPRY, TUFFNER</t>
  </si>
  <si>
    <t>REMOVER</t>
  </si>
  <si>
    <t>TAPE</t>
  </si>
  <si>
    <t>PRE-TAPE</t>
  </si>
  <si>
    <t>10 OZ</t>
  </si>
  <si>
    <t>ADHERENT, CAN, SPRAY</t>
  </si>
  <si>
    <t>TUFFNER</t>
  </si>
  <si>
    <t>URL NOT FOUND</t>
  </si>
  <si>
    <t>42251620  Mats or platforms for rehabilitation or therapy</t>
  </si>
  <si>
    <t>STROOPS PLYOBOXES 18 IN</t>
  </si>
  <si>
    <t>PLYOBOX, REHABILITATION, ANGLED, TALL, 18 IN, STROOPS, LATEX</t>
  </si>
  <si>
    <t>PLYOBOX, REHAB, ANGLED, TALL, 18 IN, STROOPS, LTX</t>
  </si>
  <si>
    <t>PLYOBOX</t>
  </si>
  <si>
    <t>REHABILITATION</t>
  </si>
  <si>
    <t>ANGLED</t>
  </si>
  <si>
    <t>TALL</t>
  </si>
  <si>
    <t>18 IN</t>
  </si>
  <si>
    <t>STROOPS</t>
  </si>
  <si>
    <t>LATEX</t>
  </si>
  <si>
    <t>https://www.performancehealth.ca/stroops-plyobox#sin=32471</t>
  </si>
  <si>
    <t>STROOPS PLYOBOXES 24 IN</t>
  </si>
  <si>
    <t>PLYOBOX, REHABILITATION, ANGLED, TALL, 24 IN, STROOPS, LATEX</t>
  </si>
  <si>
    <t>PLYOBOX, REHAB, ANGLED, TALL, 24 IN, STROOPS, LTX</t>
  </si>
  <si>
    <t>24 IN</t>
  </si>
  <si>
    <t>42192502  Medical equipment bags</t>
  </si>
  <si>
    <t>MINI MEDTRUNK (BLACK)</t>
  </si>
  <si>
    <t>BAG, MOBILITY AID, MINI, EQUIPMENT, BLACK, MEDTRUNK</t>
  </si>
  <si>
    <t>BAG, MOBILITY AID, MINI, EQUIP, BLK, MEDTRUNK</t>
  </si>
  <si>
    <t>BAG</t>
  </si>
  <si>
    <t>MOBILITY AID</t>
  </si>
  <si>
    <t>MINI</t>
  </si>
  <si>
    <t>EQUIPMENT</t>
  </si>
  <si>
    <t>MEDTRUNK</t>
  </si>
  <si>
    <t>https://www.performancehealth.ca/mini-medtrunk-black#sin=33858</t>
  </si>
  <si>
    <t>42251626  Rehabilitation exercise component accessories</t>
  </si>
  <si>
    <t>Plyback Reflex</t>
  </si>
  <si>
    <t>REBOUNDER, PHYSICAL THERAPY, PLYOBACK REFLEX</t>
  </si>
  <si>
    <t>REBOUNDER, PT, PLYOBACK REFLX</t>
  </si>
  <si>
    <t>REBOUNDER</t>
  </si>
  <si>
    <t>PHYSICAL THERAPY</t>
  </si>
  <si>
    <t>PLYOBACK REFLEX</t>
  </si>
  <si>
    <t>ONLY</t>
  </si>
  <si>
    <t>https://www.performancehealth.ca/plyoback-reflex-rebounder-only</t>
  </si>
  <si>
    <t>Classified To Nearest Comodity Level</t>
  </si>
  <si>
    <t>Potential Duplicate Across Consolidated, Ref Id 98861</t>
  </si>
  <si>
    <t>Heavy Duty Flat Bench</t>
  </si>
  <si>
    <t>BENCH, EXERCISE, FLAT, HEAVY DUTY, BODY SOLID</t>
  </si>
  <si>
    <t>BENCH, EXER, FLAT, HVY DTY, BODY SLD</t>
  </si>
  <si>
    <t>BENCH</t>
  </si>
  <si>
    <t>EXERCISE</t>
  </si>
  <si>
    <t>FLAT</t>
  </si>
  <si>
    <t>HEAVY DUTY</t>
  </si>
  <si>
    <t>BODY SOLID</t>
  </si>
  <si>
    <t>https://www.performancehealth.ca/bodysolid-flat-bench#sin=29367</t>
  </si>
  <si>
    <t>42295419  Surgical nerve stimulators</t>
  </si>
  <si>
    <t>Intelect NMES Neuromuscular Electrical Stimulation Units</t>
  </si>
  <si>
    <t>STIMULATOR, NEUROMUSCULAR, DIGITAL, ELECTRICAL, INTELECT LEGEND XT</t>
  </si>
  <si>
    <t>STIMULATOR, NEUROMUSCULAR, DIGITAL, ELECTR, INTELECT LEGEND XT</t>
  </si>
  <si>
    <t>STIMULATOR</t>
  </si>
  <si>
    <t>NEUROMUSCULAR</t>
  </si>
  <si>
    <t>DIGITAL</t>
  </si>
  <si>
    <t>ELECTRICAL</t>
  </si>
  <si>
    <t>INTELECT LEGEND XT</t>
  </si>
  <si>
    <t>https://www.performancehealth.ca/intelect-nmes-neuromuscular-electrical-stimulation-units#sin=35649</t>
  </si>
  <si>
    <t>42241703  Knee therapeutic brace or support</t>
  </si>
  <si>
    <t>SUPPORT, ORTHOPAEDIC, 2, RIGHT, KNEE, TITANIUM, GENUTRAIN P3</t>
  </si>
  <si>
    <t>SUPPORT, ORTH, 2, RT, KNEE, TI, GENUTRAIN P3</t>
  </si>
  <si>
    <t>SUPPORT</t>
  </si>
  <si>
    <t>RIGHT, KNEE</t>
  </si>
  <si>
    <t>TITANIUM</t>
  </si>
  <si>
    <t>GENUTRAIN P3</t>
  </si>
  <si>
    <t>47121701  Trash bags</t>
  </si>
  <si>
    <t>Red Seal Top Biohazard Bag</t>
  </si>
  <si>
    <t>BAG, TRASH, BIOHAZARD, 12.5X9 IN, ZIPLOCK, SEAL TOP, RED</t>
  </si>
  <si>
    <t>TRASH</t>
  </si>
  <si>
    <t>BIOHAZARD</t>
  </si>
  <si>
    <t>12.5X9 IN</t>
  </si>
  <si>
    <t>ZIPLOCK, SEAL TOP</t>
  </si>
  <si>
    <t>RED</t>
  </si>
  <si>
    <t>100/PK</t>
  </si>
  <si>
    <t>https://www.performancehealth.ca/red-seal-top-biohaz-bgs-9-x-12-5#sin=29502</t>
  </si>
  <si>
    <t>42311552  Medical and surgical adherent tapes for general use</t>
  </si>
  <si>
    <t>A6203</t>
  </si>
  <si>
    <t>COMPOSITE DRESSING, STERILE, PAD SIZE 16 SQ. IN. OR LESS, WITH ANY SIZE ADHESIVE BORDER, EACH DRESSING</t>
  </si>
  <si>
    <t>Jaybird EX1</t>
  </si>
  <si>
    <t>TAPE, MEDICAL, ADHESIVE COATED, 15 YDX1.5 IN, JAYBIRD ONE</t>
  </si>
  <si>
    <t>TAPE, MED, ADH COAT, 15 YDX1.5 IN, JAYBIRD 1</t>
  </si>
  <si>
    <t>MEDICAL</t>
  </si>
  <si>
    <t>ADHESIVE COATED</t>
  </si>
  <si>
    <t>15 YDX1.5 IN</t>
  </si>
  <si>
    <t>JAYBIRD ONE</t>
  </si>
  <si>
    <t>https://www.performancehealth.ca/jaybird%20ex1%20|%20adhesive%20athletic%20tape#sin=36239</t>
  </si>
  <si>
    <t>51241100  Ophthalmic agents</t>
  </si>
  <si>
    <t>SOLUTION, OPHTHALMIC, EYE DROP, SOOTHE</t>
  </si>
  <si>
    <t>SOLUTION, OPHTH, EYE GTT, SOOTHE</t>
  </si>
  <si>
    <t>SOLUTION</t>
  </si>
  <si>
    <t>OPHTHALMIC</t>
  </si>
  <si>
    <t>EYE DROP</t>
  </si>
  <si>
    <t>SOOTHE</t>
  </si>
  <si>
    <t>28/BX</t>
  </si>
  <si>
    <t>42181610  Blood pressure cuff kits</t>
  </si>
  <si>
    <t>Pro Kit Combo</t>
  </si>
  <si>
    <t>PRO KIT, COMBO, BLACK</t>
  </si>
  <si>
    <t>PRO KIT, COMB, BLK</t>
  </si>
  <si>
    <t>PRO KIT</t>
  </si>
  <si>
    <t>COMBO</t>
  </si>
  <si>
    <t>VERIDIAN</t>
  </si>
  <si>
    <t>https://www.medco-athletics.com/pro-kit-combo#sin=38656</t>
  </si>
  <si>
    <t>42311545  Non adhesive dry bandages or dressings</t>
  </si>
  <si>
    <t>Kendall Telfa Ouchless Non-Adherent Dressings</t>
  </si>
  <si>
    <t>DRESSING, WOUND, NON-ADHERENT, 4X3 IN, OUCHLESS, FILM, PEEL BACK, COTTON, STERILE, TELFA, LATEX-FREE</t>
  </si>
  <si>
    <t>DRESSING, WND, N ADH, 4X3 IN, OUCHLSS, FLM, PEEL BK, COTTON, STRL, TELFA, LF</t>
  </si>
  <si>
    <t>DRESSING, WND, N ADH, 4X3 IN, OUCHLSS, FLM, PEEL BK, TELFA, LF</t>
  </si>
  <si>
    <t>DRESSING</t>
  </si>
  <si>
    <t>WOUND</t>
  </si>
  <si>
    <t>NON-ADHERENT</t>
  </si>
  <si>
    <t>4X3 IN</t>
  </si>
  <si>
    <t>OUCHLESS, FILM, PEEL BACK</t>
  </si>
  <si>
    <t>COTTON</t>
  </si>
  <si>
    <t>STERILE</t>
  </si>
  <si>
    <t>TELFA</t>
  </si>
  <si>
    <t>50/BX</t>
  </si>
  <si>
    <t>https://www.medco-athletics.com/kendall-telfa-ouchless-non-adherent-dressings#sin=39086</t>
  </si>
  <si>
    <t>42311543  Dressing retainers</t>
  </si>
  <si>
    <t>Surgilast Dressing Retainer</t>
  </si>
  <si>
    <t>RETAINER, DRESSING, TUBULAR, 1, 25 YDX6-7/8 IN, WRIST, FINGER, TOE , ELASTIC STRETCH, SURGILAST</t>
  </si>
  <si>
    <t>RETAINER, DRSG, TBLR, 1, 25 YDX6-7/8 IN, WRST, FNGR, TOE , ELASTIC STRTCH, SURGLAST</t>
  </si>
  <si>
    <t>RETAINER, DRSG, TBLR, 1, 25 YDX6-7/8 IN, WRST, FNGR, TOE , SURGLAST</t>
  </si>
  <si>
    <t>RETAINER</t>
  </si>
  <si>
    <t>TUBULAR</t>
  </si>
  <si>
    <t>25 YDX6-7/8 IN</t>
  </si>
  <si>
    <t xml:space="preserve">WRIST, FINGER, TOE </t>
  </si>
  <si>
    <t>ELASTIC STRETCH</t>
  </si>
  <si>
    <t>SURGILAST</t>
  </si>
  <si>
    <t>https://www.medco-athletics.com/surgilast-dressing-retainer#sin=39095</t>
  </si>
  <si>
    <t>51302337  Miconazole nitrate</t>
  </si>
  <si>
    <t>Dermafungal Antifungal Cream</t>
  </si>
  <si>
    <t>CREAM, ANTIFUNGAL, MICONAZOLE NITRATE 2%, 3.75 OZ, TUBE, ODOR CONTROL, BARRIER, DERMAFUNGAL</t>
  </si>
  <si>
    <t>CREAM, ANTIFUNG, MICONAZOLE NITRT 2%, 3.75 OZ, TUBE, ODOR CTRL, BARR, DERMAFUNGAL</t>
  </si>
  <si>
    <t>CREAM, ANTIFUNG, MICONAZOLE NITRT 2%, 3.75 OZ, TUBE, DERMAFUNGAL</t>
  </si>
  <si>
    <t>CREAM</t>
  </si>
  <si>
    <t>ANTIFUNGAL</t>
  </si>
  <si>
    <t>MICONAZOLE NITRATE 2%</t>
  </si>
  <si>
    <t>3.75 OZ</t>
  </si>
  <si>
    <t>TUBE, ODOR CONTROL, BARRIER</t>
  </si>
  <si>
    <t>DERMAFUNGAL</t>
  </si>
  <si>
    <t>24/CA</t>
  </si>
  <si>
    <t>https://www.medco-athletics.com/dermafungal-antifungal-creams#sin=29820</t>
  </si>
  <si>
    <t>42311546  Adhesive dry bandages or dressings</t>
  </si>
  <si>
    <t>A6413</t>
  </si>
  <si>
    <t>ADHESIVE BANDAGE, FIRST-AID TYPE, ANY SIZE, EACH</t>
  </si>
  <si>
    <t>Soft Flexible Fabric Bandages</t>
  </si>
  <si>
    <t>BANDAGE, WOUND, ADHESIVE, SOFT, FLEXIBLE, FABRIC, 4 WING</t>
  </si>
  <si>
    <t>BANDAGE, WND, ADH, SFT, FLX, FABRIC, 4 WNG</t>
  </si>
  <si>
    <t>BANDAGE</t>
  </si>
  <si>
    <t>ADHESIVE</t>
  </si>
  <si>
    <t>SOFT, FLEXIBLE, FABRIC, 4 WING</t>
  </si>
  <si>
    <t>BOX OF 50</t>
  </si>
  <si>
    <t>https://www.performancehealth.ca/soft-flexible-fabric-bandages#sin=39413</t>
  </si>
  <si>
    <t>Turfcordz Super Safety Bungie</t>
  </si>
  <si>
    <t>BUNGIE, EXERCISE, 10 FT, 75 LB, TURFCORDZ SUPER SAFETY</t>
  </si>
  <si>
    <t>BUNGIE, EXER, 10 FT, 75 LB, TURFCORDZ SUPER SAFETY</t>
  </si>
  <si>
    <t>BUNGIE</t>
  </si>
  <si>
    <t>10 FT</t>
  </si>
  <si>
    <t>75 LB</t>
  </si>
  <si>
    <t>TURFCORDZ SUPER SAFETY</t>
  </si>
  <si>
    <t>https://www.performancehealth.ca/turfcordz-super-safety-bungie#sin=39519</t>
  </si>
  <si>
    <t>Johnson &amp; Johnson BAND AID Tough Strips 20/Box - 1IN x 3.5IN</t>
  </si>
  <si>
    <t>BANDAGE, ADHESIVE, 1X3.5 IN, BANDAID, TOUGH STRIPS</t>
  </si>
  <si>
    <t>BANDAGE, ADH, 1X3.5 IN, BNDAID, TOUGH STRP</t>
  </si>
  <si>
    <t>1X3.5 IN</t>
  </si>
  <si>
    <t>BANDAID, TOUGH STRIPS</t>
  </si>
  <si>
    <t>Box 20/PK</t>
  </si>
  <si>
    <t>https://www.performancehealth.ca/bandaid-tough-strips-20-bx#sin=108471</t>
  </si>
  <si>
    <t>Trainer's Angel</t>
  </si>
  <si>
    <t>ANGEL, TRAINER</t>
  </si>
  <si>
    <t>ANGEL</t>
  </si>
  <si>
    <t>TRAINER</t>
  </si>
  <si>
    <t>https://www.medco-athletics.com/trainer-s-angel</t>
  </si>
  <si>
    <t>42251608  Resistive exercise bands or putty or tubing for rehabilitation or therapy</t>
  </si>
  <si>
    <t>Hand Helper II &amp; Deluxe Hand Helper Exercisers</t>
  </si>
  <si>
    <t>EXERCISER, HAND, RESISTIVE, 3.5X1/8 IN, RIGID PLASTIC FRAME, REPLACEMENT, COLOR-CODED RUBBER BAND, PVC-FREE, RED, HAND HELPER II, LATEX</t>
  </si>
  <si>
    <t>EXERCISER, HND, RESIST, 3.5X1/8 IN, RIGID PLAS FRAME, REPL, COLOR-CODED RUBBER BND, PVC-FREE, RED, HND HELPER II, LTX</t>
  </si>
  <si>
    <t>EXERCISER, HND, RESIST, 3.5X1/8 IN, RIGID PLAS, RED, HND HELPER II</t>
  </si>
  <si>
    <t>EXERCISER</t>
  </si>
  <si>
    <t>HAND</t>
  </si>
  <si>
    <t>RESISTIVE</t>
  </si>
  <si>
    <t>3.5X1/8 IN</t>
  </si>
  <si>
    <t>RIGID PLASTIC FRAME, REPLACEMENT, COLOR-CODED RUBBER BAND, PVC-FREE</t>
  </si>
  <si>
    <t>HAND HELPER II</t>
  </si>
  <si>
    <t>https://www.performancehealth.ca/hand-helper-ii-deluxe-hand-helper#sin=75839</t>
  </si>
  <si>
    <t>42241806  Forearm or wrist or thumb orthopedic softgoods</t>
  </si>
  <si>
    <t>Thermoskin Wrist Braces Small</t>
  </si>
  <si>
    <t>BRACE, ORTHOPAEDIC, SMALL, LEFT, DORSAL, WRIST, THERMOSKIN, LATEX-FREE</t>
  </si>
  <si>
    <t>BRACE, ORTH, SM, LT, DORS, WRST, THERMOSKIN, LF</t>
  </si>
  <si>
    <t>BRACE</t>
  </si>
  <si>
    <t>SMALL</t>
  </si>
  <si>
    <t>LEFT, DORSAL, WRIST</t>
  </si>
  <si>
    <t>THERMOSKIN</t>
  </si>
  <si>
    <t>https://www.performancehealth.com/thermoskin-wrist-brace#sin=107215</t>
  </si>
  <si>
    <t>Thermoskin Wrist Braces Large</t>
  </si>
  <si>
    <t>BRACE, ORTHOPAEDIC, LARGE, LEFT, DORSAL, WRIST, THERMOSKIN, LATEX-FREE</t>
  </si>
  <si>
    <t>BRACE, ORTH, LG, LT, DORS, WRST, THERMOSKIN, LF</t>
  </si>
  <si>
    <t>https://www.performancehealth.com/thermoskin-wrist-brace#sin=108697</t>
  </si>
  <si>
    <t>BRACE, ORTHOPAEDIC, SMALL, RIGHT, DORSAL, WRIST, THERMOSKIN, LATEX-FREE</t>
  </si>
  <si>
    <t>BRACE, ORTH, SM, RT, DORS, WRST, THERMOSKIN, LF</t>
  </si>
  <si>
    <t>RIGHT, DORSAL, WRIST</t>
  </si>
  <si>
    <t>1/EA</t>
  </si>
  <si>
    <t>https://www.performancehealth.com/thermoskin-wrist-brace#sin=108698</t>
  </si>
  <si>
    <t>SUPPORT, ORTHOPAEDIC, XLARGE, 9-10 IN, RIGHT, FOREARM, WRIST, SLIP-ON, HOOK-LOOP STRAP, DORSAL STAY, NEOPRENE</t>
  </si>
  <si>
    <t>SUPPORT, ORTH, XL, 9-10 IN, RT, FOREARM, WRST, SLIP-ON, HOOK-LOOP STRP, DORS STAY, NEOPRNE</t>
  </si>
  <si>
    <t>SUPPORT, ORTH, XL, 9-10 IN, RT, FOREARM, WRST, SLIP-ON, NEOPRNE</t>
  </si>
  <si>
    <t>XLARGE, 9-10 IN</t>
  </si>
  <si>
    <t>RIGHT, FOREARM, WRIST</t>
  </si>
  <si>
    <t>SLIP-ON, HOOK-LOOP STRAP, DORSAL STAY</t>
  </si>
  <si>
    <t>NEOPRENE</t>
  </si>
  <si>
    <t>BRACE, ORTHOPAEDIC, LARGE, RIGHT, WRIST, FOREARM, THERMOSKIN, LATEX-FREE</t>
  </si>
  <si>
    <t>BRACE, ORTH, LG, RT, WRST, FOREARM, THERMOSKIN, LF</t>
  </si>
  <si>
    <t>RIGHT, WRIST, FOREARM</t>
  </si>
  <si>
    <t>https://www.performancehealth.com/thermoskin-wrist-brace#sin=108704</t>
  </si>
  <si>
    <t>42143611  Patient stabilization or fall prevention device accessories</t>
  </si>
  <si>
    <t>BRACKET, MOUNTING, FALL PREVENTION, UNIVERSAL, BED, ALARM</t>
  </si>
  <si>
    <t>BRACKET, MT, FALL PREVENTION, UNIV, BD, ALRM</t>
  </si>
  <si>
    <t>BRACKET</t>
  </si>
  <si>
    <t>MOUNTING</t>
  </si>
  <si>
    <t>FALL PREVENTION</t>
  </si>
  <si>
    <t>UNIVERSAL</t>
  </si>
  <si>
    <t>BED, ALARM</t>
  </si>
  <si>
    <t>http://online.flipbuilder.com/ffcx/zypf/files/basic-html/page790.html</t>
  </si>
  <si>
    <t>Flex-Band Fabric Adhesive Bandages</t>
  </si>
  <si>
    <t>BANDAGE, ADHESIVE, NON-ADHERENT, 3X2 IN, PATCH, PAD, FABRIC, STERILE, FLEX-BAND, LATEX-FREE</t>
  </si>
  <si>
    <t>BANDAGE, ADH, N ADH, 3X2 IN, PTCH, PD, FABRIC, STRL, FLEX-BAND, LF</t>
  </si>
  <si>
    <t>3X2 IN</t>
  </si>
  <si>
    <t>PATCH, PAD</t>
  </si>
  <si>
    <t>FABRIC</t>
  </si>
  <si>
    <t>FLEX-BAND</t>
  </si>
  <si>
    <t>50/PK</t>
  </si>
  <si>
    <t>https://www.performancehealth.com/flex-band-fabric-adhesive-bandages#sin=47721</t>
  </si>
  <si>
    <t>WRAP, ORTHOPAEDIC, FABRIFOAM, LARGE, PEDIATRIC, LEFT, CARPAL, NEOPRENE-FREE, BLUE, CARPALGARD, LATEX-FREE</t>
  </si>
  <si>
    <t>WRAP, ORTH, FABRIFOAM, LG, PEDIATRIC, LT, CRPL, NEOPRENE-FREE, BLU, CARPALGARD, LF</t>
  </si>
  <si>
    <t>WRAP, ORTH, FABRIFOAM, LG, PEDIATRIC, LT, CRPL, BLU, CARPALGARD, LF</t>
  </si>
  <si>
    <t>WRAP</t>
  </si>
  <si>
    <t>FABRIFOAM</t>
  </si>
  <si>
    <t>LEFT, CARPAL</t>
  </si>
  <si>
    <t>NEOPRENE-FREE</t>
  </si>
  <si>
    <t>BLUE</t>
  </si>
  <si>
    <t>CARPALGARD</t>
  </si>
  <si>
    <t>SUPPORT ORTHOPEDIC LARGE 6-6.5IN CIRC FOAM PEDIATRIC LEFT WRIST SLIP-ON WRAP AROUND HOOK-LOOP CLOSURE THUMB HOLE BLACK F/CARPAL TUNNEL SYNDROME WRIST PAIN WRIST STRAIN ARTHRITIS NUSTIM CARPALGARD LATEX-FREE</t>
  </si>
  <si>
    <t>SUPPORT, ORTHOPAEDIC, SLIP-ON, LARGE, 6-6 1/2IN, PEDIATRIC, LEFT, WRIST, WRAP AROUND, HOOK-LOOP, CLOSURE THUMB HOLE, FOR CARPAL TUNNEL SYNDROME, ARTHRITIS NUSTIM, BLACK, CARPALGARD, LATEX-FREE</t>
  </si>
  <si>
    <t>SUPPORT, ORTH, SLIP-ON, LG, 6-6 1/2IN, PEDIATRIC, LT, WRST, WRP ARND, HOOK-LOOP, CLOSURE THMB HOLE, FOR CRPL TUNN SYNDROME, ARTHRITIS NUSTIM, BLK, CARPALGARD, LF</t>
  </si>
  <si>
    <t>SUPPORT, ORTH, SLIP-ON, LG, 6-6 1/2IN, PEDIATRIC, BLK, CARPALGARD</t>
  </si>
  <si>
    <t>SLIP-ON</t>
  </si>
  <si>
    <t>LARGE, 6-6 1/2IN</t>
  </si>
  <si>
    <t>LEFT, WRIST</t>
  </si>
  <si>
    <t>WRAP AROUND, HOOK-LOOP, CLOSURE THUMB HOLE, FOR CARPAL TUNNEL SYNDROME, ARTHRITIS NUSTIM</t>
  </si>
  <si>
    <t xml:space="preserve">PAIN, STRAIN </t>
  </si>
  <si>
    <t>SUPPORT ORTHOPEDIC 2XL 10.25-11.25IN CIRC 6INL RIGHT WRIST SLIP-ON HOOK-LOOP STRAP DORSAL STAY LATEX-FREE</t>
  </si>
  <si>
    <t>SUPPORT, ORTHOPAEDIC, SLIP-ON, XXLARGE 10-1/4-11 1/4 IN, 6 IN, RIGHT, WRIST, HOOK-LOOP STRAP, DORSAL STAY , LATEX-FREE</t>
  </si>
  <si>
    <t>SUPPORT, ORTH, SLIP-ON, 2XL 10-1/4-11 1/4 IN, 6 IN, RT, WRST, HOOK-LOOP STRP, DORS STAY , LF</t>
  </si>
  <si>
    <t>SUPPORT, ORTH, SLIP-ON, 2XL 10-1/4-11 1/4 IN, 6 IN, RT, WRST, LF</t>
  </si>
  <si>
    <t>XXLARGE 10-1/4-11 1/4 IN</t>
  </si>
  <si>
    <t>6 IN</t>
  </si>
  <si>
    <t>RIGHT, WRIST</t>
  </si>
  <si>
    <t xml:space="preserve">HOOK-LOOP STRAP, DORSAL STAY </t>
  </si>
  <si>
    <t>42144201  Acupuncture needles</t>
  </si>
  <si>
    <t>A4215</t>
  </si>
  <si>
    <t>DBC Spring Singles Needles</t>
  </si>
  <si>
    <t>NEEDLE, ACUPUNCTURE, SPRING, 0.25X15 MM, SPRING, STAINLESS STEEL, DBC</t>
  </si>
  <si>
    <t>NEEDLE, ACUPUNCTURE, SPRING, 0.25X15 MM, SPRING, SS, DBC</t>
  </si>
  <si>
    <t>NEEDLE</t>
  </si>
  <si>
    <t>ACUPUNCTURE</t>
  </si>
  <si>
    <t>SPRING</t>
  </si>
  <si>
    <t>0.25X15 MM</t>
  </si>
  <si>
    <t>STAINLESS STEEL</t>
  </si>
  <si>
    <t>DBC</t>
  </si>
  <si>
    <t>https://www.performancehealth.com/dbc-spring-singles-needles#sin=117963</t>
  </si>
  <si>
    <t>eTrainer A/P - Active and Passive Trainer</t>
  </si>
  <si>
    <t>TRAINER, EXERCISE, ACTIVE AND PASSIVE, ETRAINER</t>
  </si>
  <si>
    <t>TRAINER, EXER, ACTIVE &amp; PASS, ETRAINER</t>
  </si>
  <si>
    <t>ACTIVE AND PASSIVE</t>
  </si>
  <si>
    <t>ETRAINER</t>
  </si>
  <si>
    <t>https://www.performancehealth.com/etrainer-a-p-active-and-passive-trainer#sin=140722</t>
  </si>
  <si>
    <t>41103706  Water baths</t>
  </si>
  <si>
    <t>Rolyan Smart Splint Bath - Standard</t>
  </si>
  <si>
    <t>BATH, WATER, SMART SPLINT, STANDARD, ROLYAN</t>
  </si>
  <si>
    <t>BATH, H2O, SMRT SPLNT, STD, ROLYAN</t>
  </si>
  <si>
    <t>BATH</t>
  </si>
  <si>
    <t>WATER</t>
  </si>
  <si>
    <t>SMART SPLINT</t>
  </si>
  <si>
    <t>STANDARD</t>
  </si>
  <si>
    <t>ROLYAN</t>
  </si>
  <si>
    <t>https://www.performancehealth.com/rolyan-smart-splint-bath-standard#sin=140987</t>
  </si>
  <si>
    <t>42295156  Operating room patient positioning device accessories for general use</t>
  </si>
  <si>
    <t>Triton DTS Traction Packages</t>
  </si>
  <si>
    <t>UNIT, TRACTION, 6 M, TABLE, BASIC PACKAGE, BLACK, TRITON DTS</t>
  </si>
  <si>
    <t>UNIT, TRACTION, 6 M, TBL, BASIC PKG, BLK, TRITON DTS</t>
  </si>
  <si>
    <t>UNIT</t>
  </si>
  <si>
    <t>TRACTION</t>
  </si>
  <si>
    <t>6 M</t>
  </si>
  <si>
    <t>TABLE, BASIC PACKAGE</t>
  </si>
  <si>
    <t>TRITON DTS</t>
  </si>
  <si>
    <t>https://www.performancehealth.com/chattanooga-triton-dts-traction-packages#sin=142457</t>
  </si>
  <si>
    <t>47131502  Cleaning cloths or wipes</t>
  </si>
  <si>
    <t>Companion Disinfectant Wipes</t>
  </si>
  <si>
    <t>WIPE, DISINFECTANT, GERMICIDAL, COMPANION</t>
  </si>
  <si>
    <t>WIPE, DISINFECTANT, GERM, COMPANION</t>
  </si>
  <si>
    <t>WIPE</t>
  </si>
  <si>
    <t>DISINFECTANT</t>
  </si>
  <si>
    <t>GERMICIDAL</t>
  </si>
  <si>
    <t>COMPANION</t>
  </si>
  <si>
    <t>160CT PER CANISTER</t>
  </si>
  <si>
    <t>https://www.performancehealth.com/companion-disinfectant-wipes-160ct-per-cannister#sin=142826</t>
  </si>
  <si>
    <t>42232001  Tablet crushers</t>
  </si>
  <si>
    <t>CRUSHER, PILL , SPLITTER</t>
  </si>
  <si>
    <t>CRUSHER, PILL , SPL</t>
  </si>
  <si>
    <t>CRUSHER</t>
  </si>
  <si>
    <t xml:space="preserve">PILL </t>
  </si>
  <si>
    <t>SPLITTER</t>
  </si>
  <si>
    <t>42141811  Extracorporeal shock wave therapy systems</t>
  </si>
  <si>
    <t>Intelect RPW 2</t>
  </si>
  <si>
    <t>UNIT, REHABILITATION, INTELECT RPW 2, CHATANOOGA</t>
  </si>
  <si>
    <t>UNIT, REHAB, INTELECT RPW 2, CHATANOOGA</t>
  </si>
  <si>
    <t>INTELECT RPW 2, CHATANOOGA</t>
  </si>
  <si>
    <t>https://www.performancehealth.com/intelect-rpw-2#sin=143041</t>
  </si>
  <si>
    <t>42142108  Therapeutic heating or cooling pads or compresses or packs</t>
  </si>
  <si>
    <t>HydraHeat Hot Packs</t>
  </si>
  <si>
    <t>THERAPEUTIC PACK, HOT, LARGE, HYDRAHEAT</t>
  </si>
  <si>
    <t>THERAPEUTIC PACK, HOT, LG, HYDRAHEAT</t>
  </si>
  <si>
    <t>THERAPEUTIC PACK</t>
  </si>
  <si>
    <t>HOT</t>
  </si>
  <si>
    <t>HYDRAHEAT</t>
  </si>
  <si>
    <t>https://www.performancehealth.com/performa-hydraheat-pads#sin=143048</t>
  </si>
  <si>
    <t>Push MetaGrip CMC Thumb Brace - CMC Splint</t>
  </si>
  <si>
    <t>BRACE, ORTHOPAEDIC, CMC ORTHOSIS, 0, LEFT, THUMB, METAGRIP, PUSH</t>
  </si>
  <si>
    <t>BRACE, ORTH, CMC ORTHOSIS, 0, LT, THMB, METAGRIP, PUSH</t>
  </si>
  <si>
    <t>CMC ORTHOSIS</t>
  </si>
  <si>
    <t>LEFT, THUMB</t>
  </si>
  <si>
    <t>METAGRIP</t>
  </si>
  <si>
    <t>PUSH</t>
  </si>
  <si>
    <t>https://www.performancehealth.com/push-metagrip-thumb-cmc-orthosis-brace#sin=143103</t>
  </si>
  <si>
    <t>BRACE, ORTHOPAEDIC, CMC ORTHOSIS, 0, RIGHT, THUMB, METAGRIP, PUSH</t>
  </si>
  <si>
    <t>BRACE, ORTH, CMC ORTHOSIS, 0, RT, THMB, METAGRIP, PUSH</t>
  </si>
  <si>
    <t>RIGHT, THUMB</t>
  </si>
  <si>
    <t>42181702  Electrocardiography EKG adapters or cables or leads</t>
  </si>
  <si>
    <t>Adapter for Disposable Lead Wires</t>
  </si>
  <si>
    <t>ADAPTER, ELECTRODE, FOR LEAD WIRE, DISPOSABLE</t>
  </si>
  <si>
    <t>ADAPTER, ELECTRD, FOR LD WIRE, DISP</t>
  </si>
  <si>
    <t>ADAPTER</t>
  </si>
  <si>
    <t>ELECTRODE</t>
  </si>
  <si>
    <t>FOR LEAD WIRE</t>
  </si>
  <si>
    <t>DISPOSABLE</t>
  </si>
  <si>
    <t>https://www.performancehealth.com/adapter-for-disp-lead-wire-electrodes#sin=143127</t>
  </si>
  <si>
    <t>42241502  Cast or splint padding materials</t>
  </si>
  <si>
    <t>PADDING, CAST, 1 YDX60 IN, 15.5 OZ, SHERPA</t>
  </si>
  <si>
    <t>PADDING</t>
  </si>
  <si>
    <t>CAST</t>
  </si>
  <si>
    <t>1 YDX60 IN</t>
  </si>
  <si>
    <t>15.5 OZ</t>
  </si>
  <si>
    <t>SHERPA</t>
  </si>
  <si>
    <t>42281514  Sanitizer heaters</t>
  </si>
  <si>
    <t>SANITIZER, UVC, LUMIN WAND</t>
  </si>
  <si>
    <t>SANITIZER</t>
  </si>
  <si>
    <t>UVC</t>
  </si>
  <si>
    <t>WIPE, DISINFECTANT, XXLARGE, EMPTY BUCKET, WITH LID FOR REFILLE</t>
  </si>
  <si>
    <t>WIPE, DISINFECTANT, 2XL, EMP BCKT, W/ LID FOR REFILLE</t>
  </si>
  <si>
    <t>XXLARGE</t>
  </si>
  <si>
    <t>EMPTY BUCKET, WITH LID FOR REFILLE</t>
  </si>
  <si>
    <t>2/CS</t>
  </si>
  <si>
    <t>42141801  Electrotherapy combination units</t>
  </si>
  <si>
    <t>TheraTouch CX2 Combo Unit</t>
  </si>
  <si>
    <t>UNIT, ELECTROTHERAPY, TWO-CHANNEL, COMBO, THERATOUCH CX2</t>
  </si>
  <si>
    <t>UNIT, ELECTROTHERAPY, TWO-CHANNEL, COMB, THERATOUCH CX2</t>
  </si>
  <si>
    <t>ELECTROTHERAPY</t>
  </si>
  <si>
    <t>TWO-CHANNEL</t>
  </si>
  <si>
    <t>THERATOUCH CX2</t>
  </si>
  <si>
    <t>https://www.performancehealth.com/theratouch-cx2-2-channel-combo</t>
  </si>
  <si>
    <t>53131702  Massage machine</t>
  </si>
  <si>
    <t>BioMed Revived II Digital TENS / EMS / Massage Stimulator</t>
  </si>
  <si>
    <t>DEVICE, MASSAGE, PAIN RELIEF, TENS/EMS/OTC, BIOMED REVIVED II</t>
  </si>
  <si>
    <t>DEVICE, MASSG, PAIN REL, TENS/EMS/OTC, BIOMED REVIVED II</t>
  </si>
  <si>
    <t>DEVICE</t>
  </si>
  <si>
    <t>MASSAGE</t>
  </si>
  <si>
    <t>PAIN RELIEF</t>
  </si>
  <si>
    <t>TENS/EMS/OTC</t>
  </si>
  <si>
    <t>BIOMED REVIVED II</t>
  </si>
  <si>
    <t>https://www.performancehealth.com/biomed-revived-ii-tens-ems-massage-otc#sin=143171</t>
  </si>
  <si>
    <t>42211506  Walkers or rollators</t>
  </si>
  <si>
    <t>Days 111 Bariatric Rollator</t>
  </si>
  <si>
    <t>ROLLATOR, PATIENT, BARIATRIC, ADJUSTABLE HEIGHT, 111 DAY, RED</t>
  </si>
  <si>
    <t>ROLLATOR, PT, BRTRC, ADJ HT, 111 DAY, RED</t>
  </si>
  <si>
    <t>ROLLATOR</t>
  </si>
  <si>
    <t>PATIENT</t>
  </si>
  <si>
    <t>BARIATRIC</t>
  </si>
  <si>
    <t>ADJUSTABLE HEIGHT, 111 DAY</t>
  </si>
  <si>
    <t>https://www.performancehealth.com/days-111-bariatric-rollator#sin=142644</t>
  </si>
  <si>
    <t>Core Reflex Wrist Support</t>
  </si>
  <si>
    <t>SUPPORT, ORTHOPAEDIC, XLARGE, 4-4.5 IN, LEFT, WRIST, SLIP-ON, HOOK-LOOP CLOSE, WRIST STRAP, PALMAR STAY, THUMB HOLE, ELASTIC, BLACK, CORE, REFLEX</t>
  </si>
  <si>
    <t>SUPPORT, ORTH, XL, 4-4.5 IN, LT, WRST, SLIP-ON, HOOK-LOOP CLOSE, WRST STRP, PALMAR STAY, THMB HOLE, ELASTIC, BLK, COR, REFLX</t>
  </si>
  <si>
    <t>SUPPORT, ORTH, XL, 4-4.5 IN, LT, WRST, SLIP-ON, BLK, COR, REFLX</t>
  </si>
  <si>
    <t>XLARGE</t>
  </si>
  <si>
    <t>4-4.5 IN</t>
  </si>
  <si>
    <t>SLIP-ON, HOOK-LOOP CLOSE, WRIST STRAP, PALMAR STAY, THUMB HOLE</t>
  </si>
  <si>
    <t>ELASTIC</t>
  </si>
  <si>
    <t>CORE, REFLEX</t>
  </si>
  <si>
    <t>https://www.performancehealth.com/core-reflex-wrist-supports#sin=81896</t>
  </si>
  <si>
    <t>SUPPORT, ORTHOPAEDIC, XLARGE, 4-4.5 IN, RIGHT, WRIST, SLIP-ON, HOOK-LOOP CLOSE, WRIST STRAP, PALMAR STAY, THUMB HOLE, ELASTIC, BLACK, CORE, REFLEX</t>
  </si>
  <si>
    <t>SUPPORT, ORTH, XL, 4-4.5 IN, RT, WRST, SLIP-ON, HOOK-LOOP CLOSE, WRST STRP, PALMAR STAY, THMB HOLE, ELASTIC, BLK, COR, REFLX</t>
  </si>
  <si>
    <t>SUPPORT, ORTH, XL, 4-4.5 IN, RT, WRST, SLIP-ON, BLK, COR, REFLX</t>
  </si>
  <si>
    <t>https://www.performancehealth.com/core-reflex-wrist-supports#sin=81897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</si>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</sst>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4" fontId="6" fillId="0" borderId="1" xfId="0" quotePrefix="1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56"/>
  <sheetViews>
    <sheetView tabSelected="1" workbookViewId="0"/>
  </sheetViews>
  <sheetFormatPr defaultColWidth="9.140625" defaultRowHeight="12"/>
  <cols>
    <col min="1" max="1" width="14.28515625" style="1" customWidth="1"/>
    <col min="2" max="2" width="12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6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218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4.140625" style="1" customWidth="1"/>
    <col min="65" max="65" width="7.28515625" style="1" customWidth="1"/>
    <col min="66" max="66" width="11.42578125" style="1" customWidth="1"/>
    <col min="67" max="67" width="6.42578125" style="1" customWidth="1"/>
    <col min="68" max="68" width="10.42578125" style="1" customWidth="1"/>
    <col min="69" max="69" width="13" style="1" customWidth="1"/>
    <col min="70" max="71" width="5.140625" style="1" customWidth="1"/>
    <col min="72" max="72" width="17.85546875" style="1" customWidth="1"/>
    <col min="73" max="73" width="18.85546875" style="1" customWidth="1"/>
    <col min="74" max="74" width="8.85546875" style="1" customWidth="1"/>
    <col min="75" max="75" width="19.28515625" style="1" customWidth="1"/>
    <col min="76" max="76" width="38.140625" style="1" customWidth="1"/>
    <col min="77" max="77" width="15.7109375" style="1" customWidth="1"/>
    <col min="78" max="78" width="11.7109375" style="1" customWidth="1"/>
    <col min="79" max="79" width="16.140625" style="1" customWidth="1"/>
    <col min="80" max="80" width="9.28515625" style="1" customWidth="1"/>
    <col min="81" max="81" width="20" style="1" customWidth="1"/>
    <col min="82" max="82" width="18.7109375" style="1" customWidth="1"/>
    <col min="83" max="83" width="8.140625" style="1" customWidth="1"/>
    <col min="84" max="84" width="35.28515625" style="1" customWidth="1"/>
    <col min="85" max="85" width="26.42578125" style="1" customWidth="1"/>
    <col min="86" max="86" width="26.85546875" style="1" customWidth="1"/>
    <col min="87" max="87" width="34.140625" style="1" customWidth="1"/>
    <col min="88" max="88" width="12.140625" style="1" customWidth="1"/>
    <col min="89" max="89" width="14" style="1" customWidth="1"/>
    <col min="90" max="90" width="6.140625" style="1" customWidth="1"/>
    <col min="91" max="91" width="18.85546875" style="1" customWidth="1"/>
    <col min="92" max="92" width="20.28515625" style="1" customWidth="1"/>
    <col min="93" max="93" width="9.85546875" style="1" customWidth="1"/>
    <col min="94" max="94" width="12.140625" style="1" customWidth="1"/>
    <col min="95" max="95" width="4.7109375" style="1" customWidth="1"/>
    <col min="96" max="96" width="12.5703125" style="1" customWidth="1"/>
    <col min="97" max="97" width="10" style="1" customWidth="1"/>
    <col min="98" max="98" width="6.42578125" style="1" customWidth="1"/>
    <col min="99" max="99" width="15.85546875" style="1" customWidth="1"/>
    <col min="100" max="100" width="10.5703125" style="1" customWidth="1"/>
    <col min="101" max="102" width="17.7109375" style="1" customWidth="1"/>
    <col min="103" max="103" width="8.7109375" style="1" customWidth="1"/>
    <col min="104" max="104" width="8.42578125" style="1" customWidth="1"/>
    <col min="105" max="105" width="8.7109375" style="1" customWidth="1"/>
    <col min="106" max="106" width="10.140625" style="1" customWidth="1"/>
    <col min="107" max="107" width="9.7109375" style="1" customWidth="1"/>
    <col min="108" max="108" width="13.85546875" style="1" customWidth="1"/>
    <col min="109" max="109" width="6.85546875" style="1" customWidth="1"/>
    <col min="110" max="110" width="8.42578125" style="1" customWidth="1"/>
    <col min="111" max="111" width="19.85546875" style="1" customWidth="1"/>
    <col min="112" max="112" width="18.5703125" style="1" customWidth="1"/>
    <col min="113" max="113" width="9.140625" style="1" customWidth="1"/>
    <col min="114" max="16384" width="9.140625" style="1"/>
  </cols>
  <sheetData>
    <row r="1" spans="1:112" ht="12" customHeight="1">
      <c r="A1" s="2" t="s">
        <v>134</v>
      </c>
      <c r="B1" s="2" t="s">
        <v>242</v>
      </c>
      <c r="C1" s="2" t="s">
        <v>248</v>
      </c>
      <c r="D1" s="2" t="s">
        <v>72</v>
      </c>
      <c r="E1" s="2" t="s">
        <v>249</v>
      </c>
      <c r="F1" s="2" t="s">
        <v>82</v>
      </c>
      <c r="G1" s="2" t="s">
        <v>280</v>
      </c>
      <c r="H1" s="2" t="s">
        <v>191</v>
      </c>
      <c r="I1" s="2" t="s">
        <v>87</v>
      </c>
      <c r="J1" s="2" t="s">
        <v>216</v>
      </c>
      <c r="K1" s="2" t="s">
        <v>240</v>
      </c>
      <c r="L1" s="2" t="s">
        <v>180</v>
      </c>
      <c r="M1" s="2" t="s">
        <v>67</v>
      </c>
      <c r="N1" s="2" t="s">
        <v>58</v>
      </c>
      <c r="O1" s="2" t="s">
        <v>97</v>
      </c>
      <c r="P1" s="2" t="s">
        <v>263</v>
      </c>
      <c r="Q1" s="2" t="s">
        <v>146</v>
      </c>
      <c r="R1" s="2" t="s">
        <v>35</v>
      </c>
      <c r="S1" s="2" t="s">
        <v>83</v>
      </c>
      <c r="T1" s="2" t="s">
        <v>154</v>
      </c>
      <c r="U1" s="3" t="s">
        <v>60</v>
      </c>
      <c r="V1" s="3" t="s">
        <v>69</v>
      </c>
      <c r="W1" s="4" t="s">
        <v>117</v>
      </c>
      <c r="X1" s="5" t="s">
        <v>102</v>
      </c>
      <c r="Y1" s="6" t="s">
        <v>226</v>
      </c>
      <c r="Z1" s="4" t="s">
        <v>115</v>
      </c>
      <c r="AA1" s="5" t="s">
        <v>177</v>
      </c>
      <c r="AB1" s="6" t="s">
        <v>273</v>
      </c>
      <c r="AC1" s="2" t="s">
        <v>66</v>
      </c>
      <c r="AD1" s="2" t="s">
        <v>284</v>
      </c>
      <c r="AE1" s="7" t="s">
        <v>8</v>
      </c>
      <c r="AF1" s="2" t="s">
        <v>232</v>
      </c>
      <c r="AG1" s="5" t="s">
        <v>163</v>
      </c>
      <c r="AH1" s="5" t="s">
        <v>31</v>
      </c>
      <c r="AI1" s="5" t="s">
        <v>147</v>
      </c>
      <c r="AJ1" s="5" t="s">
        <v>48</v>
      </c>
      <c r="AK1" s="5" t="s">
        <v>11</v>
      </c>
      <c r="AL1" s="5" t="s">
        <v>155</v>
      </c>
      <c r="AM1" s="5" t="s">
        <v>235</v>
      </c>
      <c r="AN1" s="5" t="s">
        <v>261</v>
      </c>
      <c r="AO1" s="6" t="s">
        <v>153</v>
      </c>
      <c r="AP1" s="2" t="s">
        <v>270</v>
      </c>
      <c r="AQ1" s="2" t="s">
        <v>9</v>
      </c>
      <c r="AR1" s="8" t="s">
        <v>2</v>
      </c>
      <c r="AS1" s="6" t="s">
        <v>45</v>
      </c>
      <c r="AT1" s="6" t="s">
        <v>86</v>
      </c>
      <c r="AU1" s="9" t="s">
        <v>138</v>
      </c>
      <c r="AV1" s="9" t="s">
        <v>91</v>
      </c>
      <c r="AW1" s="6" t="s">
        <v>167</v>
      </c>
      <c r="AX1" s="8" t="s">
        <v>203</v>
      </c>
      <c r="AY1" s="8" t="s">
        <v>133</v>
      </c>
      <c r="AZ1" s="8" t="s">
        <v>208</v>
      </c>
      <c r="BA1" s="8" t="s">
        <v>165</v>
      </c>
      <c r="BB1" s="8" t="s">
        <v>162</v>
      </c>
      <c r="BC1" s="8" t="s">
        <v>81</v>
      </c>
      <c r="BD1" s="8" t="s">
        <v>252</v>
      </c>
      <c r="BE1" s="8" t="s">
        <v>141</v>
      </c>
      <c r="BF1" s="8" t="s">
        <v>40</v>
      </c>
      <c r="BG1" s="8" t="s">
        <v>111</v>
      </c>
      <c r="BH1" s="8" t="s">
        <v>29</v>
      </c>
      <c r="BI1" s="8" t="s">
        <v>189</v>
      </c>
      <c r="BJ1" s="8" t="s">
        <v>178</v>
      </c>
      <c r="BK1" s="8" t="s">
        <v>264</v>
      </c>
      <c r="BL1" s="8" t="s">
        <v>88</v>
      </c>
      <c r="BM1" s="8" t="s">
        <v>47</v>
      </c>
      <c r="BN1" s="8" t="s">
        <v>126</v>
      </c>
      <c r="BO1" s="8" t="s">
        <v>196</v>
      </c>
      <c r="BP1" s="8" t="s">
        <v>278</v>
      </c>
      <c r="BQ1" s="8" t="s">
        <v>116</v>
      </c>
      <c r="BR1" s="6" t="s">
        <v>12</v>
      </c>
      <c r="BS1" s="6" t="s">
        <v>210</v>
      </c>
      <c r="BT1" s="8" t="s">
        <v>42</v>
      </c>
      <c r="BU1" s="8" t="s">
        <v>43</v>
      </c>
      <c r="BV1" s="8" t="s">
        <v>159</v>
      </c>
      <c r="BW1" s="8" t="s">
        <v>164</v>
      </c>
      <c r="BX1" s="8" t="s">
        <v>171</v>
      </c>
      <c r="BY1" s="8" t="s">
        <v>74</v>
      </c>
      <c r="BZ1" s="8" t="s">
        <v>105</v>
      </c>
      <c r="CA1" s="8" t="s">
        <v>52</v>
      </c>
      <c r="CB1" s="10" t="s">
        <v>268</v>
      </c>
      <c r="CC1" s="10" t="s">
        <v>30</v>
      </c>
      <c r="CD1" s="10" t="s">
        <v>254</v>
      </c>
      <c r="CE1" s="10" t="s">
        <v>272</v>
      </c>
      <c r="CF1" s="10" t="s">
        <v>76</v>
      </c>
      <c r="CG1" s="10" t="s">
        <v>213</v>
      </c>
      <c r="CH1" s="10" t="s">
        <v>276</v>
      </c>
      <c r="CI1" s="10" t="s">
        <v>118</v>
      </c>
      <c r="CJ1" s="10" t="s">
        <v>230</v>
      </c>
      <c r="CK1" s="10" t="s">
        <v>187</v>
      </c>
      <c r="CL1" s="10" t="s">
        <v>145</v>
      </c>
      <c r="CM1" s="10" t="s">
        <v>80</v>
      </c>
      <c r="CN1" s="10" t="s">
        <v>18</v>
      </c>
      <c r="CO1" s="10" t="s">
        <v>157</v>
      </c>
      <c r="CP1" s="10" t="s">
        <v>23</v>
      </c>
      <c r="CQ1" s="10" t="s">
        <v>121</v>
      </c>
      <c r="CR1" s="10" t="s">
        <v>256</v>
      </c>
      <c r="CS1" s="10" t="s">
        <v>135</v>
      </c>
      <c r="CT1" s="10" t="s">
        <v>122</v>
      </c>
      <c r="CU1" s="5" t="s">
        <v>190</v>
      </c>
      <c r="CV1" s="5" t="s">
        <v>262</v>
      </c>
      <c r="CW1" s="5" t="s">
        <v>1</v>
      </c>
      <c r="CX1" s="5" t="s">
        <v>275</v>
      </c>
      <c r="CY1" s="11" t="s">
        <v>104</v>
      </c>
      <c r="CZ1" s="12" t="s">
        <v>287</v>
      </c>
      <c r="DA1" s="11" t="s">
        <v>21</v>
      </c>
      <c r="DB1" s="13" t="s">
        <v>16</v>
      </c>
      <c r="DC1" s="13" t="s">
        <v>38</v>
      </c>
      <c r="DD1" s="13" t="s">
        <v>170</v>
      </c>
      <c r="DE1" s="13" t="s">
        <v>238</v>
      </c>
      <c r="DF1" s="13" t="s">
        <v>279</v>
      </c>
      <c r="DG1" s="1" t="s">
        <v>36</v>
      </c>
      <c r="DH1" s="1" t="s">
        <v>194</v>
      </c>
    </row>
    <row r="2" spans="1:112" ht="12" customHeight="1">
      <c r="A2" s="14" t="s">
        <v>211</v>
      </c>
      <c r="B2" s="14" t="s">
        <v>185</v>
      </c>
      <c r="C2" s="14" t="s">
        <v>255</v>
      </c>
      <c r="D2" t="s">
        <v>274</v>
      </c>
      <c r="E2"/>
      <c r="F2" t="s">
        <v>274</v>
      </c>
      <c r="G2"/>
      <c r="H2" s="15" t="s">
        <v>32</v>
      </c>
      <c r="I2"/>
      <c r="J2"/>
      <c r="K2"/>
      <c r="L2"/>
      <c r="M2"/>
      <c r="N2"/>
      <c r="O2"/>
      <c r="P2"/>
      <c r="Q2"/>
      <c r="R2"/>
      <c r="S2"/>
      <c r="T2" s="18">
        <v>360</v>
      </c>
      <c r="U2">
        <v>360</v>
      </c>
      <c r="V2" s="16">
        <v>3</v>
      </c>
      <c r="W2" t="s">
        <v>15</v>
      </c>
      <c r="X2" t="s">
        <v>100</v>
      </c>
      <c r="Y2" s="18" t="s">
        <v>15</v>
      </c>
      <c r="Z2" s="17" t="s">
        <v>5</v>
      </c>
      <c r="AA2" s="17" t="s">
        <v>204</v>
      </c>
      <c r="AB2" s="20" t="s">
        <v>5</v>
      </c>
      <c r="AC2" s="18" t="s">
        <v>100</v>
      </c>
      <c r="AD2" s="21" t="s">
        <v>5</v>
      </c>
      <c r="AE2" s="21" t="s">
        <v>5</v>
      </c>
      <c r="AF2" s="18" t="s">
        <v>290</v>
      </c>
      <c r="AG2"/>
      <c r="AH2"/>
      <c r="AI2"/>
      <c r="AJ2" s="16" t="s">
        <v>26</v>
      </c>
      <c r="AK2"/>
      <c r="AL2" s="16">
        <v>2874</v>
      </c>
      <c r="AM2" s="16" t="s">
        <v>225</v>
      </c>
      <c r="AN2"/>
      <c r="AO2" s="23" t="s">
        <v>345</v>
      </c>
      <c r="AP2" s="24" t="s">
        <v>346</v>
      </c>
      <c r="AQ2" s="24" t="s">
        <v>347</v>
      </c>
      <c r="AR2" s="18" t="s">
        <v>348</v>
      </c>
      <c r="AS2" s="18" t="s">
        <v>349</v>
      </c>
      <c r="AT2" s="18" t="s">
        <v>349</v>
      </c>
      <c r="AU2" s="18" t="s">
        <v>350</v>
      </c>
      <c r="AV2" s="18" t="s">
        <v>351</v>
      </c>
      <c r="AW2" s="18">
        <f t="shared" ref="AW2:AW33" si="0">LEN(SUBSTITUTE(AV2, ", ",","))</f>
        <v>56</v>
      </c>
      <c r="AX2" s="18" t="s">
        <v>352</v>
      </c>
      <c r="AY2" s="18" t="s">
        <v>353</v>
      </c>
      <c r="AZ2" s="18"/>
      <c r="BA2" s="18"/>
      <c r="BB2" s="18"/>
      <c r="BC2" s="18" t="s">
        <v>354</v>
      </c>
      <c r="BD2" s="18"/>
      <c r="BE2" s="18"/>
      <c r="BF2" s="18"/>
      <c r="BG2" s="18"/>
      <c r="BH2" s="18" t="s">
        <v>355</v>
      </c>
      <c r="BI2" s="18" t="s">
        <v>356</v>
      </c>
      <c r="BJ2" s="18"/>
      <c r="BK2" s="18"/>
      <c r="BL2" s="18"/>
      <c r="BM2" s="18" t="s">
        <v>357</v>
      </c>
      <c r="BN2" s="18" t="s">
        <v>358</v>
      </c>
      <c r="BO2" s="18"/>
      <c r="BP2" s="18" t="s">
        <v>359</v>
      </c>
      <c r="BQ2" s="18" t="s">
        <v>360</v>
      </c>
      <c r="BR2" s="18"/>
      <c r="BS2" s="18"/>
      <c r="BT2" s="18"/>
      <c r="BU2" s="18"/>
      <c r="BV2" s="18"/>
      <c r="BW2" s="18"/>
      <c r="BX2" s="18"/>
      <c r="BY2" s="18"/>
      <c r="BZ2" s="18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 s="1" t="s">
        <v>832</v>
      </c>
    </row>
    <row r="3" spans="1:112" ht="12" customHeight="1">
      <c r="A3" s="14" t="s">
        <v>211</v>
      </c>
      <c r="B3" s="14" t="s">
        <v>185</v>
      </c>
      <c r="C3" s="14" t="s">
        <v>255</v>
      </c>
      <c r="D3" t="s">
        <v>274</v>
      </c>
      <c r="E3"/>
      <c r="F3" t="s">
        <v>274</v>
      </c>
      <c r="G3"/>
      <c r="H3" s="15" t="s">
        <v>32</v>
      </c>
      <c r="I3"/>
      <c r="J3"/>
      <c r="K3"/>
      <c r="L3"/>
      <c r="M3"/>
      <c r="N3"/>
      <c r="O3"/>
      <c r="P3"/>
      <c r="Q3"/>
      <c r="R3"/>
      <c r="S3"/>
      <c r="T3" s="18">
        <v>362</v>
      </c>
      <c r="U3">
        <v>362</v>
      </c>
      <c r="V3" s="16">
        <v>5</v>
      </c>
      <c r="W3" t="s">
        <v>15</v>
      </c>
      <c r="X3" t="s">
        <v>100</v>
      </c>
      <c r="Y3" s="18" t="s">
        <v>15</v>
      </c>
      <c r="Z3" s="17" t="s">
        <v>73</v>
      </c>
      <c r="AA3" s="17" t="s">
        <v>77</v>
      </c>
      <c r="AB3" s="21" t="s">
        <v>77</v>
      </c>
      <c r="AC3" s="18" t="s">
        <v>100</v>
      </c>
      <c r="AD3" s="21" t="s">
        <v>77</v>
      </c>
      <c r="AE3" s="21" t="s">
        <v>77</v>
      </c>
      <c r="AF3" s="18" t="s">
        <v>291</v>
      </c>
      <c r="AG3"/>
      <c r="AH3"/>
      <c r="AI3"/>
      <c r="AJ3" s="16" t="s">
        <v>4</v>
      </c>
      <c r="AK3"/>
      <c r="AL3" s="16">
        <v>2874</v>
      </c>
      <c r="AM3" s="16" t="s">
        <v>209</v>
      </c>
      <c r="AN3"/>
      <c r="AO3" s="23" t="s">
        <v>361</v>
      </c>
      <c r="AP3" s="23" t="s">
        <v>362</v>
      </c>
      <c r="AQ3" s="24" t="s">
        <v>363</v>
      </c>
      <c r="AR3" s="18" t="s">
        <v>364</v>
      </c>
      <c r="AS3" s="18" t="s">
        <v>365</v>
      </c>
      <c r="AT3" s="18" t="s">
        <v>365</v>
      </c>
      <c r="AU3" s="18" t="s">
        <v>366</v>
      </c>
      <c r="AV3" s="18" t="s">
        <v>367</v>
      </c>
      <c r="AW3" s="18">
        <f t="shared" si="0"/>
        <v>53</v>
      </c>
      <c r="AX3" s="18" t="s">
        <v>368</v>
      </c>
      <c r="AY3" s="18" t="s">
        <v>369</v>
      </c>
      <c r="AZ3" s="18"/>
      <c r="BA3" s="18" t="s">
        <v>370</v>
      </c>
      <c r="BB3" s="18" t="s">
        <v>371</v>
      </c>
      <c r="BC3" s="25" t="s">
        <v>372</v>
      </c>
      <c r="BD3" s="26" t="s">
        <v>373</v>
      </c>
      <c r="BE3" s="18"/>
      <c r="BF3" s="18"/>
      <c r="BG3" s="18"/>
      <c r="BH3" s="18" t="s">
        <v>374</v>
      </c>
      <c r="BI3" s="18"/>
      <c r="BJ3" s="18"/>
      <c r="BK3" s="18" t="s">
        <v>375</v>
      </c>
      <c r="BL3" s="18"/>
      <c r="BM3" s="18" t="s">
        <v>376</v>
      </c>
      <c r="BN3" s="18"/>
      <c r="BO3" s="18"/>
      <c r="BP3" s="18"/>
      <c r="BQ3" s="18" t="s">
        <v>377</v>
      </c>
      <c r="BR3" s="18"/>
      <c r="BS3" s="18"/>
      <c r="BT3" s="18"/>
      <c r="BU3" s="18"/>
      <c r="BV3" s="18"/>
      <c r="BW3" s="18"/>
      <c r="BX3" s="18"/>
      <c r="BY3" s="18"/>
      <c r="BZ3" s="18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 s="1" t="s">
        <v>832</v>
      </c>
    </row>
    <row r="4" spans="1:112" ht="12" customHeight="1">
      <c r="A4" s="14" t="s">
        <v>211</v>
      </c>
      <c r="B4" s="14" t="s">
        <v>185</v>
      </c>
      <c r="C4" s="14" t="s">
        <v>255</v>
      </c>
      <c r="D4" t="s">
        <v>274</v>
      </c>
      <c r="E4"/>
      <c r="F4" t="s">
        <v>274</v>
      </c>
      <c r="G4"/>
      <c r="H4" s="15" t="s">
        <v>32</v>
      </c>
      <c r="I4"/>
      <c r="J4"/>
      <c r="K4"/>
      <c r="L4"/>
      <c r="M4"/>
      <c r="N4"/>
      <c r="O4"/>
      <c r="P4"/>
      <c r="Q4"/>
      <c r="R4"/>
      <c r="S4"/>
      <c r="T4" s="18">
        <v>363</v>
      </c>
      <c r="U4">
        <v>363</v>
      </c>
      <c r="V4" s="16">
        <v>6</v>
      </c>
      <c r="W4" t="s">
        <v>15</v>
      </c>
      <c r="X4" t="s">
        <v>100</v>
      </c>
      <c r="Y4" s="18" t="s">
        <v>15</v>
      </c>
      <c r="Z4" s="17" t="s">
        <v>28</v>
      </c>
      <c r="AA4" s="17" t="s">
        <v>10</v>
      </c>
      <c r="AB4" s="21" t="s">
        <v>28</v>
      </c>
      <c r="AC4" s="18" t="s">
        <v>100</v>
      </c>
      <c r="AD4" s="21" t="s">
        <v>28</v>
      </c>
      <c r="AE4" s="21" t="s">
        <v>28</v>
      </c>
      <c r="AF4" s="18" t="s">
        <v>292</v>
      </c>
      <c r="AG4"/>
      <c r="AH4"/>
      <c r="AI4"/>
      <c r="AJ4" s="16" t="s">
        <v>101</v>
      </c>
      <c r="AK4"/>
      <c r="AL4" s="16">
        <v>2874</v>
      </c>
      <c r="AM4" s="16" t="s">
        <v>215</v>
      </c>
      <c r="AN4"/>
      <c r="AO4" s="23" t="s">
        <v>378</v>
      </c>
      <c r="AP4" s="24" t="s">
        <v>379</v>
      </c>
      <c r="AQ4" s="24" t="s">
        <v>380</v>
      </c>
      <c r="AR4" s="18" t="s">
        <v>381</v>
      </c>
      <c r="AS4" s="18" t="s">
        <v>382</v>
      </c>
      <c r="AT4" s="18" t="s">
        <v>382</v>
      </c>
      <c r="AU4" s="18" t="s">
        <v>383</v>
      </c>
      <c r="AV4" s="18" t="s">
        <v>383</v>
      </c>
      <c r="AW4" s="18">
        <f t="shared" si="0"/>
        <v>59</v>
      </c>
      <c r="AX4" s="18" t="s">
        <v>384</v>
      </c>
      <c r="AY4" s="23" t="s">
        <v>385</v>
      </c>
      <c r="AZ4" s="23" t="s">
        <v>386</v>
      </c>
      <c r="BA4" s="18"/>
      <c r="BB4" s="18"/>
      <c r="BC4" s="18"/>
      <c r="BD4" s="18"/>
      <c r="BE4" s="18"/>
      <c r="BF4" s="18"/>
      <c r="BG4" s="18"/>
      <c r="BH4" s="18" t="s">
        <v>387</v>
      </c>
      <c r="BI4" s="23" t="s">
        <v>388</v>
      </c>
      <c r="BJ4" s="18"/>
      <c r="BK4" s="18" t="s">
        <v>389</v>
      </c>
      <c r="BL4" s="18"/>
      <c r="BM4" s="18" t="s">
        <v>390</v>
      </c>
      <c r="BN4" s="18"/>
      <c r="BO4" s="18"/>
      <c r="BP4" s="18"/>
      <c r="BQ4" s="18" t="s">
        <v>391</v>
      </c>
      <c r="BR4" s="18"/>
      <c r="BS4" s="18"/>
      <c r="BT4" s="18"/>
      <c r="BU4" s="18"/>
      <c r="BV4" s="18"/>
      <c r="BW4" s="18"/>
      <c r="BX4" s="18"/>
      <c r="BY4" s="18"/>
      <c r="BZ4" s="18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 s="1" t="s">
        <v>832</v>
      </c>
    </row>
    <row r="5" spans="1:112" ht="12" customHeight="1">
      <c r="A5" s="14" t="s">
        <v>211</v>
      </c>
      <c r="B5" s="14" t="s">
        <v>185</v>
      </c>
      <c r="C5" s="14" t="s">
        <v>255</v>
      </c>
      <c r="D5" t="s">
        <v>274</v>
      </c>
      <c r="E5"/>
      <c r="F5" t="s">
        <v>274</v>
      </c>
      <c r="G5"/>
      <c r="H5" s="15" t="s">
        <v>32</v>
      </c>
      <c r="I5"/>
      <c r="J5"/>
      <c r="K5"/>
      <c r="L5"/>
      <c r="M5"/>
      <c r="N5"/>
      <c r="O5"/>
      <c r="P5"/>
      <c r="Q5"/>
      <c r="R5"/>
      <c r="S5"/>
      <c r="T5" s="18">
        <v>370</v>
      </c>
      <c r="U5">
        <v>370</v>
      </c>
      <c r="V5" s="16">
        <v>13</v>
      </c>
      <c r="W5" t="s">
        <v>15</v>
      </c>
      <c r="X5" t="s">
        <v>100</v>
      </c>
      <c r="Y5" s="18" t="s">
        <v>15</v>
      </c>
      <c r="Z5" s="17" t="s">
        <v>168</v>
      </c>
      <c r="AA5" s="17" t="s">
        <v>175</v>
      </c>
      <c r="AB5" s="21" t="s">
        <v>168</v>
      </c>
      <c r="AC5" s="18" t="s">
        <v>100</v>
      </c>
      <c r="AD5" s="21" t="s">
        <v>168</v>
      </c>
      <c r="AE5" s="21" t="s">
        <v>168</v>
      </c>
      <c r="AF5" s="18" t="s">
        <v>293</v>
      </c>
      <c r="AG5"/>
      <c r="AH5"/>
      <c r="AI5"/>
      <c r="AJ5" s="16" t="s">
        <v>197</v>
      </c>
      <c r="AK5"/>
      <c r="AL5" s="16">
        <v>2874</v>
      </c>
      <c r="AM5" s="16" t="s">
        <v>57</v>
      </c>
      <c r="AN5"/>
      <c r="AO5" s="23" t="s">
        <v>392</v>
      </c>
      <c r="AP5" s="24" t="s">
        <v>393</v>
      </c>
      <c r="AQ5" s="18" t="s">
        <v>394</v>
      </c>
      <c r="AR5" s="18" t="s">
        <v>395</v>
      </c>
      <c r="AS5" s="23" t="s">
        <v>396</v>
      </c>
      <c r="AT5" s="23" t="s">
        <v>396</v>
      </c>
      <c r="AU5" s="18" t="s">
        <v>397</v>
      </c>
      <c r="AV5" s="18" t="s">
        <v>397</v>
      </c>
      <c r="AW5" s="18">
        <f t="shared" si="0"/>
        <v>56</v>
      </c>
      <c r="AX5" s="23" t="s">
        <v>398</v>
      </c>
      <c r="AY5" s="23" t="s">
        <v>353</v>
      </c>
      <c r="AZ5" s="18" t="s">
        <v>399</v>
      </c>
      <c r="BA5" s="18" t="s">
        <v>400</v>
      </c>
      <c r="BB5" s="18"/>
      <c r="BC5" s="18"/>
      <c r="BD5" s="18"/>
      <c r="BE5" s="18"/>
      <c r="BF5" s="18"/>
      <c r="BG5" s="18" t="s">
        <v>401</v>
      </c>
      <c r="BH5" s="18"/>
      <c r="BI5" s="18"/>
      <c r="BJ5" s="18"/>
      <c r="BK5" s="18" t="s">
        <v>402</v>
      </c>
      <c r="BL5" s="18"/>
      <c r="BM5" s="18" t="s">
        <v>403</v>
      </c>
      <c r="BN5" s="18"/>
      <c r="BO5" s="18"/>
      <c r="BP5" s="18"/>
      <c r="BQ5" s="18" t="s">
        <v>404</v>
      </c>
      <c r="BR5" s="18"/>
      <c r="BS5" s="18"/>
      <c r="BT5" s="18"/>
      <c r="BU5" s="18"/>
      <c r="BV5" s="18"/>
      <c r="BW5" s="18"/>
      <c r="BX5" s="18"/>
      <c r="BY5" s="18"/>
      <c r="BZ5" s="18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 s="1" t="s">
        <v>832</v>
      </c>
    </row>
    <row r="6" spans="1:112" ht="12" customHeight="1">
      <c r="A6" s="14" t="s">
        <v>211</v>
      </c>
      <c r="B6" s="14" t="s">
        <v>185</v>
      </c>
      <c r="C6" s="14" t="s">
        <v>255</v>
      </c>
      <c r="D6" t="s">
        <v>274</v>
      </c>
      <c r="E6"/>
      <c r="F6" t="s">
        <v>274</v>
      </c>
      <c r="G6"/>
      <c r="H6" s="15" t="s">
        <v>32</v>
      </c>
      <c r="I6"/>
      <c r="J6"/>
      <c r="K6"/>
      <c r="L6"/>
      <c r="M6"/>
      <c r="N6"/>
      <c r="O6"/>
      <c r="P6"/>
      <c r="Q6"/>
      <c r="R6"/>
      <c r="S6"/>
      <c r="T6" s="18">
        <v>371</v>
      </c>
      <c r="U6">
        <v>371</v>
      </c>
      <c r="V6" s="16">
        <v>14</v>
      </c>
      <c r="W6" t="s">
        <v>15</v>
      </c>
      <c r="X6" t="s">
        <v>100</v>
      </c>
      <c r="Y6" s="18" t="s">
        <v>15</v>
      </c>
      <c r="Z6" s="17" t="s">
        <v>70</v>
      </c>
      <c r="AA6" s="17" t="s">
        <v>246</v>
      </c>
      <c r="AB6" s="21" t="s">
        <v>70</v>
      </c>
      <c r="AC6" s="18" t="s">
        <v>100</v>
      </c>
      <c r="AD6" s="21" t="s">
        <v>70</v>
      </c>
      <c r="AE6" s="21" t="s">
        <v>70</v>
      </c>
      <c r="AF6" s="18" t="s">
        <v>294</v>
      </c>
      <c r="AG6"/>
      <c r="AH6"/>
      <c r="AI6"/>
      <c r="AJ6" s="16" t="s">
        <v>41</v>
      </c>
      <c r="AK6"/>
      <c r="AL6" s="16">
        <v>2874</v>
      </c>
      <c r="AM6" s="16" t="s">
        <v>85</v>
      </c>
      <c r="AN6"/>
      <c r="AO6" s="23" t="s">
        <v>405</v>
      </c>
      <c r="AP6" s="18"/>
      <c r="AQ6" s="18"/>
      <c r="AR6" s="18" t="s">
        <v>406</v>
      </c>
      <c r="AS6" s="23" t="s">
        <v>407</v>
      </c>
      <c r="AT6" s="23" t="s">
        <v>407</v>
      </c>
      <c r="AU6" s="18" t="s">
        <v>408</v>
      </c>
      <c r="AV6" s="18" t="s">
        <v>408</v>
      </c>
      <c r="AW6" s="18">
        <f t="shared" si="0"/>
        <v>33</v>
      </c>
      <c r="AX6" s="23" t="s">
        <v>409</v>
      </c>
      <c r="AY6" s="18" t="s">
        <v>410</v>
      </c>
      <c r="AZ6" s="18"/>
      <c r="BA6" s="18" t="s">
        <v>370</v>
      </c>
      <c r="BB6" s="18"/>
      <c r="BC6" s="18"/>
      <c r="BD6" s="18"/>
      <c r="BE6" s="18"/>
      <c r="BF6" s="18"/>
      <c r="BG6" s="18" t="s">
        <v>411</v>
      </c>
      <c r="BH6" s="18"/>
      <c r="BI6" s="18"/>
      <c r="BJ6" s="18"/>
      <c r="BK6" s="18" t="s">
        <v>402</v>
      </c>
      <c r="BL6" s="18"/>
      <c r="BM6" s="18" t="s">
        <v>412</v>
      </c>
      <c r="BN6" s="18"/>
      <c r="BO6" s="18"/>
      <c r="BP6" s="18"/>
      <c r="BQ6" s="18" t="s">
        <v>413</v>
      </c>
      <c r="BR6" s="18"/>
      <c r="BS6" s="18"/>
      <c r="BT6" s="18"/>
      <c r="BU6" s="18"/>
      <c r="BV6" s="18"/>
      <c r="BW6" s="18"/>
      <c r="BX6" s="18"/>
      <c r="BY6" s="18"/>
      <c r="BZ6" s="18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 s="1" t="s">
        <v>832</v>
      </c>
    </row>
    <row r="7" spans="1:112" ht="12" customHeight="1">
      <c r="A7" s="14" t="s">
        <v>211</v>
      </c>
      <c r="B7" s="14" t="s">
        <v>185</v>
      </c>
      <c r="C7" s="14" t="s">
        <v>255</v>
      </c>
      <c r="D7" t="s">
        <v>274</v>
      </c>
      <c r="E7"/>
      <c r="F7" t="s">
        <v>274</v>
      </c>
      <c r="G7"/>
      <c r="H7" s="15" t="s">
        <v>32</v>
      </c>
      <c r="I7"/>
      <c r="J7"/>
      <c r="K7"/>
      <c r="L7"/>
      <c r="M7"/>
      <c r="N7"/>
      <c r="O7"/>
      <c r="P7"/>
      <c r="Q7"/>
      <c r="R7"/>
      <c r="S7"/>
      <c r="T7" s="18">
        <v>372</v>
      </c>
      <c r="U7">
        <v>372</v>
      </c>
      <c r="V7" s="16">
        <v>15</v>
      </c>
      <c r="W7" t="s">
        <v>15</v>
      </c>
      <c r="X7" t="s">
        <v>100</v>
      </c>
      <c r="Y7" s="18" t="s">
        <v>15</v>
      </c>
      <c r="Z7" s="17" t="s">
        <v>195</v>
      </c>
      <c r="AA7" s="17" t="s">
        <v>156</v>
      </c>
      <c r="AB7" s="21" t="s">
        <v>195</v>
      </c>
      <c r="AC7" s="18" t="s">
        <v>100</v>
      </c>
      <c r="AD7" s="21" t="s">
        <v>195</v>
      </c>
      <c r="AE7" s="21" t="s">
        <v>195</v>
      </c>
      <c r="AF7" s="18" t="s">
        <v>295</v>
      </c>
      <c r="AG7"/>
      <c r="AH7"/>
      <c r="AI7"/>
      <c r="AJ7" s="16" t="s">
        <v>271</v>
      </c>
      <c r="AK7"/>
      <c r="AL7" s="16">
        <v>2874</v>
      </c>
      <c r="AM7" s="16" t="s">
        <v>107</v>
      </c>
      <c r="AN7"/>
      <c r="AO7" s="23" t="s">
        <v>392</v>
      </c>
      <c r="AP7" s="18"/>
      <c r="AQ7" s="18"/>
      <c r="AR7" s="18" t="s">
        <v>414</v>
      </c>
      <c r="AS7" s="18" t="s">
        <v>415</v>
      </c>
      <c r="AT7" s="18" t="s">
        <v>415</v>
      </c>
      <c r="AU7" s="18" t="s">
        <v>416</v>
      </c>
      <c r="AV7" s="18" t="s">
        <v>416</v>
      </c>
      <c r="AW7" s="18">
        <f t="shared" si="0"/>
        <v>39</v>
      </c>
      <c r="AX7" s="18" t="s">
        <v>417</v>
      </c>
      <c r="AY7" s="18" t="s">
        <v>353</v>
      </c>
      <c r="AZ7" s="18"/>
      <c r="BA7" s="18" t="s">
        <v>418</v>
      </c>
      <c r="BB7" s="18"/>
      <c r="BC7" s="18"/>
      <c r="BD7" s="18"/>
      <c r="BE7" s="18"/>
      <c r="BF7" s="18"/>
      <c r="BG7" s="18"/>
      <c r="BH7" s="18" t="s">
        <v>419</v>
      </c>
      <c r="BI7" s="18"/>
      <c r="BJ7" s="18"/>
      <c r="BK7" s="18" t="s">
        <v>402</v>
      </c>
      <c r="BL7" s="18"/>
      <c r="BM7" s="18" t="s">
        <v>412</v>
      </c>
      <c r="BN7" s="18"/>
      <c r="BO7" s="18"/>
      <c r="BP7" s="18"/>
      <c r="BQ7" s="18" t="s">
        <v>420</v>
      </c>
      <c r="BR7" s="18"/>
      <c r="BS7" s="18"/>
      <c r="BT7" s="18"/>
      <c r="BU7" s="18"/>
      <c r="BV7" s="18"/>
      <c r="BW7" s="18"/>
      <c r="BX7" s="18"/>
      <c r="BY7" s="18"/>
      <c r="BZ7" s="18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 s="1" t="s">
        <v>832</v>
      </c>
    </row>
    <row r="8" spans="1:112" ht="12" customHeight="1">
      <c r="A8" s="14" t="s">
        <v>211</v>
      </c>
      <c r="B8" s="14" t="s">
        <v>185</v>
      </c>
      <c r="C8" s="14" t="s">
        <v>255</v>
      </c>
      <c r="D8" t="s">
        <v>274</v>
      </c>
      <c r="E8"/>
      <c r="F8" t="s">
        <v>274</v>
      </c>
      <c r="G8"/>
      <c r="H8" s="15" t="s">
        <v>32</v>
      </c>
      <c r="I8"/>
      <c r="J8"/>
      <c r="K8"/>
      <c r="L8"/>
      <c r="M8"/>
      <c r="N8"/>
      <c r="O8"/>
      <c r="P8"/>
      <c r="Q8"/>
      <c r="R8"/>
      <c r="S8"/>
      <c r="T8" s="18">
        <v>381</v>
      </c>
      <c r="U8">
        <v>381</v>
      </c>
      <c r="V8" s="16">
        <v>24</v>
      </c>
      <c r="W8" t="s">
        <v>15</v>
      </c>
      <c r="X8" t="s">
        <v>100</v>
      </c>
      <c r="Y8" s="18" t="s">
        <v>15</v>
      </c>
      <c r="Z8" s="17" t="s">
        <v>95</v>
      </c>
      <c r="AA8" s="17" t="s">
        <v>95</v>
      </c>
      <c r="AB8" s="21" t="s">
        <v>95</v>
      </c>
      <c r="AC8" s="18" t="s">
        <v>100</v>
      </c>
      <c r="AD8" s="21" t="s">
        <v>95</v>
      </c>
      <c r="AE8" s="21" t="s">
        <v>95</v>
      </c>
      <c r="AF8" s="18" t="s">
        <v>296</v>
      </c>
      <c r="AG8"/>
      <c r="AH8"/>
      <c r="AI8"/>
      <c r="AJ8" s="16" t="s">
        <v>182</v>
      </c>
      <c r="AK8"/>
      <c r="AL8" s="16">
        <v>2874</v>
      </c>
      <c r="AM8" s="16" t="s">
        <v>20</v>
      </c>
      <c r="AN8"/>
      <c r="AO8" s="23" t="s">
        <v>421</v>
      </c>
      <c r="AP8" s="18"/>
      <c r="AQ8" s="18"/>
      <c r="AR8" s="18" t="s">
        <v>182</v>
      </c>
      <c r="AS8" s="18" t="s">
        <v>422</v>
      </c>
      <c r="AT8" s="18" t="s">
        <v>422</v>
      </c>
      <c r="AU8" s="18" t="s">
        <v>423</v>
      </c>
      <c r="AV8" s="18" t="s">
        <v>423</v>
      </c>
      <c r="AW8" s="18">
        <f t="shared" si="0"/>
        <v>48</v>
      </c>
      <c r="AX8" s="18" t="s">
        <v>424</v>
      </c>
      <c r="AY8" s="18" t="s">
        <v>425</v>
      </c>
      <c r="AZ8" s="18" t="s">
        <v>426</v>
      </c>
      <c r="BA8" s="18"/>
      <c r="BB8" s="18"/>
      <c r="BC8" s="18"/>
      <c r="BD8" s="18"/>
      <c r="BE8" s="18" t="s">
        <v>427</v>
      </c>
      <c r="BF8" s="18"/>
      <c r="BG8" s="18"/>
      <c r="BH8" s="18" t="s">
        <v>428</v>
      </c>
      <c r="BI8" s="18"/>
      <c r="BJ8" s="18"/>
      <c r="BK8" s="18"/>
      <c r="BL8" s="18"/>
      <c r="BM8" s="18" t="s">
        <v>429</v>
      </c>
      <c r="BN8" s="18"/>
      <c r="BO8" s="18"/>
      <c r="BP8" s="18"/>
      <c r="BQ8" s="18" t="s">
        <v>430</v>
      </c>
      <c r="BR8" s="18"/>
      <c r="BS8" s="18"/>
      <c r="BT8" s="18"/>
      <c r="BU8" s="18"/>
      <c r="BV8" s="18"/>
      <c r="BW8" s="18"/>
      <c r="BX8" s="18"/>
      <c r="BY8" s="18"/>
      <c r="BZ8" s="1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 s="1" t="s">
        <v>832</v>
      </c>
    </row>
    <row r="9" spans="1:112" ht="12" customHeight="1">
      <c r="A9" s="14" t="s">
        <v>211</v>
      </c>
      <c r="B9" s="14" t="s">
        <v>185</v>
      </c>
      <c r="C9" s="14" t="s">
        <v>255</v>
      </c>
      <c r="D9" t="s">
        <v>274</v>
      </c>
      <c r="E9"/>
      <c r="F9" t="s">
        <v>274</v>
      </c>
      <c r="G9"/>
      <c r="H9" s="15" t="s">
        <v>32</v>
      </c>
      <c r="I9"/>
      <c r="J9"/>
      <c r="K9"/>
      <c r="L9"/>
      <c r="M9"/>
      <c r="N9"/>
      <c r="O9"/>
      <c r="P9"/>
      <c r="Q9"/>
      <c r="R9"/>
      <c r="S9"/>
      <c r="T9" s="18">
        <v>382</v>
      </c>
      <c r="U9">
        <v>382</v>
      </c>
      <c r="V9" s="16">
        <v>25</v>
      </c>
      <c r="W9" t="s">
        <v>15</v>
      </c>
      <c r="X9" t="s">
        <v>100</v>
      </c>
      <c r="Y9" s="18" t="s">
        <v>15</v>
      </c>
      <c r="Z9" s="17" t="s">
        <v>205</v>
      </c>
      <c r="AA9" s="17" t="s">
        <v>205</v>
      </c>
      <c r="AB9" s="21" t="s">
        <v>205</v>
      </c>
      <c r="AC9" s="18" t="s">
        <v>100</v>
      </c>
      <c r="AD9" s="21" t="s">
        <v>205</v>
      </c>
      <c r="AE9" s="21" t="s">
        <v>205</v>
      </c>
      <c r="AF9" s="18" t="s">
        <v>297</v>
      </c>
      <c r="AG9"/>
      <c r="AH9"/>
      <c r="AI9"/>
      <c r="AJ9" s="16" t="s">
        <v>125</v>
      </c>
      <c r="AK9"/>
      <c r="AL9" s="16">
        <v>2874</v>
      </c>
      <c r="AM9" s="16" t="s">
        <v>289</v>
      </c>
      <c r="AN9"/>
      <c r="AO9" s="23" t="s">
        <v>431</v>
      </c>
      <c r="AP9" s="18"/>
      <c r="AQ9" s="18"/>
      <c r="AR9" s="18" t="s">
        <v>432</v>
      </c>
      <c r="AS9" s="18" t="s">
        <v>433</v>
      </c>
      <c r="AT9" s="18" t="s">
        <v>433</v>
      </c>
      <c r="AU9" s="18" t="s">
        <v>434</v>
      </c>
      <c r="AV9" s="18" t="s">
        <v>434</v>
      </c>
      <c r="AW9" s="18">
        <f t="shared" si="0"/>
        <v>43</v>
      </c>
      <c r="AX9" s="18" t="s">
        <v>435</v>
      </c>
      <c r="AY9" s="23" t="s">
        <v>436</v>
      </c>
      <c r="AZ9" s="18" t="s">
        <v>437</v>
      </c>
      <c r="BA9" s="18" t="s">
        <v>438</v>
      </c>
      <c r="BB9" s="18"/>
      <c r="BC9" s="18" t="s">
        <v>439</v>
      </c>
      <c r="BD9" s="18"/>
      <c r="BE9" s="18"/>
      <c r="BF9" s="18"/>
      <c r="BG9" s="18"/>
      <c r="BH9" s="18"/>
      <c r="BI9" s="18"/>
      <c r="BJ9" s="18"/>
      <c r="BK9" s="18"/>
      <c r="BL9" s="18"/>
      <c r="BM9" s="23" t="s">
        <v>440</v>
      </c>
      <c r="BN9" s="18" t="s">
        <v>441</v>
      </c>
      <c r="BO9" s="18"/>
      <c r="BP9" s="18"/>
      <c r="BQ9" s="18" t="s">
        <v>442</v>
      </c>
      <c r="BR9" s="18"/>
      <c r="BS9" s="18"/>
      <c r="BT9" s="18"/>
      <c r="BU9" s="18"/>
      <c r="BV9" s="18"/>
      <c r="BW9" s="18"/>
      <c r="BX9" s="18"/>
      <c r="BY9" s="18"/>
      <c r="BZ9" s="18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 s="1" t="s">
        <v>832</v>
      </c>
    </row>
    <row r="10" spans="1:112" ht="12" customHeight="1">
      <c r="A10" s="14" t="s">
        <v>211</v>
      </c>
      <c r="B10" s="14" t="s">
        <v>185</v>
      </c>
      <c r="C10" s="14" t="s">
        <v>255</v>
      </c>
      <c r="D10" t="s">
        <v>274</v>
      </c>
      <c r="E10"/>
      <c r="F10" t="s">
        <v>274</v>
      </c>
      <c r="G10"/>
      <c r="H10" s="15" t="s">
        <v>32</v>
      </c>
      <c r="I10"/>
      <c r="J10"/>
      <c r="K10"/>
      <c r="L10"/>
      <c r="M10"/>
      <c r="N10"/>
      <c r="O10"/>
      <c r="P10"/>
      <c r="Q10"/>
      <c r="R10"/>
      <c r="S10"/>
      <c r="T10" s="18">
        <v>383</v>
      </c>
      <c r="U10">
        <v>383</v>
      </c>
      <c r="V10" s="16">
        <v>26</v>
      </c>
      <c r="W10" t="s">
        <v>15</v>
      </c>
      <c r="X10" t="s">
        <v>100</v>
      </c>
      <c r="Y10" s="18" t="s">
        <v>15</v>
      </c>
      <c r="Z10" s="17" t="s">
        <v>224</v>
      </c>
      <c r="AA10" s="17" t="s">
        <v>224</v>
      </c>
      <c r="AB10" s="21" t="s">
        <v>224</v>
      </c>
      <c r="AC10" s="18" t="s">
        <v>100</v>
      </c>
      <c r="AD10" s="21" t="s">
        <v>224</v>
      </c>
      <c r="AE10" s="21" t="s">
        <v>224</v>
      </c>
      <c r="AF10" s="18" t="s">
        <v>298</v>
      </c>
      <c r="AG10"/>
      <c r="AH10"/>
      <c r="AI10"/>
      <c r="AJ10" s="16" t="s">
        <v>142</v>
      </c>
      <c r="AK10"/>
      <c r="AL10" s="16">
        <v>2874</v>
      </c>
      <c r="AM10" s="16" t="s">
        <v>186</v>
      </c>
      <c r="AN10"/>
      <c r="AO10" s="23" t="s">
        <v>431</v>
      </c>
      <c r="AP10" s="18"/>
      <c r="AQ10" s="18"/>
      <c r="AR10" s="18" t="s">
        <v>443</v>
      </c>
      <c r="AS10" s="18" t="s">
        <v>444</v>
      </c>
      <c r="AT10" s="18" t="s">
        <v>444</v>
      </c>
      <c r="AU10" s="18" t="s">
        <v>445</v>
      </c>
      <c r="AV10" s="18" t="s">
        <v>445</v>
      </c>
      <c r="AW10" s="18">
        <f t="shared" si="0"/>
        <v>43</v>
      </c>
      <c r="AX10" s="18" t="s">
        <v>435</v>
      </c>
      <c r="AY10" s="23" t="s">
        <v>436</v>
      </c>
      <c r="AZ10" s="18" t="s">
        <v>437</v>
      </c>
      <c r="BA10" s="18" t="s">
        <v>438</v>
      </c>
      <c r="BB10" s="18"/>
      <c r="BC10" s="18" t="s">
        <v>446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23" t="s">
        <v>440</v>
      </c>
      <c r="BN10" s="18" t="s">
        <v>441</v>
      </c>
      <c r="BO10" s="18"/>
      <c r="BP10" s="18"/>
      <c r="BQ10" s="18" t="s">
        <v>442</v>
      </c>
      <c r="BR10" s="18"/>
      <c r="BS10" s="18"/>
      <c r="BT10" s="18"/>
      <c r="BU10" s="18"/>
      <c r="BV10" s="18"/>
      <c r="BW10" s="18"/>
      <c r="BX10" s="18"/>
      <c r="BY10" s="18"/>
      <c r="BZ10" s="18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 s="1" t="s">
        <v>832</v>
      </c>
    </row>
    <row r="11" spans="1:112" ht="12" customHeight="1">
      <c r="A11" s="14" t="s">
        <v>211</v>
      </c>
      <c r="B11" s="14" t="s">
        <v>185</v>
      </c>
      <c r="C11" s="14" t="s">
        <v>255</v>
      </c>
      <c r="D11" t="s">
        <v>274</v>
      </c>
      <c r="E11"/>
      <c r="F11" t="s">
        <v>274</v>
      </c>
      <c r="G11"/>
      <c r="H11" s="15" t="s">
        <v>32</v>
      </c>
      <c r="I11"/>
      <c r="J11"/>
      <c r="K11"/>
      <c r="L11"/>
      <c r="M11"/>
      <c r="N11"/>
      <c r="O11"/>
      <c r="P11"/>
      <c r="Q11"/>
      <c r="R11"/>
      <c r="S11"/>
      <c r="T11" s="18">
        <v>384</v>
      </c>
      <c r="U11">
        <v>384</v>
      </c>
      <c r="V11" s="16">
        <v>27</v>
      </c>
      <c r="W11" t="s">
        <v>15</v>
      </c>
      <c r="X11" t="s">
        <v>100</v>
      </c>
      <c r="Y11" s="18" t="s">
        <v>15</v>
      </c>
      <c r="Z11" s="17" t="s">
        <v>169</v>
      </c>
      <c r="AA11" s="17" t="s">
        <v>169</v>
      </c>
      <c r="AB11" s="21" t="s">
        <v>169</v>
      </c>
      <c r="AC11" s="18" t="s">
        <v>100</v>
      </c>
      <c r="AD11" s="21" t="s">
        <v>169</v>
      </c>
      <c r="AE11" s="21" t="s">
        <v>169</v>
      </c>
      <c r="AF11" s="18" t="s">
        <v>299</v>
      </c>
      <c r="AG11"/>
      <c r="AH11"/>
      <c r="AI11"/>
      <c r="AJ11" s="16" t="s">
        <v>214</v>
      </c>
      <c r="AK11"/>
      <c r="AL11" s="16">
        <v>2874</v>
      </c>
      <c r="AM11" s="16" t="s">
        <v>75</v>
      </c>
      <c r="AN11"/>
      <c r="AO11" s="23" t="s">
        <v>447</v>
      </c>
      <c r="AP11" s="18"/>
      <c r="AQ11" s="18"/>
      <c r="AR11" s="18" t="s">
        <v>448</v>
      </c>
      <c r="AS11" s="23" t="s">
        <v>449</v>
      </c>
      <c r="AT11" s="23" t="s">
        <v>449</v>
      </c>
      <c r="AU11" s="18" t="s">
        <v>450</v>
      </c>
      <c r="AV11" s="18" t="s">
        <v>450</v>
      </c>
      <c r="AW11" s="18">
        <f t="shared" si="0"/>
        <v>40</v>
      </c>
      <c r="AX11" s="23" t="s">
        <v>451</v>
      </c>
      <c r="AY11" s="23" t="s">
        <v>452</v>
      </c>
      <c r="AZ11" s="18"/>
      <c r="BA11" s="18" t="s">
        <v>453</v>
      </c>
      <c r="BB11" s="18"/>
      <c r="BC11" s="18"/>
      <c r="BD11" s="18"/>
      <c r="BE11" s="18"/>
      <c r="BF11" s="18"/>
      <c r="BG11" s="18"/>
      <c r="BH11" s="18" t="s">
        <v>454</v>
      </c>
      <c r="BI11" s="18"/>
      <c r="BJ11" s="18"/>
      <c r="BK11" s="23" t="s">
        <v>402</v>
      </c>
      <c r="BL11" s="18"/>
      <c r="BM11" s="23" t="s">
        <v>455</v>
      </c>
      <c r="BN11" s="18"/>
      <c r="BO11" s="18"/>
      <c r="BP11" s="18"/>
      <c r="BQ11" s="18" t="s">
        <v>456</v>
      </c>
      <c r="BR11" s="18"/>
      <c r="BS11" s="18"/>
      <c r="BT11" s="18"/>
      <c r="BU11" s="18"/>
      <c r="BV11" s="18"/>
      <c r="BW11" s="18"/>
      <c r="BX11" s="18"/>
      <c r="BY11" s="18"/>
      <c r="BZ11" s="18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 s="1" t="s">
        <v>832</v>
      </c>
    </row>
    <row r="12" spans="1:112" ht="12" customHeight="1">
      <c r="A12" s="14" t="s">
        <v>211</v>
      </c>
      <c r="B12" s="14" t="s">
        <v>185</v>
      </c>
      <c r="C12" s="14" t="s">
        <v>255</v>
      </c>
      <c r="D12" t="s">
        <v>274</v>
      </c>
      <c r="E12"/>
      <c r="F12" t="s">
        <v>274</v>
      </c>
      <c r="G12"/>
      <c r="H12" s="15" t="s">
        <v>32</v>
      </c>
      <c r="I12"/>
      <c r="J12"/>
      <c r="K12"/>
      <c r="L12"/>
      <c r="M12"/>
      <c r="N12"/>
      <c r="O12"/>
      <c r="P12"/>
      <c r="Q12"/>
      <c r="R12"/>
      <c r="S12"/>
      <c r="T12" s="18">
        <v>385</v>
      </c>
      <c r="U12">
        <v>385</v>
      </c>
      <c r="V12" s="16">
        <v>28</v>
      </c>
      <c r="W12" t="s">
        <v>15</v>
      </c>
      <c r="X12" t="s">
        <v>100</v>
      </c>
      <c r="Y12" s="18" t="s">
        <v>15</v>
      </c>
      <c r="Z12" s="17" t="s">
        <v>59</v>
      </c>
      <c r="AA12" s="17" t="s">
        <v>59</v>
      </c>
      <c r="AB12" s="21" t="s">
        <v>59</v>
      </c>
      <c r="AC12" s="18" t="s">
        <v>100</v>
      </c>
      <c r="AD12" s="21" t="s">
        <v>59</v>
      </c>
      <c r="AE12" s="21" t="s">
        <v>59</v>
      </c>
      <c r="AF12" s="18" t="s">
        <v>300</v>
      </c>
      <c r="AG12"/>
      <c r="AH12"/>
      <c r="AI12"/>
      <c r="AJ12" s="16" t="s">
        <v>65</v>
      </c>
      <c r="AK12"/>
      <c r="AL12" s="16">
        <v>2874</v>
      </c>
      <c r="AM12" s="16" t="s">
        <v>267</v>
      </c>
      <c r="AN12"/>
      <c r="AO12" s="23" t="s">
        <v>457</v>
      </c>
      <c r="AP12" s="18"/>
      <c r="AQ12" s="18"/>
      <c r="AR12" s="23" t="s">
        <v>458</v>
      </c>
      <c r="AS12" s="23" t="s">
        <v>459</v>
      </c>
      <c r="AT12" s="23" t="s">
        <v>459</v>
      </c>
      <c r="AU12" s="18" t="s">
        <v>460</v>
      </c>
      <c r="AV12" s="18" t="s">
        <v>460</v>
      </c>
      <c r="AW12" s="18">
        <f t="shared" si="0"/>
        <v>27</v>
      </c>
      <c r="AX12" s="23" t="s">
        <v>461</v>
      </c>
      <c r="AY12" s="23" t="s">
        <v>462</v>
      </c>
      <c r="AZ12" s="23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 t="s">
        <v>463</v>
      </c>
      <c r="BN12" s="18"/>
      <c r="BO12" s="18"/>
      <c r="BP12" s="18" t="s">
        <v>464</v>
      </c>
      <c r="BQ12" s="18" t="s">
        <v>465</v>
      </c>
      <c r="BR12" s="18"/>
      <c r="BS12" s="18"/>
      <c r="BT12" s="18"/>
      <c r="BU12" s="18"/>
      <c r="BV12" s="18" t="s">
        <v>466</v>
      </c>
      <c r="BW12" s="18" t="s">
        <v>467</v>
      </c>
      <c r="BX12" s="18"/>
      <c r="BY12" s="18"/>
      <c r="BZ12" s="18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 s="1" t="s">
        <v>832</v>
      </c>
    </row>
    <row r="13" spans="1:112" ht="12" customHeight="1">
      <c r="A13" s="14" t="s">
        <v>211</v>
      </c>
      <c r="B13" s="14" t="s">
        <v>185</v>
      </c>
      <c r="C13" s="14" t="s">
        <v>255</v>
      </c>
      <c r="D13" t="s">
        <v>274</v>
      </c>
      <c r="E13"/>
      <c r="F13" t="s">
        <v>274</v>
      </c>
      <c r="G13"/>
      <c r="H13" s="15" t="s">
        <v>32</v>
      </c>
      <c r="I13"/>
      <c r="J13"/>
      <c r="K13"/>
      <c r="L13"/>
      <c r="M13"/>
      <c r="N13"/>
      <c r="O13"/>
      <c r="P13"/>
      <c r="Q13"/>
      <c r="R13"/>
      <c r="S13"/>
      <c r="T13" s="18">
        <v>386</v>
      </c>
      <c r="U13">
        <v>386</v>
      </c>
      <c r="V13" s="16">
        <v>29</v>
      </c>
      <c r="W13" t="s">
        <v>15</v>
      </c>
      <c r="X13" t="s">
        <v>100</v>
      </c>
      <c r="Y13" s="18" t="s">
        <v>15</v>
      </c>
      <c r="Z13" s="17" t="s">
        <v>129</v>
      </c>
      <c r="AA13" s="17" t="s">
        <v>129</v>
      </c>
      <c r="AB13" s="21" t="s">
        <v>129</v>
      </c>
      <c r="AC13" s="18" t="s">
        <v>100</v>
      </c>
      <c r="AD13" s="21" t="s">
        <v>129</v>
      </c>
      <c r="AE13" s="21" t="s">
        <v>129</v>
      </c>
      <c r="AF13" s="18" t="s">
        <v>301</v>
      </c>
      <c r="AG13"/>
      <c r="AH13"/>
      <c r="AI13"/>
      <c r="AJ13" s="16" t="s">
        <v>166</v>
      </c>
      <c r="AK13"/>
      <c r="AL13" s="16">
        <v>2874</v>
      </c>
      <c r="AM13" s="16" t="s">
        <v>148</v>
      </c>
      <c r="AN13"/>
      <c r="AO13" s="23" t="s">
        <v>457</v>
      </c>
      <c r="AP13" s="18"/>
      <c r="AQ13" s="18"/>
      <c r="AR13" s="18" t="s">
        <v>468</v>
      </c>
      <c r="AS13" s="23" t="s">
        <v>469</v>
      </c>
      <c r="AT13" s="23" t="s">
        <v>469</v>
      </c>
      <c r="AU13" s="18" t="s">
        <v>470</v>
      </c>
      <c r="AV13" s="18" t="s">
        <v>470</v>
      </c>
      <c r="AW13" s="18">
        <f t="shared" si="0"/>
        <v>32</v>
      </c>
      <c r="AX13" s="23" t="s">
        <v>471</v>
      </c>
      <c r="AY13" s="23" t="s">
        <v>472</v>
      </c>
      <c r="AZ13" s="18" t="s">
        <v>473</v>
      </c>
      <c r="BA13" s="18"/>
      <c r="BB13" s="18"/>
      <c r="BC13" s="18"/>
      <c r="BD13" s="18"/>
      <c r="BE13" s="18"/>
      <c r="BF13" s="18"/>
      <c r="BG13" s="18"/>
      <c r="BH13" s="18" t="s">
        <v>474</v>
      </c>
      <c r="BI13" s="18"/>
      <c r="BJ13" s="18"/>
      <c r="BK13" s="18"/>
      <c r="BL13" s="18"/>
      <c r="BM13" s="18" t="s">
        <v>475</v>
      </c>
      <c r="BN13" s="18"/>
      <c r="BO13" s="18"/>
      <c r="BP13" s="18"/>
      <c r="BQ13" s="18" t="s">
        <v>476</v>
      </c>
      <c r="BR13" s="18"/>
      <c r="BS13" s="18"/>
      <c r="BT13" s="18"/>
      <c r="BU13" s="18"/>
      <c r="BV13" s="18"/>
      <c r="BW13" s="18"/>
      <c r="BX13" s="18"/>
      <c r="BY13" s="18"/>
      <c r="BZ13" s="18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 s="1" t="s">
        <v>832</v>
      </c>
    </row>
    <row r="14" spans="1:112" ht="12" customHeight="1">
      <c r="A14" s="14" t="s">
        <v>211</v>
      </c>
      <c r="B14" s="14" t="s">
        <v>185</v>
      </c>
      <c r="C14" s="14" t="s">
        <v>255</v>
      </c>
      <c r="D14" t="s">
        <v>274</v>
      </c>
      <c r="E14"/>
      <c r="F14" t="s">
        <v>274</v>
      </c>
      <c r="G14"/>
      <c r="H14" s="15" t="s">
        <v>32</v>
      </c>
      <c r="I14"/>
      <c r="J14"/>
      <c r="K14"/>
      <c r="L14"/>
      <c r="M14"/>
      <c r="N14"/>
      <c r="O14"/>
      <c r="P14"/>
      <c r="Q14"/>
      <c r="R14"/>
      <c r="S14"/>
      <c r="T14" s="18">
        <v>387</v>
      </c>
      <c r="U14">
        <v>387</v>
      </c>
      <c r="V14" s="16">
        <v>30</v>
      </c>
      <c r="W14" t="s">
        <v>15</v>
      </c>
      <c r="X14" t="s">
        <v>100</v>
      </c>
      <c r="Y14" s="18" t="s">
        <v>15</v>
      </c>
      <c r="Z14" s="17" t="s">
        <v>172</v>
      </c>
      <c r="AA14" s="17" t="s">
        <v>172</v>
      </c>
      <c r="AB14" s="21" t="s">
        <v>172</v>
      </c>
      <c r="AC14" s="18" t="s">
        <v>100</v>
      </c>
      <c r="AD14" s="21" t="s">
        <v>172</v>
      </c>
      <c r="AE14" s="21" t="s">
        <v>172</v>
      </c>
      <c r="AF14" s="18" t="s">
        <v>302</v>
      </c>
      <c r="AG14"/>
      <c r="AH14"/>
      <c r="AI14"/>
      <c r="AJ14" s="16" t="s">
        <v>92</v>
      </c>
      <c r="AK14"/>
      <c r="AL14" s="16">
        <v>2874</v>
      </c>
      <c r="AM14" s="16" t="s">
        <v>144</v>
      </c>
      <c r="AN14"/>
      <c r="AO14" s="23" t="s">
        <v>477</v>
      </c>
      <c r="AP14" s="18"/>
      <c r="AQ14" s="18"/>
      <c r="AR14" s="18" t="s">
        <v>478</v>
      </c>
      <c r="AS14" s="18" t="s">
        <v>479</v>
      </c>
      <c r="AT14" s="18" t="s">
        <v>479</v>
      </c>
      <c r="AU14" s="18" t="s">
        <v>480</v>
      </c>
      <c r="AV14" s="18" t="s">
        <v>480</v>
      </c>
      <c r="AW14" s="18">
        <f t="shared" si="0"/>
        <v>58</v>
      </c>
      <c r="AX14" s="18" t="s">
        <v>481</v>
      </c>
      <c r="AY14" s="18" t="s">
        <v>482</v>
      </c>
      <c r="AZ14" s="18" t="s">
        <v>483</v>
      </c>
      <c r="BA14" s="18"/>
      <c r="BB14" s="18"/>
      <c r="BC14" s="18"/>
      <c r="BD14" s="18"/>
      <c r="BE14" s="18"/>
      <c r="BF14" s="18"/>
      <c r="BG14" s="18"/>
      <c r="BH14" s="18" t="s">
        <v>484</v>
      </c>
      <c r="BI14" s="18"/>
      <c r="BJ14" s="18"/>
      <c r="BK14" s="18"/>
      <c r="BL14" s="18"/>
      <c r="BM14" s="18" t="s">
        <v>485</v>
      </c>
      <c r="BN14" s="18"/>
      <c r="BO14" s="18"/>
      <c r="BP14" s="18"/>
      <c r="BQ14" s="18" t="s">
        <v>486</v>
      </c>
      <c r="BR14" s="18"/>
      <c r="BS14" s="18"/>
      <c r="BT14" s="18"/>
      <c r="BU14" s="18"/>
      <c r="BV14" s="18"/>
      <c r="BW14" s="18"/>
      <c r="BX14" s="18"/>
      <c r="BY14" s="18"/>
      <c r="BZ14" s="18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 s="1" t="s">
        <v>832</v>
      </c>
    </row>
    <row r="15" spans="1:112" ht="12" customHeight="1">
      <c r="A15" s="14" t="s">
        <v>211</v>
      </c>
      <c r="B15" s="14" t="s">
        <v>185</v>
      </c>
      <c r="C15" s="14" t="s">
        <v>255</v>
      </c>
      <c r="D15" t="s">
        <v>274</v>
      </c>
      <c r="E15"/>
      <c r="F15" t="s">
        <v>274</v>
      </c>
      <c r="G15"/>
      <c r="H15" s="15" t="s">
        <v>32</v>
      </c>
      <c r="I15"/>
      <c r="J15"/>
      <c r="K15"/>
      <c r="L15"/>
      <c r="M15"/>
      <c r="N15"/>
      <c r="O15"/>
      <c r="P15"/>
      <c r="Q15"/>
      <c r="R15"/>
      <c r="S15"/>
      <c r="T15" s="18">
        <v>388</v>
      </c>
      <c r="U15">
        <v>388</v>
      </c>
      <c r="V15" s="16">
        <v>31</v>
      </c>
      <c r="W15" t="s">
        <v>15</v>
      </c>
      <c r="X15" t="s">
        <v>100</v>
      </c>
      <c r="Y15" s="18" t="s">
        <v>15</v>
      </c>
      <c r="Z15" s="17" t="s">
        <v>22</v>
      </c>
      <c r="AA15" s="17" t="s">
        <v>22</v>
      </c>
      <c r="AB15" s="21" t="s">
        <v>22</v>
      </c>
      <c r="AC15" s="18" t="s">
        <v>100</v>
      </c>
      <c r="AD15" s="21" t="s">
        <v>22</v>
      </c>
      <c r="AE15" s="21" t="s">
        <v>22</v>
      </c>
      <c r="AF15" s="18" t="s">
        <v>303</v>
      </c>
      <c r="AG15"/>
      <c r="AH15"/>
      <c r="AI15"/>
      <c r="AJ15" s="16" t="s">
        <v>265</v>
      </c>
      <c r="AK15"/>
      <c r="AL15" s="16">
        <v>2874</v>
      </c>
      <c r="AM15" s="16" t="s">
        <v>259</v>
      </c>
      <c r="AN15"/>
      <c r="AO15" s="23" t="s">
        <v>487</v>
      </c>
      <c r="AP15" s="18"/>
      <c r="AQ15" s="18"/>
      <c r="AR15" s="18" t="s">
        <v>265</v>
      </c>
      <c r="AS15" s="23" t="s">
        <v>488</v>
      </c>
      <c r="AT15" s="23" t="s">
        <v>488</v>
      </c>
      <c r="AU15" s="18" t="s">
        <v>489</v>
      </c>
      <c r="AV15" s="18" t="s">
        <v>489</v>
      </c>
      <c r="AW15" s="18">
        <f t="shared" si="0"/>
        <v>38</v>
      </c>
      <c r="AX15" s="23" t="s">
        <v>490</v>
      </c>
      <c r="AY15" s="18" t="s">
        <v>410</v>
      </c>
      <c r="AZ15" s="18"/>
      <c r="BA15" s="18">
        <v>2</v>
      </c>
      <c r="BB15" s="18"/>
      <c r="BC15" s="18"/>
      <c r="BD15" s="18"/>
      <c r="BE15" s="18"/>
      <c r="BF15" s="18"/>
      <c r="BG15" s="18" t="s">
        <v>491</v>
      </c>
      <c r="BH15" s="18"/>
      <c r="BI15" s="18" t="s">
        <v>492</v>
      </c>
      <c r="BJ15" s="18"/>
      <c r="BK15" s="18"/>
      <c r="BL15" s="18"/>
      <c r="BM15" s="18" t="s">
        <v>493</v>
      </c>
      <c r="BN15" s="18"/>
      <c r="BO15" s="18"/>
      <c r="BP15" s="18"/>
      <c r="BQ15" s="18" t="s">
        <v>430</v>
      </c>
      <c r="BR15" s="18"/>
      <c r="BS15" s="18"/>
      <c r="BT15" s="18"/>
      <c r="BU15" s="18"/>
      <c r="BV15" s="18"/>
      <c r="BW15" s="18"/>
      <c r="BX15" s="18"/>
      <c r="BY15" s="18"/>
      <c r="BZ15" s="18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 s="1" t="s">
        <v>832</v>
      </c>
    </row>
    <row r="16" spans="1:112" ht="12" customHeight="1">
      <c r="A16" s="14" t="s">
        <v>211</v>
      </c>
      <c r="B16" s="14" t="s">
        <v>185</v>
      </c>
      <c r="C16" s="14" t="s">
        <v>255</v>
      </c>
      <c r="D16" t="s">
        <v>274</v>
      </c>
      <c r="E16"/>
      <c r="F16" t="s">
        <v>274</v>
      </c>
      <c r="G16"/>
      <c r="H16" s="15" t="s">
        <v>32</v>
      </c>
      <c r="I16"/>
      <c r="J16"/>
      <c r="K16"/>
      <c r="L16"/>
      <c r="M16"/>
      <c r="N16"/>
      <c r="O16"/>
      <c r="P16"/>
      <c r="Q16"/>
      <c r="R16"/>
      <c r="S16"/>
      <c r="T16" s="18">
        <v>389</v>
      </c>
      <c r="U16">
        <v>389</v>
      </c>
      <c r="V16" s="16">
        <v>32</v>
      </c>
      <c r="W16" t="s">
        <v>15</v>
      </c>
      <c r="X16" t="s">
        <v>100</v>
      </c>
      <c r="Y16" s="18" t="s">
        <v>15</v>
      </c>
      <c r="Z16" s="17" t="s">
        <v>54</v>
      </c>
      <c r="AA16" s="17" t="s">
        <v>54</v>
      </c>
      <c r="AB16" s="21" t="s">
        <v>54</v>
      </c>
      <c r="AC16" s="18" t="s">
        <v>100</v>
      </c>
      <c r="AD16" s="21" t="s">
        <v>54</v>
      </c>
      <c r="AE16" s="21" t="s">
        <v>54</v>
      </c>
      <c r="AF16" s="18" t="s">
        <v>304</v>
      </c>
      <c r="AG16"/>
      <c r="AH16"/>
      <c r="AI16"/>
      <c r="AJ16" s="16" t="s">
        <v>179</v>
      </c>
      <c r="AK16"/>
      <c r="AL16" s="16">
        <v>2874</v>
      </c>
      <c r="AM16" s="16" t="s">
        <v>6</v>
      </c>
      <c r="AN16"/>
      <c r="AO16" s="23" t="s">
        <v>494</v>
      </c>
      <c r="AP16" s="18"/>
      <c r="AQ16" s="18"/>
      <c r="AR16" s="18" t="s">
        <v>495</v>
      </c>
      <c r="AS16" s="18" t="s">
        <v>496</v>
      </c>
      <c r="AT16" s="18" t="s">
        <v>496</v>
      </c>
      <c r="AU16" s="18" t="s">
        <v>496</v>
      </c>
      <c r="AV16" s="18" t="s">
        <v>496</v>
      </c>
      <c r="AW16" s="18">
        <f t="shared" si="0"/>
        <v>50</v>
      </c>
      <c r="AX16" s="18" t="s">
        <v>451</v>
      </c>
      <c r="AY16" s="18" t="s">
        <v>497</v>
      </c>
      <c r="AZ16" s="18" t="s">
        <v>498</v>
      </c>
      <c r="BA16" s="18"/>
      <c r="BB16" s="18"/>
      <c r="BC16" s="18" t="s">
        <v>499</v>
      </c>
      <c r="BD16" s="18"/>
      <c r="BE16" s="18"/>
      <c r="BF16" s="18"/>
      <c r="BG16" s="18"/>
      <c r="BH16" s="18" t="s">
        <v>500</v>
      </c>
      <c r="BI16" s="18"/>
      <c r="BJ16" s="18"/>
      <c r="BK16" s="18" t="s">
        <v>501</v>
      </c>
      <c r="BL16" s="18"/>
      <c r="BM16" s="18"/>
      <c r="BN16" s="18"/>
      <c r="BO16" s="18"/>
      <c r="BP16" s="18" t="s">
        <v>502</v>
      </c>
      <c r="BQ16" s="18" t="s">
        <v>503</v>
      </c>
      <c r="BR16" s="18"/>
      <c r="BS16" s="18"/>
      <c r="BT16" s="18"/>
      <c r="BU16" s="18"/>
      <c r="BV16" s="18"/>
      <c r="BW16" s="18"/>
      <c r="BX16" s="18"/>
      <c r="BY16" s="18"/>
      <c r="BZ16" s="18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 s="1" t="s">
        <v>832</v>
      </c>
    </row>
    <row r="17" spans="1:111" ht="12" customHeight="1">
      <c r="A17" s="14" t="s">
        <v>211</v>
      </c>
      <c r="B17" s="14" t="s">
        <v>185</v>
      </c>
      <c r="C17" s="14" t="s">
        <v>255</v>
      </c>
      <c r="D17" t="s">
        <v>274</v>
      </c>
      <c r="E17"/>
      <c r="F17" t="s">
        <v>274</v>
      </c>
      <c r="G17"/>
      <c r="H17" s="15" t="s">
        <v>32</v>
      </c>
      <c r="I17"/>
      <c r="J17"/>
      <c r="K17"/>
      <c r="L17"/>
      <c r="M17"/>
      <c r="N17"/>
      <c r="O17"/>
      <c r="P17"/>
      <c r="Q17"/>
      <c r="R17"/>
      <c r="S17"/>
      <c r="T17" s="18">
        <v>390</v>
      </c>
      <c r="U17">
        <v>390</v>
      </c>
      <c r="V17" s="16">
        <v>33</v>
      </c>
      <c r="W17" t="s">
        <v>15</v>
      </c>
      <c r="X17" t="s">
        <v>100</v>
      </c>
      <c r="Y17" s="18" t="s">
        <v>15</v>
      </c>
      <c r="Z17" s="17" t="s">
        <v>158</v>
      </c>
      <c r="AA17" s="17" t="s">
        <v>158</v>
      </c>
      <c r="AB17" s="21" t="s">
        <v>158</v>
      </c>
      <c r="AC17" s="18" t="s">
        <v>100</v>
      </c>
      <c r="AD17" s="21" t="s">
        <v>158</v>
      </c>
      <c r="AE17" s="21" t="s">
        <v>158</v>
      </c>
      <c r="AF17" s="18" t="s">
        <v>305</v>
      </c>
      <c r="AG17"/>
      <c r="AH17"/>
      <c r="AI17"/>
      <c r="AJ17" s="16" t="s">
        <v>257</v>
      </c>
      <c r="AK17"/>
      <c r="AL17" s="16">
        <v>2874</v>
      </c>
      <c r="AM17" s="16" t="s">
        <v>243</v>
      </c>
      <c r="AN17"/>
      <c r="AO17" s="23" t="s">
        <v>504</v>
      </c>
      <c r="AP17" s="18" t="s">
        <v>505</v>
      </c>
      <c r="AQ17" s="24" t="s">
        <v>506</v>
      </c>
      <c r="AR17" s="18" t="s">
        <v>507</v>
      </c>
      <c r="AS17" s="18" t="s">
        <v>508</v>
      </c>
      <c r="AT17" s="18" t="s">
        <v>508</v>
      </c>
      <c r="AU17" s="18" t="s">
        <v>509</v>
      </c>
      <c r="AV17" s="18" t="s">
        <v>509</v>
      </c>
      <c r="AW17" s="18">
        <f t="shared" si="0"/>
        <v>40</v>
      </c>
      <c r="AX17" s="18" t="s">
        <v>425</v>
      </c>
      <c r="AY17" s="18" t="s">
        <v>510</v>
      </c>
      <c r="AZ17" s="18" t="s">
        <v>511</v>
      </c>
      <c r="BA17" s="18"/>
      <c r="BB17" s="18"/>
      <c r="BC17" s="18" t="s">
        <v>512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 t="s">
        <v>513</v>
      </c>
      <c r="BN17" s="18"/>
      <c r="BO17" s="18"/>
      <c r="BP17" s="18"/>
      <c r="BQ17" s="18" t="s">
        <v>514</v>
      </c>
      <c r="BR17" s="18"/>
      <c r="BS17" s="18"/>
      <c r="BT17" s="18"/>
      <c r="BU17" s="18"/>
      <c r="BV17" s="18"/>
      <c r="BW17" s="18"/>
      <c r="BX17" s="18"/>
      <c r="BY17" s="18"/>
      <c r="BZ17" s="18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 s="1" t="s">
        <v>832</v>
      </c>
    </row>
    <row r="18" spans="1:111" ht="12" customHeight="1">
      <c r="A18" s="14" t="s">
        <v>211</v>
      </c>
      <c r="B18" s="14" t="s">
        <v>185</v>
      </c>
      <c r="C18" s="14" t="s">
        <v>255</v>
      </c>
      <c r="D18" t="s">
        <v>274</v>
      </c>
      <c r="E18"/>
      <c r="F18" t="s">
        <v>274</v>
      </c>
      <c r="G18"/>
      <c r="H18" s="15" t="s">
        <v>32</v>
      </c>
      <c r="I18"/>
      <c r="J18"/>
      <c r="K18"/>
      <c r="L18"/>
      <c r="M18"/>
      <c r="N18"/>
      <c r="O18"/>
      <c r="P18"/>
      <c r="Q18"/>
      <c r="R18"/>
      <c r="S18"/>
      <c r="T18" s="18">
        <v>391</v>
      </c>
      <c r="U18">
        <v>391</v>
      </c>
      <c r="V18" s="16">
        <v>34</v>
      </c>
      <c r="W18" t="s">
        <v>15</v>
      </c>
      <c r="X18" t="s">
        <v>100</v>
      </c>
      <c r="Y18" s="18" t="s">
        <v>15</v>
      </c>
      <c r="Z18" s="17" t="s">
        <v>17</v>
      </c>
      <c r="AA18" s="17" t="s">
        <v>17</v>
      </c>
      <c r="AB18" s="21" t="s">
        <v>17</v>
      </c>
      <c r="AC18" s="18" t="s">
        <v>100</v>
      </c>
      <c r="AD18" s="21" t="s">
        <v>17</v>
      </c>
      <c r="AE18" s="21" t="s">
        <v>17</v>
      </c>
      <c r="AF18" s="18" t="s">
        <v>306</v>
      </c>
      <c r="AG18"/>
      <c r="AH18"/>
      <c r="AI18"/>
      <c r="AJ18" s="16" t="s">
        <v>103</v>
      </c>
      <c r="AK18"/>
      <c r="AL18" s="16">
        <v>2874</v>
      </c>
      <c r="AM18" s="16" t="s">
        <v>37</v>
      </c>
      <c r="AN18"/>
      <c r="AO18" s="23" t="s">
        <v>515</v>
      </c>
      <c r="AP18" s="18"/>
      <c r="AQ18" s="18"/>
      <c r="AR18" s="18" t="s">
        <v>103</v>
      </c>
      <c r="AS18" s="18" t="s">
        <v>516</v>
      </c>
      <c r="AT18" s="18" t="s">
        <v>516</v>
      </c>
      <c r="AU18" s="18" t="s">
        <v>517</v>
      </c>
      <c r="AV18" s="18" t="s">
        <v>517</v>
      </c>
      <c r="AW18" s="18">
        <f t="shared" si="0"/>
        <v>29</v>
      </c>
      <c r="AX18" s="18" t="s">
        <v>518</v>
      </c>
      <c r="AY18" s="18" t="s">
        <v>519</v>
      </c>
      <c r="AZ18" s="18"/>
      <c r="BA18" s="18"/>
      <c r="BB18" s="18"/>
      <c r="BC18" s="18"/>
      <c r="BD18" s="18"/>
      <c r="BE18" s="18"/>
      <c r="BF18" s="18"/>
      <c r="BG18" s="18"/>
      <c r="BH18" s="18" t="s">
        <v>520</v>
      </c>
      <c r="BI18" s="18"/>
      <c r="BJ18" s="18"/>
      <c r="BK18" s="18"/>
      <c r="BL18" s="18"/>
      <c r="BM18" s="18" t="s">
        <v>521</v>
      </c>
      <c r="BN18" s="18"/>
      <c r="BO18" s="18"/>
      <c r="BP18" s="18" t="s">
        <v>522</v>
      </c>
      <c r="BQ18" s="18" t="s">
        <v>430</v>
      </c>
      <c r="BR18" s="18"/>
      <c r="BS18" s="18"/>
      <c r="BT18" s="18"/>
      <c r="BU18" s="18"/>
      <c r="BV18" s="18"/>
      <c r="BW18" s="18"/>
      <c r="BX18" s="18"/>
      <c r="BY18" s="18"/>
      <c r="BZ18" s="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 s="1" t="s">
        <v>832</v>
      </c>
    </row>
    <row r="19" spans="1:111" ht="12" customHeight="1">
      <c r="A19" s="14" t="s">
        <v>211</v>
      </c>
      <c r="B19" s="14" t="s">
        <v>185</v>
      </c>
      <c r="C19" s="14" t="s">
        <v>255</v>
      </c>
      <c r="D19" t="s">
        <v>274</v>
      </c>
      <c r="E19"/>
      <c r="F19" t="s">
        <v>274</v>
      </c>
      <c r="G19"/>
      <c r="H19" s="15" t="s">
        <v>32</v>
      </c>
      <c r="I19"/>
      <c r="J19"/>
      <c r="K19"/>
      <c r="L19"/>
      <c r="M19"/>
      <c r="N19"/>
      <c r="O19"/>
      <c r="P19"/>
      <c r="Q19"/>
      <c r="R19"/>
      <c r="S19"/>
      <c r="T19" s="18">
        <v>392</v>
      </c>
      <c r="U19">
        <v>392</v>
      </c>
      <c r="V19" s="16">
        <v>35</v>
      </c>
      <c r="W19" t="s">
        <v>15</v>
      </c>
      <c r="X19" t="s">
        <v>100</v>
      </c>
      <c r="Y19" s="18" t="s">
        <v>15</v>
      </c>
      <c r="Z19" s="17" t="s">
        <v>55</v>
      </c>
      <c r="AA19" s="17" t="s">
        <v>55</v>
      </c>
      <c r="AB19" s="21" t="s">
        <v>55</v>
      </c>
      <c r="AC19" s="18" t="s">
        <v>100</v>
      </c>
      <c r="AD19" s="21" t="s">
        <v>55</v>
      </c>
      <c r="AE19" s="21" t="s">
        <v>55</v>
      </c>
      <c r="AF19" s="18" t="s">
        <v>307</v>
      </c>
      <c r="AG19"/>
      <c r="AH19"/>
      <c r="AI19"/>
      <c r="AJ19" s="16" t="s">
        <v>99</v>
      </c>
      <c r="AK19"/>
      <c r="AL19" s="16">
        <v>2874</v>
      </c>
      <c r="AM19" s="16" t="s">
        <v>13</v>
      </c>
      <c r="AN19"/>
      <c r="AO19" s="23" t="s">
        <v>523</v>
      </c>
      <c r="AP19" s="18"/>
      <c r="AQ19" s="18"/>
      <c r="AR19" s="18" t="s">
        <v>524</v>
      </c>
      <c r="AS19" s="18" t="s">
        <v>525</v>
      </c>
      <c r="AT19" s="18" t="s">
        <v>525</v>
      </c>
      <c r="AU19" s="18" t="s">
        <v>526</v>
      </c>
      <c r="AV19" s="18" t="s">
        <v>526</v>
      </c>
      <c r="AW19" s="18">
        <f t="shared" si="0"/>
        <v>16</v>
      </c>
      <c r="AX19" s="18" t="s">
        <v>527</v>
      </c>
      <c r="AY19" s="18"/>
      <c r="AZ19" s="18" t="s">
        <v>528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 t="s">
        <v>402</v>
      </c>
      <c r="BL19" s="18"/>
      <c r="BM19" s="18"/>
      <c r="BN19" s="18"/>
      <c r="BO19" s="18"/>
      <c r="BP19" s="18" t="s">
        <v>529</v>
      </c>
      <c r="BQ19" s="18" t="s">
        <v>530</v>
      </c>
      <c r="BR19" s="18"/>
      <c r="BS19" s="18"/>
      <c r="BT19" s="18"/>
      <c r="BU19" s="18"/>
      <c r="BV19" s="18"/>
      <c r="BW19" s="18"/>
      <c r="BX19" s="18"/>
      <c r="BY19" s="18"/>
      <c r="BZ19" s="18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 s="1" t="s">
        <v>832</v>
      </c>
    </row>
    <row r="20" spans="1:111" ht="12" customHeight="1">
      <c r="A20" s="14" t="s">
        <v>211</v>
      </c>
      <c r="B20" s="14" t="s">
        <v>185</v>
      </c>
      <c r="C20" s="14" t="s">
        <v>255</v>
      </c>
      <c r="D20" t="s">
        <v>274</v>
      </c>
      <c r="E20"/>
      <c r="F20" t="s">
        <v>274</v>
      </c>
      <c r="G20"/>
      <c r="H20" s="15" t="s">
        <v>32</v>
      </c>
      <c r="I20"/>
      <c r="J20"/>
      <c r="K20"/>
      <c r="L20"/>
      <c r="M20"/>
      <c r="N20"/>
      <c r="O20"/>
      <c r="P20"/>
      <c r="Q20"/>
      <c r="R20"/>
      <c r="S20"/>
      <c r="T20" s="18">
        <v>393</v>
      </c>
      <c r="U20">
        <v>393</v>
      </c>
      <c r="V20" s="16">
        <v>36</v>
      </c>
      <c r="W20" t="s">
        <v>15</v>
      </c>
      <c r="X20" t="s">
        <v>100</v>
      </c>
      <c r="Y20" s="18" t="s">
        <v>15</v>
      </c>
      <c r="Z20" s="17" t="s">
        <v>132</v>
      </c>
      <c r="AA20" s="17" t="s">
        <v>132</v>
      </c>
      <c r="AB20" s="21" t="s">
        <v>132</v>
      </c>
      <c r="AC20" s="18" t="s">
        <v>100</v>
      </c>
      <c r="AD20" s="21" t="s">
        <v>132</v>
      </c>
      <c r="AE20" s="21" t="s">
        <v>132</v>
      </c>
      <c r="AF20" s="18" t="s">
        <v>308</v>
      </c>
      <c r="AG20"/>
      <c r="AH20"/>
      <c r="AI20"/>
      <c r="AJ20" s="16" t="s">
        <v>109</v>
      </c>
      <c r="AK20"/>
      <c r="AL20" s="16">
        <v>2874</v>
      </c>
      <c r="AM20" s="16" t="s">
        <v>110</v>
      </c>
      <c r="AN20"/>
      <c r="AO20" s="23" t="s">
        <v>531</v>
      </c>
      <c r="AP20" s="18" t="s">
        <v>505</v>
      </c>
      <c r="AQ20" s="24" t="s">
        <v>506</v>
      </c>
      <c r="AR20" s="18" t="s">
        <v>532</v>
      </c>
      <c r="AS20" s="18" t="s">
        <v>533</v>
      </c>
      <c r="AT20" s="18" t="s">
        <v>533</v>
      </c>
      <c r="AU20" s="18" t="s">
        <v>534</v>
      </c>
      <c r="AV20" s="18" t="s">
        <v>535</v>
      </c>
      <c r="AW20" s="18">
        <f t="shared" si="0"/>
        <v>54</v>
      </c>
      <c r="AX20" s="18" t="s">
        <v>536</v>
      </c>
      <c r="AY20" s="18" t="s">
        <v>537</v>
      </c>
      <c r="AZ20" s="18" t="s">
        <v>538</v>
      </c>
      <c r="BA20" s="18"/>
      <c r="BB20" s="18"/>
      <c r="BC20" s="18" t="s">
        <v>539</v>
      </c>
      <c r="BD20" s="18"/>
      <c r="BE20" s="18"/>
      <c r="BF20" s="18"/>
      <c r="BG20" s="18"/>
      <c r="BH20" s="18" t="s">
        <v>540</v>
      </c>
      <c r="BI20" s="18" t="s">
        <v>541</v>
      </c>
      <c r="BJ20" s="18"/>
      <c r="BK20" s="18"/>
      <c r="BL20" s="18" t="s">
        <v>542</v>
      </c>
      <c r="BM20" s="18" t="s">
        <v>543</v>
      </c>
      <c r="BN20" s="18" t="s">
        <v>358</v>
      </c>
      <c r="BO20" s="18"/>
      <c r="BP20" s="18" t="s">
        <v>544</v>
      </c>
      <c r="BQ20" s="18" t="s">
        <v>545</v>
      </c>
      <c r="BR20" s="18"/>
      <c r="BS20" s="18"/>
      <c r="BT20" s="18"/>
      <c r="BU20" s="18"/>
      <c r="BV20" s="18"/>
      <c r="BW20" s="18"/>
      <c r="BX20" s="18"/>
      <c r="BY20" s="18"/>
      <c r="BZ20" s="18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 s="1" t="s">
        <v>832</v>
      </c>
    </row>
    <row r="21" spans="1:111" ht="12" customHeight="1">
      <c r="A21" s="14" t="s">
        <v>211</v>
      </c>
      <c r="B21" s="14" t="s">
        <v>185</v>
      </c>
      <c r="C21" s="14" t="s">
        <v>255</v>
      </c>
      <c r="D21" t="s">
        <v>274</v>
      </c>
      <c r="E21"/>
      <c r="F21" t="s">
        <v>274</v>
      </c>
      <c r="G21"/>
      <c r="H21" s="15" t="s">
        <v>32</v>
      </c>
      <c r="I21"/>
      <c r="J21"/>
      <c r="K21"/>
      <c r="L21"/>
      <c r="M21"/>
      <c r="N21"/>
      <c r="O21"/>
      <c r="P21"/>
      <c r="Q21"/>
      <c r="R21"/>
      <c r="S21"/>
      <c r="T21" s="18">
        <v>394</v>
      </c>
      <c r="U21">
        <v>394</v>
      </c>
      <c r="V21" s="16">
        <v>37</v>
      </c>
      <c r="W21" t="s">
        <v>15</v>
      </c>
      <c r="X21" t="s">
        <v>100</v>
      </c>
      <c r="Y21" s="18" t="s">
        <v>15</v>
      </c>
      <c r="Z21" s="17" t="s">
        <v>198</v>
      </c>
      <c r="AA21" s="17" t="s">
        <v>198</v>
      </c>
      <c r="AB21" s="21" t="s">
        <v>198</v>
      </c>
      <c r="AC21" s="18" t="s">
        <v>100</v>
      </c>
      <c r="AD21" s="21" t="s">
        <v>198</v>
      </c>
      <c r="AE21" s="21" t="s">
        <v>198</v>
      </c>
      <c r="AF21" s="18" t="s">
        <v>309</v>
      </c>
      <c r="AG21"/>
      <c r="AH21"/>
      <c r="AI21"/>
      <c r="AJ21" s="16" t="s">
        <v>181</v>
      </c>
      <c r="AK21"/>
      <c r="AL21" s="16">
        <v>2874</v>
      </c>
      <c r="AM21" s="16" t="s">
        <v>286</v>
      </c>
      <c r="AN21"/>
      <c r="AO21" s="23" t="s">
        <v>546</v>
      </c>
      <c r="AP21" s="18" t="s">
        <v>505</v>
      </c>
      <c r="AQ21" s="24" t="s">
        <v>506</v>
      </c>
      <c r="AR21" s="18" t="s">
        <v>547</v>
      </c>
      <c r="AS21" s="18" t="s">
        <v>548</v>
      </c>
      <c r="AT21" s="18" t="s">
        <v>548</v>
      </c>
      <c r="AU21" s="18" t="s">
        <v>549</v>
      </c>
      <c r="AV21" s="18" t="s">
        <v>550</v>
      </c>
      <c r="AW21" s="18">
        <f t="shared" si="0"/>
        <v>59</v>
      </c>
      <c r="AX21" s="18" t="s">
        <v>551</v>
      </c>
      <c r="AY21" s="18" t="s">
        <v>536</v>
      </c>
      <c r="AZ21" s="18" t="s">
        <v>552</v>
      </c>
      <c r="BA21" s="18">
        <v>1</v>
      </c>
      <c r="BB21" s="18"/>
      <c r="BC21" s="18" t="s">
        <v>553</v>
      </c>
      <c r="BD21" s="18"/>
      <c r="BE21" s="18"/>
      <c r="BF21" s="18"/>
      <c r="BG21" s="18" t="s">
        <v>554</v>
      </c>
      <c r="BH21" s="18" t="s">
        <v>555</v>
      </c>
      <c r="BI21" s="18"/>
      <c r="BJ21" s="18"/>
      <c r="BK21" s="18"/>
      <c r="BL21" s="18"/>
      <c r="BM21" s="18" t="s">
        <v>556</v>
      </c>
      <c r="BN21" s="18"/>
      <c r="BO21" s="18"/>
      <c r="BP21" s="18"/>
      <c r="BQ21" s="18" t="s">
        <v>557</v>
      </c>
      <c r="BR21" s="18"/>
      <c r="BS21" s="18"/>
      <c r="BT21" s="18"/>
      <c r="BU21" s="18"/>
      <c r="BV21" s="18"/>
      <c r="BW21" s="18"/>
      <c r="BX21" s="18"/>
      <c r="BY21" s="18"/>
      <c r="BZ21" s="18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 s="1" t="s">
        <v>832</v>
      </c>
    </row>
    <row r="22" spans="1:111" ht="12" customHeight="1">
      <c r="A22" s="14" t="s">
        <v>211</v>
      </c>
      <c r="B22" s="14" t="s">
        <v>185</v>
      </c>
      <c r="C22" s="14" t="s">
        <v>255</v>
      </c>
      <c r="D22" t="s">
        <v>274</v>
      </c>
      <c r="E22"/>
      <c r="F22" t="s">
        <v>274</v>
      </c>
      <c r="G22"/>
      <c r="H22" s="15" t="s">
        <v>32</v>
      </c>
      <c r="I22"/>
      <c r="J22"/>
      <c r="K22"/>
      <c r="L22"/>
      <c r="M22"/>
      <c r="N22"/>
      <c r="O22"/>
      <c r="P22"/>
      <c r="Q22"/>
      <c r="R22"/>
      <c r="S22"/>
      <c r="T22" s="18">
        <v>395</v>
      </c>
      <c r="U22">
        <v>395</v>
      </c>
      <c r="V22" s="16">
        <v>38</v>
      </c>
      <c r="W22" t="s">
        <v>15</v>
      </c>
      <c r="X22" t="s">
        <v>100</v>
      </c>
      <c r="Y22" s="18" t="s">
        <v>15</v>
      </c>
      <c r="Z22" s="17" t="s">
        <v>51</v>
      </c>
      <c r="AA22" s="17" t="s">
        <v>51</v>
      </c>
      <c r="AB22" s="21" t="s">
        <v>51</v>
      </c>
      <c r="AC22" s="18" t="s">
        <v>100</v>
      </c>
      <c r="AD22" s="21" t="s">
        <v>51</v>
      </c>
      <c r="AE22" s="21" t="s">
        <v>51</v>
      </c>
      <c r="AF22" s="18" t="s">
        <v>310</v>
      </c>
      <c r="AG22"/>
      <c r="AH22"/>
      <c r="AI22"/>
      <c r="AJ22" s="16" t="s">
        <v>127</v>
      </c>
      <c r="AK22"/>
      <c r="AL22" s="16">
        <v>2874</v>
      </c>
      <c r="AM22" s="16" t="s">
        <v>183</v>
      </c>
      <c r="AN22"/>
      <c r="AO22" s="23" t="s">
        <v>558</v>
      </c>
      <c r="AP22" s="18"/>
      <c r="AQ22" s="18"/>
      <c r="AR22" s="18" t="s">
        <v>559</v>
      </c>
      <c r="AS22" s="18" t="s">
        <v>560</v>
      </c>
      <c r="AT22" s="18" t="s">
        <v>560</v>
      </c>
      <c r="AU22" s="18" t="s">
        <v>561</v>
      </c>
      <c r="AV22" s="18" t="s">
        <v>562</v>
      </c>
      <c r="AW22" s="18">
        <f t="shared" si="0"/>
        <v>59</v>
      </c>
      <c r="AX22" s="18" t="s">
        <v>563</v>
      </c>
      <c r="AY22" s="18" t="s">
        <v>564</v>
      </c>
      <c r="AZ22" s="23" t="s">
        <v>565</v>
      </c>
      <c r="BA22" s="18"/>
      <c r="BB22" s="18"/>
      <c r="BC22" s="18"/>
      <c r="BD22" s="18"/>
      <c r="BE22" s="18" t="s">
        <v>566</v>
      </c>
      <c r="BF22" s="18"/>
      <c r="BG22" s="18"/>
      <c r="BH22" s="18" t="s">
        <v>567</v>
      </c>
      <c r="BI22" s="18"/>
      <c r="BJ22" s="18"/>
      <c r="BK22" s="18"/>
      <c r="BL22" s="18"/>
      <c r="BM22" s="18" t="s">
        <v>568</v>
      </c>
      <c r="BN22" s="18"/>
      <c r="BO22" s="18"/>
      <c r="BP22" s="18" t="s">
        <v>569</v>
      </c>
      <c r="BQ22" s="18" t="s">
        <v>570</v>
      </c>
      <c r="BR22" s="18"/>
      <c r="BS22" s="18"/>
      <c r="BT22" s="18"/>
      <c r="BU22" s="18"/>
      <c r="BV22" s="18"/>
      <c r="BW22" s="18"/>
      <c r="BX22" s="18"/>
      <c r="BY22" s="18"/>
      <c r="BZ22" s="18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 s="1" t="s">
        <v>832</v>
      </c>
    </row>
    <row r="23" spans="1:111" ht="12" customHeight="1">
      <c r="A23" s="14" t="s">
        <v>211</v>
      </c>
      <c r="B23" s="14" t="s">
        <v>185</v>
      </c>
      <c r="C23" s="14" t="s">
        <v>255</v>
      </c>
      <c r="D23" t="s">
        <v>274</v>
      </c>
      <c r="E23"/>
      <c r="F23" t="s">
        <v>274</v>
      </c>
      <c r="G23"/>
      <c r="H23" s="15" t="s">
        <v>32</v>
      </c>
      <c r="I23"/>
      <c r="J23"/>
      <c r="K23"/>
      <c r="L23"/>
      <c r="M23"/>
      <c r="N23"/>
      <c r="O23"/>
      <c r="P23"/>
      <c r="Q23"/>
      <c r="R23"/>
      <c r="S23"/>
      <c r="T23" s="18">
        <v>396</v>
      </c>
      <c r="U23">
        <v>396</v>
      </c>
      <c r="V23" s="16">
        <v>39</v>
      </c>
      <c r="W23" t="s">
        <v>15</v>
      </c>
      <c r="X23" t="s">
        <v>100</v>
      </c>
      <c r="Y23" s="18" t="s">
        <v>15</v>
      </c>
      <c r="Z23" s="17" t="s">
        <v>174</v>
      </c>
      <c r="AA23" s="17" t="s">
        <v>174</v>
      </c>
      <c r="AB23" s="21" t="s">
        <v>174</v>
      </c>
      <c r="AC23" s="18" t="s">
        <v>100</v>
      </c>
      <c r="AD23" s="21" t="s">
        <v>174</v>
      </c>
      <c r="AE23" s="21" t="s">
        <v>174</v>
      </c>
      <c r="AF23" s="18" t="s">
        <v>311</v>
      </c>
      <c r="AG23"/>
      <c r="AH23"/>
      <c r="AI23"/>
      <c r="AJ23" s="16" t="s">
        <v>71</v>
      </c>
      <c r="AK23"/>
      <c r="AL23" s="16">
        <v>2874</v>
      </c>
      <c r="AM23" s="16" t="s">
        <v>62</v>
      </c>
      <c r="AN23"/>
      <c r="AO23" s="23" t="s">
        <v>571</v>
      </c>
      <c r="AP23" s="18" t="s">
        <v>572</v>
      </c>
      <c r="AQ23" s="18" t="s">
        <v>573</v>
      </c>
      <c r="AR23" s="18" t="s">
        <v>574</v>
      </c>
      <c r="AS23" s="18" t="s">
        <v>575</v>
      </c>
      <c r="AT23" s="18" t="s">
        <v>575</v>
      </c>
      <c r="AU23" s="18" t="s">
        <v>576</v>
      </c>
      <c r="AV23" s="18" t="s">
        <v>576</v>
      </c>
      <c r="AW23" s="18">
        <f t="shared" si="0"/>
        <v>36</v>
      </c>
      <c r="AX23" s="18" t="s">
        <v>577</v>
      </c>
      <c r="AY23" s="23" t="s">
        <v>537</v>
      </c>
      <c r="AZ23" s="18" t="s">
        <v>578</v>
      </c>
      <c r="BA23" s="18"/>
      <c r="BB23" s="18"/>
      <c r="BC23" s="18"/>
      <c r="BD23" s="18"/>
      <c r="BE23" s="18"/>
      <c r="BF23" s="18"/>
      <c r="BG23" s="18"/>
      <c r="BH23" s="18" t="s">
        <v>579</v>
      </c>
      <c r="BI23" s="18"/>
      <c r="BJ23" s="18"/>
      <c r="BK23" s="18"/>
      <c r="BL23" s="18"/>
      <c r="BM23" s="18"/>
      <c r="BN23" s="18"/>
      <c r="BO23" s="18"/>
      <c r="BP23" s="18" t="s">
        <v>580</v>
      </c>
      <c r="BQ23" s="18" t="s">
        <v>581</v>
      </c>
      <c r="BR23" s="18"/>
      <c r="BS23" s="18"/>
      <c r="BT23" s="18"/>
      <c r="BU23" s="18"/>
      <c r="BV23" s="18"/>
      <c r="BW23" s="18"/>
      <c r="BX23" s="18"/>
      <c r="BY23" s="18"/>
      <c r="BZ23" s="18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 s="1" t="s">
        <v>832</v>
      </c>
    </row>
    <row r="24" spans="1:111" ht="12" customHeight="1">
      <c r="A24" s="14" t="s">
        <v>211</v>
      </c>
      <c r="B24" s="14" t="s">
        <v>185</v>
      </c>
      <c r="C24" s="14" t="s">
        <v>255</v>
      </c>
      <c r="D24" t="s">
        <v>274</v>
      </c>
      <c r="E24"/>
      <c r="F24" t="s">
        <v>274</v>
      </c>
      <c r="G24"/>
      <c r="H24" s="15" t="s">
        <v>32</v>
      </c>
      <c r="I24"/>
      <c r="J24"/>
      <c r="K24"/>
      <c r="L24"/>
      <c r="M24"/>
      <c r="N24"/>
      <c r="O24"/>
      <c r="P24"/>
      <c r="Q24"/>
      <c r="R24"/>
      <c r="S24"/>
      <c r="T24" s="18">
        <v>397</v>
      </c>
      <c r="U24">
        <v>397</v>
      </c>
      <c r="V24" s="16">
        <v>40</v>
      </c>
      <c r="W24" t="s">
        <v>15</v>
      </c>
      <c r="X24" t="s">
        <v>100</v>
      </c>
      <c r="Y24" s="18" t="s">
        <v>15</v>
      </c>
      <c r="Z24" s="17" t="s">
        <v>269</v>
      </c>
      <c r="AA24" s="17" t="s">
        <v>269</v>
      </c>
      <c r="AB24" s="21" t="s">
        <v>269</v>
      </c>
      <c r="AC24" s="18" t="s">
        <v>100</v>
      </c>
      <c r="AD24" s="21" t="s">
        <v>269</v>
      </c>
      <c r="AE24" s="21" t="s">
        <v>269</v>
      </c>
      <c r="AF24" s="18" t="s">
        <v>312</v>
      </c>
      <c r="AG24"/>
      <c r="AH24"/>
      <c r="AI24"/>
      <c r="AJ24" s="16" t="s">
        <v>79</v>
      </c>
      <c r="AK24"/>
      <c r="AL24" s="16">
        <v>2874</v>
      </c>
      <c r="AM24" s="16" t="s">
        <v>143</v>
      </c>
      <c r="AN24"/>
      <c r="AO24" s="23" t="s">
        <v>457</v>
      </c>
      <c r="AP24" s="18"/>
      <c r="AQ24" s="18"/>
      <c r="AR24" s="18" t="s">
        <v>582</v>
      </c>
      <c r="AS24" s="23" t="s">
        <v>583</v>
      </c>
      <c r="AT24" s="23" t="s">
        <v>583</v>
      </c>
      <c r="AU24" s="18" t="s">
        <v>584</v>
      </c>
      <c r="AV24" s="18" t="s">
        <v>584</v>
      </c>
      <c r="AW24" s="18">
        <f t="shared" si="0"/>
        <v>46</v>
      </c>
      <c r="AX24" s="23" t="s">
        <v>585</v>
      </c>
      <c r="AY24" s="23" t="s">
        <v>472</v>
      </c>
      <c r="AZ24" s="18"/>
      <c r="BA24" s="18"/>
      <c r="BB24" s="18"/>
      <c r="BC24" s="18" t="s">
        <v>586</v>
      </c>
      <c r="BD24" s="18"/>
      <c r="BE24" s="18" t="s">
        <v>587</v>
      </c>
      <c r="BF24" s="18"/>
      <c r="BG24" s="18"/>
      <c r="BH24" s="18"/>
      <c r="BI24" s="18"/>
      <c r="BJ24" s="18"/>
      <c r="BK24" s="18"/>
      <c r="BL24" s="18"/>
      <c r="BM24" s="18" t="s">
        <v>588</v>
      </c>
      <c r="BN24" s="18"/>
      <c r="BO24" s="18"/>
      <c r="BP24" s="18"/>
      <c r="BQ24" s="18" t="s">
        <v>589</v>
      </c>
      <c r="BR24" s="18"/>
      <c r="BS24" s="18"/>
      <c r="BT24" s="18"/>
      <c r="BU24" s="18"/>
      <c r="BV24" s="18"/>
      <c r="BW24" s="18"/>
      <c r="BX24" s="18"/>
      <c r="BY24" s="18"/>
      <c r="BZ24" s="18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 s="1" t="s">
        <v>832</v>
      </c>
    </row>
    <row r="25" spans="1:111" ht="12" customHeight="1">
      <c r="A25" s="14" t="s">
        <v>211</v>
      </c>
      <c r="B25" s="14" t="s">
        <v>185</v>
      </c>
      <c r="C25" s="14" t="s">
        <v>255</v>
      </c>
      <c r="D25" t="s">
        <v>274</v>
      </c>
      <c r="E25"/>
      <c r="F25" t="s">
        <v>274</v>
      </c>
      <c r="G25"/>
      <c r="H25" s="15" t="s">
        <v>32</v>
      </c>
      <c r="I25"/>
      <c r="J25"/>
      <c r="K25"/>
      <c r="L25"/>
      <c r="M25"/>
      <c r="N25"/>
      <c r="O25"/>
      <c r="P25"/>
      <c r="Q25"/>
      <c r="R25"/>
      <c r="S25"/>
      <c r="T25" s="18">
        <v>398</v>
      </c>
      <c r="U25">
        <v>398</v>
      </c>
      <c r="V25" s="16">
        <v>41</v>
      </c>
      <c r="W25" t="s">
        <v>15</v>
      </c>
      <c r="X25" t="s">
        <v>100</v>
      </c>
      <c r="Y25" s="18" t="s">
        <v>15</v>
      </c>
      <c r="Z25" s="17" t="s">
        <v>120</v>
      </c>
      <c r="AA25" s="17" t="s">
        <v>120</v>
      </c>
      <c r="AB25" s="21" t="s">
        <v>120</v>
      </c>
      <c r="AC25" s="18" t="s">
        <v>100</v>
      </c>
      <c r="AD25" s="21" t="s">
        <v>120</v>
      </c>
      <c r="AE25" s="21" t="s">
        <v>120</v>
      </c>
      <c r="AF25" s="18" t="s">
        <v>313</v>
      </c>
      <c r="AG25"/>
      <c r="AH25"/>
      <c r="AI25"/>
      <c r="AJ25" s="16" t="s">
        <v>219</v>
      </c>
      <c r="AK25"/>
      <c r="AL25" s="16">
        <v>2874</v>
      </c>
      <c r="AM25" s="16" t="s">
        <v>199</v>
      </c>
      <c r="AN25"/>
      <c r="AO25" s="23" t="s">
        <v>571</v>
      </c>
      <c r="AP25" s="18" t="s">
        <v>572</v>
      </c>
      <c r="AQ25" s="18" t="s">
        <v>573</v>
      </c>
      <c r="AR25" s="18" t="s">
        <v>590</v>
      </c>
      <c r="AS25" s="23" t="s">
        <v>591</v>
      </c>
      <c r="AT25" s="23" t="s">
        <v>591</v>
      </c>
      <c r="AU25" s="18" t="s">
        <v>592</v>
      </c>
      <c r="AV25" s="18" t="s">
        <v>592</v>
      </c>
      <c r="AW25" s="18">
        <f t="shared" si="0"/>
        <v>38</v>
      </c>
      <c r="AX25" s="23" t="s">
        <v>577</v>
      </c>
      <c r="AY25" s="23" t="s">
        <v>578</v>
      </c>
      <c r="AZ25" s="18"/>
      <c r="BA25" s="18"/>
      <c r="BB25" s="18"/>
      <c r="BC25" s="18" t="s">
        <v>593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 t="s">
        <v>594</v>
      </c>
      <c r="BN25" s="18"/>
      <c r="BO25" s="18"/>
      <c r="BP25" s="18" t="s">
        <v>595</v>
      </c>
      <c r="BQ25" s="18" t="s">
        <v>596</v>
      </c>
      <c r="BR25" s="18"/>
      <c r="BS25" s="18"/>
      <c r="BT25" s="18"/>
      <c r="BU25" s="18"/>
      <c r="BV25" s="18"/>
      <c r="BW25" s="18"/>
      <c r="BX25" s="18"/>
      <c r="BY25" s="18"/>
      <c r="BZ25" s="18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 s="1" t="s">
        <v>832</v>
      </c>
    </row>
    <row r="26" spans="1:111" ht="12" customHeight="1">
      <c r="A26" s="14" t="s">
        <v>211</v>
      </c>
      <c r="B26" s="14" t="s">
        <v>185</v>
      </c>
      <c r="C26" s="14" t="s">
        <v>255</v>
      </c>
      <c r="D26" t="s">
        <v>274</v>
      </c>
      <c r="E26"/>
      <c r="F26" t="s">
        <v>274</v>
      </c>
      <c r="G26"/>
      <c r="H26" s="15" t="s">
        <v>32</v>
      </c>
      <c r="I26"/>
      <c r="J26"/>
      <c r="K26"/>
      <c r="L26"/>
      <c r="M26"/>
      <c r="N26"/>
      <c r="O26"/>
      <c r="P26"/>
      <c r="Q26"/>
      <c r="R26"/>
      <c r="S26"/>
      <c r="T26" s="19">
        <v>409</v>
      </c>
      <c r="U26">
        <v>409</v>
      </c>
      <c r="V26" s="16">
        <v>52</v>
      </c>
      <c r="W26" t="s">
        <v>15</v>
      </c>
      <c r="X26" t="s">
        <v>100</v>
      </c>
      <c r="Y26" s="18" t="s">
        <v>15</v>
      </c>
      <c r="Z26" s="17" t="s">
        <v>258</v>
      </c>
      <c r="AA26" s="17" t="s">
        <v>258</v>
      </c>
      <c r="AB26" s="22" t="s">
        <v>258</v>
      </c>
      <c r="AC26" s="18" t="s">
        <v>100</v>
      </c>
      <c r="AD26" s="21" t="s">
        <v>258</v>
      </c>
      <c r="AE26" s="21" t="s">
        <v>258</v>
      </c>
      <c r="AF26" s="18" t="s">
        <v>314</v>
      </c>
      <c r="AG26"/>
      <c r="AH26"/>
      <c r="AI26"/>
      <c r="AJ26" s="16" t="s">
        <v>114</v>
      </c>
      <c r="AK26"/>
      <c r="AL26" s="16">
        <v>2874</v>
      </c>
      <c r="AM26" s="16" t="s">
        <v>78</v>
      </c>
      <c r="AN26"/>
      <c r="AO26" s="27" t="s">
        <v>457</v>
      </c>
      <c r="AP26" s="18"/>
      <c r="AQ26" s="18"/>
      <c r="AR26" s="19" t="s">
        <v>597</v>
      </c>
      <c r="AS26" s="19" t="s">
        <v>598</v>
      </c>
      <c r="AT26" s="19" t="s">
        <v>598</v>
      </c>
      <c r="AU26" s="18" t="s">
        <v>598</v>
      </c>
      <c r="AV26" s="18" t="s">
        <v>598</v>
      </c>
      <c r="AW26" s="18">
        <f t="shared" si="0"/>
        <v>13</v>
      </c>
      <c r="AX26" s="19" t="s">
        <v>599</v>
      </c>
      <c r="AY26" s="19" t="s">
        <v>600</v>
      </c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 t="s">
        <v>601</v>
      </c>
      <c r="BR26" s="19"/>
      <c r="BS26" s="19"/>
      <c r="BT26" s="19"/>
      <c r="BU26" s="19"/>
      <c r="BV26" s="19"/>
      <c r="BW26" s="19"/>
      <c r="BX26" s="19"/>
      <c r="BY26" s="19"/>
      <c r="BZ26" s="19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 s="1" t="s">
        <v>832</v>
      </c>
    </row>
    <row r="27" spans="1:111" ht="12" customHeight="1">
      <c r="A27" s="14" t="s">
        <v>211</v>
      </c>
      <c r="B27" s="14" t="s">
        <v>185</v>
      </c>
      <c r="C27" s="14" t="s">
        <v>255</v>
      </c>
      <c r="D27" t="s">
        <v>274</v>
      </c>
      <c r="E27"/>
      <c r="F27" t="s">
        <v>274</v>
      </c>
      <c r="G27"/>
      <c r="H27" s="15" t="s">
        <v>32</v>
      </c>
      <c r="I27"/>
      <c r="J27"/>
      <c r="K27"/>
      <c r="L27"/>
      <c r="M27"/>
      <c r="N27"/>
      <c r="O27"/>
      <c r="P27"/>
      <c r="Q27"/>
      <c r="R27"/>
      <c r="S27"/>
      <c r="T27" s="18">
        <v>410</v>
      </c>
      <c r="U27">
        <v>410</v>
      </c>
      <c r="V27" s="16">
        <v>53</v>
      </c>
      <c r="W27" t="s">
        <v>15</v>
      </c>
      <c r="X27" t="s">
        <v>100</v>
      </c>
      <c r="Y27" s="18" t="s">
        <v>15</v>
      </c>
      <c r="Z27" s="17" t="s">
        <v>192</v>
      </c>
      <c r="AA27" s="17" t="s">
        <v>192</v>
      </c>
      <c r="AB27" s="21" t="s">
        <v>192</v>
      </c>
      <c r="AC27" s="18" t="s">
        <v>100</v>
      </c>
      <c r="AD27" s="21" t="s">
        <v>192</v>
      </c>
      <c r="AE27" s="21" t="s">
        <v>192</v>
      </c>
      <c r="AF27" s="18" t="s">
        <v>315</v>
      </c>
      <c r="AG27"/>
      <c r="AH27"/>
      <c r="AI27"/>
      <c r="AJ27" s="16" t="s">
        <v>56</v>
      </c>
      <c r="AK27"/>
      <c r="AL27" s="16">
        <v>2874</v>
      </c>
      <c r="AM27" s="16" t="s">
        <v>184</v>
      </c>
      <c r="AN27"/>
      <c r="AO27" s="23" t="s">
        <v>602</v>
      </c>
      <c r="AP27" s="18"/>
      <c r="AQ27" s="18"/>
      <c r="AR27" s="18" t="s">
        <v>603</v>
      </c>
      <c r="AS27" s="23" t="s">
        <v>604</v>
      </c>
      <c r="AT27" s="23" t="s">
        <v>604</v>
      </c>
      <c r="AU27" s="18" t="s">
        <v>605</v>
      </c>
      <c r="AV27" s="18" t="s">
        <v>606</v>
      </c>
      <c r="AW27" s="18">
        <f t="shared" si="0"/>
        <v>60</v>
      </c>
      <c r="AX27" s="23" t="s">
        <v>607</v>
      </c>
      <c r="AY27" s="23" t="s">
        <v>608</v>
      </c>
      <c r="AZ27" s="18" t="s">
        <v>609</v>
      </c>
      <c r="BA27" s="18"/>
      <c r="BB27" s="18"/>
      <c r="BC27" s="18" t="s">
        <v>610</v>
      </c>
      <c r="BD27" s="18"/>
      <c r="BE27" s="18"/>
      <c r="BF27" s="18"/>
      <c r="BG27" s="18"/>
      <c r="BH27" s="18" t="s">
        <v>611</v>
      </c>
      <c r="BI27" s="18"/>
      <c r="BJ27" s="18"/>
      <c r="BK27" s="18" t="s">
        <v>501</v>
      </c>
      <c r="BL27" s="18"/>
      <c r="BM27" s="18" t="s">
        <v>612</v>
      </c>
      <c r="BN27" s="18" t="s">
        <v>441</v>
      </c>
      <c r="BO27" s="18"/>
      <c r="BP27" s="18"/>
      <c r="BQ27" s="18" t="s">
        <v>613</v>
      </c>
      <c r="BR27" s="18"/>
      <c r="BS27" s="18"/>
      <c r="BT27" s="18"/>
      <c r="BU27" s="18"/>
      <c r="BV27" s="18"/>
      <c r="BW27" s="18"/>
      <c r="BX27" s="18"/>
      <c r="BY27" s="18"/>
      <c r="BZ27" s="18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 s="1" t="s">
        <v>832</v>
      </c>
    </row>
    <row r="28" spans="1:111" ht="12" customHeight="1">
      <c r="A28" s="14" t="s">
        <v>211</v>
      </c>
      <c r="B28" s="14" t="s">
        <v>185</v>
      </c>
      <c r="C28" s="14" t="s">
        <v>255</v>
      </c>
      <c r="D28" t="s">
        <v>274</v>
      </c>
      <c r="E28"/>
      <c r="F28" t="s">
        <v>274</v>
      </c>
      <c r="G28"/>
      <c r="H28" s="15" t="s">
        <v>32</v>
      </c>
      <c r="I28"/>
      <c r="J28"/>
      <c r="K28"/>
      <c r="L28"/>
      <c r="M28"/>
      <c r="N28"/>
      <c r="O28"/>
      <c r="P28"/>
      <c r="Q28"/>
      <c r="R28"/>
      <c r="S28"/>
      <c r="T28" s="18">
        <v>411</v>
      </c>
      <c r="U28">
        <v>411</v>
      </c>
      <c r="V28" s="16">
        <v>54</v>
      </c>
      <c r="W28" t="s">
        <v>15</v>
      </c>
      <c r="X28" t="s">
        <v>100</v>
      </c>
      <c r="Y28" s="18" t="s">
        <v>15</v>
      </c>
      <c r="Z28" s="17" t="s">
        <v>282</v>
      </c>
      <c r="AA28" s="17" t="s">
        <v>282</v>
      </c>
      <c r="AB28" s="21" t="s">
        <v>282</v>
      </c>
      <c r="AC28" s="18" t="s">
        <v>100</v>
      </c>
      <c r="AD28" s="21" t="s">
        <v>282</v>
      </c>
      <c r="AE28" s="21" t="s">
        <v>282</v>
      </c>
      <c r="AF28" s="18" t="s">
        <v>316</v>
      </c>
      <c r="AG28"/>
      <c r="AH28"/>
      <c r="AI28"/>
      <c r="AJ28" s="16" t="s">
        <v>137</v>
      </c>
      <c r="AK28"/>
      <c r="AL28" s="16">
        <v>2874</v>
      </c>
      <c r="AM28" s="16" t="s">
        <v>90</v>
      </c>
      <c r="AN28"/>
      <c r="AO28" s="23" t="s">
        <v>614</v>
      </c>
      <c r="AP28" s="23" t="s">
        <v>362</v>
      </c>
      <c r="AQ28" s="24" t="s">
        <v>363</v>
      </c>
      <c r="AR28" s="18" t="s">
        <v>615</v>
      </c>
      <c r="AS28" s="18" t="s">
        <v>616</v>
      </c>
      <c r="AT28" s="18" t="s">
        <v>616</v>
      </c>
      <c r="AU28" s="18" t="s">
        <v>617</v>
      </c>
      <c r="AV28" s="18" t="s">
        <v>617</v>
      </c>
      <c r="AW28" s="18">
        <f t="shared" si="0"/>
        <v>40</v>
      </c>
      <c r="AX28" s="18" t="s">
        <v>618</v>
      </c>
      <c r="AY28" s="18" t="s">
        <v>410</v>
      </c>
      <c r="AZ28" s="18"/>
      <c r="BA28" s="18" t="s">
        <v>619</v>
      </c>
      <c r="BB28" s="18"/>
      <c r="BC28" s="18"/>
      <c r="BD28" s="18"/>
      <c r="BE28" s="18"/>
      <c r="BF28" s="18"/>
      <c r="BG28" s="18" t="s">
        <v>620</v>
      </c>
      <c r="BH28" s="18"/>
      <c r="BI28" s="18"/>
      <c r="BJ28" s="18"/>
      <c r="BK28" s="18"/>
      <c r="BL28" s="18"/>
      <c r="BM28" s="18" t="s">
        <v>621</v>
      </c>
      <c r="BN28" s="18" t="s">
        <v>358</v>
      </c>
      <c r="BO28" s="18"/>
      <c r="BP28" s="18"/>
      <c r="BQ28" s="18" t="s">
        <v>622</v>
      </c>
      <c r="BR28" s="18"/>
      <c r="BS28" s="18"/>
      <c r="BT28" s="18"/>
      <c r="BU28" s="18"/>
      <c r="BV28" s="18"/>
      <c r="BW28" s="18"/>
      <c r="BX28" s="18"/>
      <c r="BY28" s="18"/>
      <c r="BZ28" s="1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 s="1" t="s">
        <v>832</v>
      </c>
    </row>
    <row r="29" spans="1:111" ht="12" customHeight="1">
      <c r="A29" s="14" t="s">
        <v>211</v>
      </c>
      <c r="B29" s="14" t="s">
        <v>185</v>
      </c>
      <c r="C29" s="14" t="s">
        <v>255</v>
      </c>
      <c r="D29" t="s">
        <v>274</v>
      </c>
      <c r="E29"/>
      <c r="F29" t="s">
        <v>274</v>
      </c>
      <c r="G29"/>
      <c r="H29" s="15" t="s">
        <v>32</v>
      </c>
      <c r="I29"/>
      <c r="J29"/>
      <c r="K29"/>
      <c r="L29"/>
      <c r="M29"/>
      <c r="N29"/>
      <c r="O29"/>
      <c r="P29"/>
      <c r="Q29"/>
      <c r="R29"/>
      <c r="S29"/>
      <c r="T29" s="18">
        <v>412</v>
      </c>
      <c r="U29">
        <v>412</v>
      </c>
      <c r="V29" s="16">
        <v>55</v>
      </c>
      <c r="W29" t="s">
        <v>15</v>
      </c>
      <c r="X29" t="s">
        <v>100</v>
      </c>
      <c r="Y29" s="18" t="s">
        <v>15</v>
      </c>
      <c r="Z29" s="17" t="s">
        <v>285</v>
      </c>
      <c r="AA29" s="17" t="s">
        <v>285</v>
      </c>
      <c r="AB29" s="21" t="s">
        <v>285</v>
      </c>
      <c r="AC29" s="18" t="s">
        <v>100</v>
      </c>
      <c r="AD29" s="21" t="s">
        <v>285</v>
      </c>
      <c r="AE29" s="21" t="s">
        <v>285</v>
      </c>
      <c r="AF29" s="18" t="s">
        <v>317</v>
      </c>
      <c r="AG29"/>
      <c r="AH29"/>
      <c r="AI29"/>
      <c r="AJ29" s="16" t="s">
        <v>245</v>
      </c>
      <c r="AK29"/>
      <c r="AL29" s="16">
        <v>2874</v>
      </c>
      <c r="AM29" s="16" t="s">
        <v>222</v>
      </c>
      <c r="AN29"/>
      <c r="AO29" s="23" t="s">
        <v>614</v>
      </c>
      <c r="AP29" s="23" t="s">
        <v>362</v>
      </c>
      <c r="AQ29" s="24" t="s">
        <v>363</v>
      </c>
      <c r="AR29" s="18" t="s">
        <v>623</v>
      </c>
      <c r="AS29" s="18" t="s">
        <v>624</v>
      </c>
      <c r="AT29" s="18" t="s">
        <v>624</v>
      </c>
      <c r="AU29" s="18" t="s">
        <v>625</v>
      </c>
      <c r="AV29" s="18" t="s">
        <v>625</v>
      </c>
      <c r="AW29" s="18">
        <f t="shared" si="0"/>
        <v>40</v>
      </c>
      <c r="AX29" s="18" t="s">
        <v>618</v>
      </c>
      <c r="AY29" s="18" t="s">
        <v>410</v>
      </c>
      <c r="AZ29" s="18"/>
      <c r="BA29" s="18" t="s">
        <v>370</v>
      </c>
      <c r="BB29" s="18"/>
      <c r="BC29" s="18"/>
      <c r="BD29" s="18"/>
      <c r="BE29" s="18"/>
      <c r="BF29" s="18"/>
      <c r="BG29" s="18" t="s">
        <v>620</v>
      </c>
      <c r="BH29" s="18"/>
      <c r="BI29" s="18"/>
      <c r="BJ29" s="18"/>
      <c r="BK29" s="18"/>
      <c r="BL29" s="18"/>
      <c r="BM29" s="18" t="s">
        <v>621</v>
      </c>
      <c r="BN29" s="18" t="s">
        <v>358</v>
      </c>
      <c r="BO29" s="18"/>
      <c r="BP29" s="18"/>
      <c r="BQ29" s="18" t="s">
        <v>626</v>
      </c>
      <c r="BR29" s="18"/>
      <c r="BS29" s="18"/>
      <c r="BT29" s="18"/>
      <c r="BU29" s="18"/>
      <c r="BV29" s="18"/>
      <c r="BW29" s="18"/>
      <c r="BX29" s="18"/>
      <c r="BY29" s="18"/>
      <c r="BZ29" s="18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 s="1" t="s">
        <v>832</v>
      </c>
    </row>
    <row r="30" spans="1:111" ht="12" customHeight="1">
      <c r="A30" s="14" t="s">
        <v>211</v>
      </c>
      <c r="B30" s="14" t="s">
        <v>185</v>
      </c>
      <c r="C30" s="14" t="s">
        <v>255</v>
      </c>
      <c r="D30" t="s">
        <v>274</v>
      </c>
      <c r="E30"/>
      <c r="F30" t="s">
        <v>274</v>
      </c>
      <c r="G30"/>
      <c r="H30" s="15" t="s">
        <v>32</v>
      </c>
      <c r="I30"/>
      <c r="J30"/>
      <c r="K30"/>
      <c r="L30"/>
      <c r="M30"/>
      <c r="N30"/>
      <c r="O30"/>
      <c r="P30"/>
      <c r="Q30"/>
      <c r="R30"/>
      <c r="S30"/>
      <c r="T30" s="18">
        <v>413</v>
      </c>
      <c r="U30">
        <v>413</v>
      </c>
      <c r="V30" s="16">
        <v>56</v>
      </c>
      <c r="W30" t="s">
        <v>15</v>
      </c>
      <c r="X30" t="s">
        <v>100</v>
      </c>
      <c r="Y30" s="18" t="s">
        <v>15</v>
      </c>
      <c r="Z30" s="17" t="s">
        <v>128</v>
      </c>
      <c r="AA30" s="17" t="s">
        <v>128</v>
      </c>
      <c r="AB30" s="21" t="s">
        <v>128</v>
      </c>
      <c r="AC30" s="18" t="s">
        <v>100</v>
      </c>
      <c r="AD30" s="21" t="s">
        <v>128</v>
      </c>
      <c r="AE30" s="21" t="s">
        <v>128</v>
      </c>
      <c r="AF30" s="18" t="s">
        <v>318</v>
      </c>
      <c r="AG30"/>
      <c r="AH30"/>
      <c r="AI30"/>
      <c r="AJ30" s="16" t="s">
        <v>250</v>
      </c>
      <c r="AK30"/>
      <c r="AL30" s="16">
        <v>2874</v>
      </c>
      <c r="AM30" s="16" t="s">
        <v>160</v>
      </c>
      <c r="AN30"/>
      <c r="AO30" s="23" t="s">
        <v>614</v>
      </c>
      <c r="AP30" s="23" t="s">
        <v>362</v>
      </c>
      <c r="AQ30" s="24" t="s">
        <v>363</v>
      </c>
      <c r="AR30" s="18" t="s">
        <v>615</v>
      </c>
      <c r="AS30" s="18" t="s">
        <v>627</v>
      </c>
      <c r="AT30" s="18" t="s">
        <v>627</v>
      </c>
      <c r="AU30" s="18" t="s">
        <v>628</v>
      </c>
      <c r="AV30" s="18" t="s">
        <v>628</v>
      </c>
      <c r="AW30" s="18">
        <f t="shared" si="0"/>
        <v>40</v>
      </c>
      <c r="AX30" s="18" t="s">
        <v>618</v>
      </c>
      <c r="AY30" s="18" t="s">
        <v>410</v>
      </c>
      <c r="AZ30" s="18"/>
      <c r="BA30" s="18" t="s">
        <v>619</v>
      </c>
      <c r="BB30" s="18"/>
      <c r="BC30" s="18"/>
      <c r="BD30" s="18"/>
      <c r="BE30" s="18"/>
      <c r="BF30" s="18"/>
      <c r="BG30" s="18" t="s">
        <v>629</v>
      </c>
      <c r="BH30" s="18"/>
      <c r="BI30" s="18"/>
      <c r="BJ30" s="18"/>
      <c r="BK30" s="18"/>
      <c r="BL30" s="18"/>
      <c r="BM30" s="18" t="s">
        <v>621</v>
      </c>
      <c r="BN30" s="18" t="s">
        <v>358</v>
      </c>
      <c r="BO30" s="18"/>
      <c r="BP30" s="18" t="s">
        <v>630</v>
      </c>
      <c r="BQ30" s="18" t="s">
        <v>631</v>
      </c>
      <c r="BR30" s="18"/>
      <c r="BS30" s="18"/>
      <c r="BT30" s="18"/>
      <c r="BU30" s="18"/>
      <c r="BV30" s="18"/>
      <c r="BW30" s="18"/>
      <c r="BX30" s="18"/>
      <c r="BY30" s="18"/>
      <c r="BZ30" s="18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 s="1" t="s">
        <v>832</v>
      </c>
    </row>
    <row r="31" spans="1:111" ht="12" customHeight="1">
      <c r="A31" s="14" t="s">
        <v>211</v>
      </c>
      <c r="B31" s="14" t="s">
        <v>185</v>
      </c>
      <c r="C31" s="14" t="s">
        <v>255</v>
      </c>
      <c r="D31" t="s">
        <v>274</v>
      </c>
      <c r="E31"/>
      <c r="F31" t="s">
        <v>274</v>
      </c>
      <c r="G31"/>
      <c r="H31" s="15" t="s">
        <v>32</v>
      </c>
      <c r="I31"/>
      <c r="J31"/>
      <c r="K31"/>
      <c r="L31"/>
      <c r="M31"/>
      <c r="N31"/>
      <c r="O31"/>
      <c r="P31"/>
      <c r="Q31"/>
      <c r="R31"/>
      <c r="S31"/>
      <c r="T31" s="18">
        <v>414</v>
      </c>
      <c r="U31">
        <v>414</v>
      </c>
      <c r="V31" s="16">
        <v>57</v>
      </c>
      <c r="W31" t="s">
        <v>15</v>
      </c>
      <c r="X31" t="s">
        <v>100</v>
      </c>
      <c r="Y31" s="18" t="s">
        <v>15</v>
      </c>
      <c r="Z31" s="17" t="s">
        <v>25</v>
      </c>
      <c r="AA31" s="17" t="s">
        <v>25</v>
      </c>
      <c r="AB31" s="21" t="s">
        <v>25</v>
      </c>
      <c r="AC31" s="18" t="s">
        <v>100</v>
      </c>
      <c r="AD31" s="21" t="s">
        <v>25</v>
      </c>
      <c r="AE31" s="21" t="s">
        <v>25</v>
      </c>
      <c r="AF31" s="18" t="s">
        <v>319</v>
      </c>
      <c r="AG31"/>
      <c r="AH31"/>
      <c r="AI31"/>
      <c r="AJ31" s="16" t="s">
        <v>234</v>
      </c>
      <c r="AK31"/>
      <c r="AL31" s="16">
        <v>2874</v>
      </c>
      <c r="AM31" s="16" t="s">
        <v>200</v>
      </c>
      <c r="AN31"/>
      <c r="AO31" s="23" t="s">
        <v>614</v>
      </c>
      <c r="AP31" s="23" t="s">
        <v>362</v>
      </c>
      <c r="AQ31" s="24" t="s">
        <v>363</v>
      </c>
      <c r="AR31" s="18" t="s">
        <v>234</v>
      </c>
      <c r="AS31" s="18" t="s">
        <v>632</v>
      </c>
      <c r="AT31" s="18" t="s">
        <v>632</v>
      </c>
      <c r="AU31" s="18" t="s">
        <v>633</v>
      </c>
      <c r="AV31" s="18" t="s">
        <v>634</v>
      </c>
      <c r="AW31" s="18">
        <f t="shared" si="0"/>
        <v>55</v>
      </c>
      <c r="AX31" s="18" t="s">
        <v>490</v>
      </c>
      <c r="AY31" s="18" t="s">
        <v>410</v>
      </c>
      <c r="AZ31" s="18"/>
      <c r="BA31" s="18" t="s">
        <v>635</v>
      </c>
      <c r="BB31" s="18"/>
      <c r="BC31" s="18"/>
      <c r="BD31" s="18"/>
      <c r="BE31" s="18"/>
      <c r="BF31" s="18"/>
      <c r="BG31" s="18" t="s">
        <v>636</v>
      </c>
      <c r="BH31" s="18" t="s">
        <v>637</v>
      </c>
      <c r="BI31" s="18" t="s">
        <v>638</v>
      </c>
      <c r="BJ31" s="18"/>
      <c r="BK31" s="18"/>
      <c r="BL31" s="18"/>
      <c r="BM31" s="18"/>
      <c r="BN31" s="18"/>
      <c r="BO31" s="18"/>
      <c r="BP31" s="18"/>
      <c r="BQ31" s="18" t="s">
        <v>430</v>
      </c>
      <c r="BR31" s="18"/>
      <c r="BS31" s="18"/>
      <c r="BT31" s="18"/>
      <c r="BU31" s="18"/>
      <c r="BV31" s="18"/>
      <c r="BW31" s="18"/>
      <c r="BX31" s="18"/>
      <c r="BY31" s="18"/>
      <c r="BZ31" s="18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 s="1" t="s">
        <v>832</v>
      </c>
    </row>
    <row r="32" spans="1:111" ht="12" customHeight="1">
      <c r="A32" s="14" t="s">
        <v>211</v>
      </c>
      <c r="B32" s="14" t="s">
        <v>185</v>
      </c>
      <c r="C32" s="14" t="s">
        <v>255</v>
      </c>
      <c r="D32" t="s">
        <v>274</v>
      </c>
      <c r="E32"/>
      <c r="F32" t="s">
        <v>274</v>
      </c>
      <c r="G32"/>
      <c r="H32" s="15" t="s">
        <v>32</v>
      </c>
      <c r="I32"/>
      <c r="J32"/>
      <c r="K32"/>
      <c r="L32"/>
      <c r="M32"/>
      <c r="N32"/>
      <c r="O32"/>
      <c r="P32"/>
      <c r="Q32"/>
      <c r="R32"/>
      <c r="S32"/>
      <c r="T32" s="18">
        <v>415</v>
      </c>
      <c r="U32">
        <v>415</v>
      </c>
      <c r="V32" s="16">
        <v>58</v>
      </c>
      <c r="W32" t="s">
        <v>15</v>
      </c>
      <c r="X32" t="s">
        <v>100</v>
      </c>
      <c r="Y32" s="18" t="s">
        <v>15</v>
      </c>
      <c r="Z32" s="17" t="s">
        <v>53</v>
      </c>
      <c r="AA32" s="17" t="s">
        <v>53</v>
      </c>
      <c r="AB32" s="21" t="s">
        <v>53</v>
      </c>
      <c r="AC32" s="18" t="s">
        <v>100</v>
      </c>
      <c r="AD32" s="21" t="s">
        <v>53</v>
      </c>
      <c r="AE32" s="21" t="s">
        <v>53</v>
      </c>
      <c r="AF32" s="18" t="s">
        <v>320</v>
      </c>
      <c r="AG32"/>
      <c r="AH32"/>
      <c r="AI32"/>
      <c r="AJ32" s="16" t="s">
        <v>151</v>
      </c>
      <c r="AK32"/>
      <c r="AL32" s="16">
        <v>2874</v>
      </c>
      <c r="AM32" s="16" t="s">
        <v>266</v>
      </c>
      <c r="AN32"/>
      <c r="AO32" s="23" t="s">
        <v>614</v>
      </c>
      <c r="AP32" s="23" t="s">
        <v>362</v>
      </c>
      <c r="AQ32" s="24" t="s">
        <v>363</v>
      </c>
      <c r="AR32" s="18" t="s">
        <v>623</v>
      </c>
      <c r="AS32" s="18" t="s">
        <v>639</v>
      </c>
      <c r="AT32" s="18" t="s">
        <v>639</v>
      </c>
      <c r="AU32" s="18" t="s">
        <v>640</v>
      </c>
      <c r="AV32" s="18" t="s">
        <v>640</v>
      </c>
      <c r="AW32" s="18">
        <f t="shared" si="0"/>
        <v>43</v>
      </c>
      <c r="AX32" s="18" t="s">
        <v>618</v>
      </c>
      <c r="AY32" s="18" t="s">
        <v>410</v>
      </c>
      <c r="AZ32" s="18"/>
      <c r="BA32" s="18" t="s">
        <v>370</v>
      </c>
      <c r="BB32" s="18"/>
      <c r="BC32" s="18"/>
      <c r="BD32" s="18"/>
      <c r="BE32" s="18"/>
      <c r="BF32" s="18"/>
      <c r="BG32" s="18" t="s">
        <v>641</v>
      </c>
      <c r="BH32" s="18"/>
      <c r="BI32" s="18"/>
      <c r="BJ32" s="18"/>
      <c r="BK32" s="18"/>
      <c r="BL32" s="18"/>
      <c r="BM32" s="18" t="s">
        <v>621</v>
      </c>
      <c r="BN32" s="18" t="s">
        <v>358</v>
      </c>
      <c r="BO32" s="18"/>
      <c r="BP32" s="18"/>
      <c r="BQ32" s="18" t="s">
        <v>642</v>
      </c>
      <c r="BR32" s="18"/>
      <c r="BS32" s="18"/>
      <c r="BT32" s="18"/>
      <c r="BU32" s="18"/>
      <c r="BV32" s="18"/>
      <c r="BW32" s="18"/>
      <c r="BX32" s="18"/>
      <c r="BY32" s="18"/>
      <c r="BZ32" s="18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 s="1" t="s">
        <v>832</v>
      </c>
    </row>
    <row r="33" spans="1:111" ht="12" customHeight="1">
      <c r="A33" s="14" t="s">
        <v>211</v>
      </c>
      <c r="B33" s="14" t="s">
        <v>185</v>
      </c>
      <c r="C33" s="14" t="s">
        <v>255</v>
      </c>
      <c r="D33" t="s">
        <v>274</v>
      </c>
      <c r="E33"/>
      <c r="F33" t="s">
        <v>274</v>
      </c>
      <c r="G33"/>
      <c r="H33" s="15" t="s">
        <v>32</v>
      </c>
      <c r="I33"/>
      <c r="J33"/>
      <c r="K33"/>
      <c r="L33"/>
      <c r="M33"/>
      <c r="N33"/>
      <c r="O33"/>
      <c r="P33"/>
      <c r="Q33"/>
      <c r="R33"/>
      <c r="S33"/>
      <c r="T33" s="18">
        <v>416</v>
      </c>
      <c r="U33">
        <v>416</v>
      </c>
      <c r="V33" s="16">
        <v>59</v>
      </c>
      <c r="W33" t="s">
        <v>15</v>
      </c>
      <c r="X33" t="s">
        <v>100</v>
      </c>
      <c r="Y33" s="18" t="s">
        <v>15</v>
      </c>
      <c r="Z33" s="17" t="s">
        <v>237</v>
      </c>
      <c r="AA33" s="17" t="s">
        <v>237</v>
      </c>
      <c r="AB33" s="21" t="s">
        <v>237</v>
      </c>
      <c r="AC33" s="18" t="s">
        <v>100</v>
      </c>
      <c r="AD33" s="21" t="s">
        <v>237</v>
      </c>
      <c r="AE33" s="21" t="s">
        <v>237</v>
      </c>
      <c r="AF33" s="18" t="s">
        <v>321</v>
      </c>
      <c r="AG33"/>
      <c r="AH33"/>
      <c r="AI33"/>
      <c r="AJ33" s="16" t="s">
        <v>220</v>
      </c>
      <c r="AK33"/>
      <c r="AL33" s="16">
        <v>2874</v>
      </c>
      <c r="AM33" s="16" t="s">
        <v>89</v>
      </c>
      <c r="AN33"/>
      <c r="AO33" s="23" t="s">
        <v>643</v>
      </c>
      <c r="AP33" s="18"/>
      <c r="AQ33" s="18"/>
      <c r="AR33" s="18" t="s">
        <v>220</v>
      </c>
      <c r="AS33" s="18" t="s">
        <v>644</v>
      </c>
      <c r="AT33" s="18" t="s">
        <v>644</v>
      </c>
      <c r="AU33" s="18" t="s">
        <v>645</v>
      </c>
      <c r="AV33" s="18" t="s">
        <v>645</v>
      </c>
      <c r="AW33" s="18">
        <f t="shared" si="0"/>
        <v>39</v>
      </c>
      <c r="AX33" s="18" t="s">
        <v>646</v>
      </c>
      <c r="AY33" s="18" t="s">
        <v>647</v>
      </c>
      <c r="AZ33" s="18" t="s">
        <v>648</v>
      </c>
      <c r="BA33" s="18" t="s">
        <v>649</v>
      </c>
      <c r="BB33" s="18"/>
      <c r="BC33" s="18"/>
      <c r="BD33" s="18"/>
      <c r="BE33" s="18"/>
      <c r="BF33" s="18"/>
      <c r="BG33" s="18"/>
      <c r="BH33" s="18" t="s">
        <v>650</v>
      </c>
      <c r="BI33" s="18"/>
      <c r="BJ33" s="18"/>
      <c r="BK33" s="18"/>
      <c r="BL33" s="18"/>
      <c r="BM33" s="18"/>
      <c r="BN33" s="18"/>
      <c r="BO33" s="18"/>
      <c r="BP33" s="18"/>
      <c r="BQ33" s="18" t="s">
        <v>651</v>
      </c>
      <c r="BR33" s="18"/>
      <c r="BS33" s="18"/>
      <c r="BT33" s="18"/>
      <c r="BU33" s="18"/>
      <c r="BV33" s="18"/>
      <c r="BW33" s="18"/>
      <c r="BX33" s="18"/>
      <c r="BY33" s="18"/>
      <c r="BZ33" s="18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 s="1" t="s">
        <v>832</v>
      </c>
    </row>
    <row r="34" spans="1:111" ht="12" customHeight="1">
      <c r="A34" s="14" t="s">
        <v>211</v>
      </c>
      <c r="B34" s="14" t="s">
        <v>185</v>
      </c>
      <c r="C34" s="14" t="s">
        <v>255</v>
      </c>
      <c r="D34" t="s">
        <v>274</v>
      </c>
      <c r="E34"/>
      <c r="F34" t="s">
        <v>274</v>
      </c>
      <c r="G34"/>
      <c r="H34" s="15" t="s">
        <v>32</v>
      </c>
      <c r="I34"/>
      <c r="J34"/>
      <c r="K34"/>
      <c r="L34"/>
      <c r="M34"/>
      <c r="N34"/>
      <c r="O34"/>
      <c r="P34"/>
      <c r="Q34"/>
      <c r="R34"/>
      <c r="S34"/>
      <c r="T34" s="18">
        <v>417</v>
      </c>
      <c r="U34">
        <v>417</v>
      </c>
      <c r="V34" s="16">
        <v>60</v>
      </c>
      <c r="W34" t="s">
        <v>15</v>
      </c>
      <c r="X34" t="s">
        <v>100</v>
      </c>
      <c r="Y34" s="18" t="s">
        <v>15</v>
      </c>
      <c r="Z34" s="17" t="s">
        <v>68</v>
      </c>
      <c r="AA34" s="17" t="s">
        <v>68</v>
      </c>
      <c r="AB34" s="21" t="s">
        <v>68</v>
      </c>
      <c r="AC34" s="18" t="s">
        <v>100</v>
      </c>
      <c r="AD34" s="21" t="s">
        <v>68</v>
      </c>
      <c r="AE34" s="21" t="s">
        <v>68</v>
      </c>
      <c r="AF34" s="18" t="s">
        <v>322</v>
      </c>
      <c r="AG34"/>
      <c r="AH34"/>
      <c r="AI34"/>
      <c r="AJ34" s="16" t="s">
        <v>123</v>
      </c>
      <c r="AK34"/>
      <c r="AL34" s="16">
        <v>2874</v>
      </c>
      <c r="AM34" s="16" t="s">
        <v>44</v>
      </c>
      <c r="AN34"/>
      <c r="AO34" s="23" t="s">
        <v>531</v>
      </c>
      <c r="AP34" s="18" t="s">
        <v>572</v>
      </c>
      <c r="AQ34" s="18" t="s">
        <v>573</v>
      </c>
      <c r="AR34" s="18" t="s">
        <v>652</v>
      </c>
      <c r="AS34" s="18" t="s">
        <v>653</v>
      </c>
      <c r="AT34" s="18" t="s">
        <v>653</v>
      </c>
      <c r="AU34" s="18" t="s">
        <v>654</v>
      </c>
      <c r="AV34" s="18" t="s">
        <v>654</v>
      </c>
      <c r="AW34" s="18">
        <f t="shared" ref="AW34:AW65" si="1">LEN(SUBSTITUTE(AV34, ", ",","))</f>
        <v>57</v>
      </c>
      <c r="AX34" s="18" t="s">
        <v>577</v>
      </c>
      <c r="AY34" s="18" t="s">
        <v>578</v>
      </c>
      <c r="AZ34" s="18" t="s">
        <v>538</v>
      </c>
      <c r="BA34" s="18"/>
      <c r="BB34" s="18"/>
      <c r="BC34" s="18" t="s">
        <v>655</v>
      </c>
      <c r="BD34" s="18"/>
      <c r="BE34" s="18"/>
      <c r="BF34" s="18"/>
      <c r="BG34" s="18"/>
      <c r="BH34" s="18" t="s">
        <v>656</v>
      </c>
      <c r="BI34" s="18" t="s">
        <v>657</v>
      </c>
      <c r="BJ34" s="18"/>
      <c r="BK34" s="18"/>
      <c r="BL34" s="18" t="s">
        <v>542</v>
      </c>
      <c r="BM34" s="18" t="s">
        <v>658</v>
      </c>
      <c r="BN34" s="18" t="s">
        <v>358</v>
      </c>
      <c r="BO34" s="18"/>
      <c r="BP34" s="18" t="s">
        <v>659</v>
      </c>
      <c r="BQ34" s="18" t="s">
        <v>660</v>
      </c>
      <c r="BR34" s="18"/>
      <c r="BS34" s="18"/>
      <c r="BT34" s="18"/>
      <c r="BU34" s="18"/>
      <c r="BV34" s="18"/>
      <c r="BW34" s="18"/>
      <c r="BX34" s="18"/>
      <c r="BY34" s="18"/>
      <c r="BZ34" s="18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 s="1" t="s">
        <v>832</v>
      </c>
    </row>
    <row r="35" spans="1:111" ht="12" customHeight="1">
      <c r="A35" s="14" t="s">
        <v>211</v>
      </c>
      <c r="B35" s="14" t="s">
        <v>185</v>
      </c>
      <c r="C35" s="14" t="s">
        <v>255</v>
      </c>
      <c r="D35" t="s">
        <v>274</v>
      </c>
      <c r="E35"/>
      <c r="F35" t="s">
        <v>274</v>
      </c>
      <c r="G35"/>
      <c r="H35" s="15" t="s">
        <v>32</v>
      </c>
      <c r="I35"/>
      <c r="J35"/>
      <c r="K35"/>
      <c r="L35"/>
      <c r="M35"/>
      <c r="N35"/>
      <c r="O35"/>
      <c r="P35"/>
      <c r="Q35"/>
      <c r="R35"/>
      <c r="S35"/>
      <c r="T35" s="18">
        <v>418</v>
      </c>
      <c r="U35">
        <v>418</v>
      </c>
      <c r="V35" s="16">
        <v>61</v>
      </c>
      <c r="W35" t="s">
        <v>15</v>
      </c>
      <c r="X35" t="s">
        <v>100</v>
      </c>
      <c r="Y35" s="18" t="s">
        <v>15</v>
      </c>
      <c r="Z35" s="17" t="s">
        <v>19</v>
      </c>
      <c r="AA35" s="17" t="s">
        <v>19</v>
      </c>
      <c r="AB35" s="21" t="s">
        <v>19</v>
      </c>
      <c r="AC35" s="18" t="s">
        <v>100</v>
      </c>
      <c r="AD35" s="21" t="s">
        <v>19</v>
      </c>
      <c r="AE35" s="21" t="s">
        <v>19</v>
      </c>
      <c r="AF35" s="18" t="s">
        <v>323</v>
      </c>
      <c r="AG35"/>
      <c r="AH35"/>
      <c r="AI35"/>
      <c r="AJ35" s="16" t="s">
        <v>236</v>
      </c>
      <c r="AK35"/>
      <c r="AL35" s="16">
        <v>2874</v>
      </c>
      <c r="AM35" s="16" t="s">
        <v>206</v>
      </c>
      <c r="AN35"/>
      <c r="AO35" s="23" t="s">
        <v>614</v>
      </c>
      <c r="AP35" s="23" t="s">
        <v>362</v>
      </c>
      <c r="AQ35" s="24" t="s">
        <v>363</v>
      </c>
      <c r="AR35" s="18" t="s">
        <v>236</v>
      </c>
      <c r="AS35" s="18" t="s">
        <v>661</v>
      </c>
      <c r="AT35" s="18" t="s">
        <v>661</v>
      </c>
      <c r="AU35" s="18" t="s">
        <v>662</v>
      </c>
      <c r="AV35" s="18" t="s">
        <v>663</v>
      </c>
      <c r="AW35" s="18">
        <f t="shared" si="1"/>
        <v>58</v>
      </c>
      <c r="AX35" s="18" t="s">
        <v>664</v>
      </c>
      <c r="AY35" s="18" t="s">
        <v>410</v>
      </c>
      <c r="AZ35" s="18" t="s">
        <v>665</v>
      </c>
      <c r="BA35" s="18" t="s">
        <v>370</v>
      </c>
      <c r="BB35" s="18" t="s">
        <v>371</v>
      </c>
      <c r="BC35" s="18"/>
      <c r="BD35" s="18"/>
      <c r="BE35" s="18"/>
      <c r="BF35" s="18"/>
      <c r="BG35" s="18" t="s">
        <v>666</v>
      </c>
      <c r="BH35" s="18"/>
      <c r="BI35" s="18" t="s">
        <v>667</v>
      </c>
      <c r="BJ35" s="18"/>
      <c r="BK35" s="18" t="s">
        <v>668</v>
      </c>
      <c r="BL35" s="18"/>
      <c r="BM35" s="18" t="s">
        <v>669</v>
      </c>
      <c r="BN35" s="18" t="s">
        <v>358</v>
      </c>
      <c r="BO35" s="18"/>
      <c r="BP35" s="18"/>
      <c r="BQ35" s="18" t="s">
        <v>430</v>
      </c>
      <c r="BR35" s="18"/>
      <c r="BS35" s="18"/>
      <c r="BT35" s="18"/>
      <c r="BU35" s="18"/>
      <c r="BV35" s="18"/>
      <c r="BW35" s="18"/>
      <c r="BX35" s="18"/>
      <c r="BY35" s="18"/>
      <c r="BZ35" s="18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 s="1" t="s">
        <v>832</v>
      </c>
    </row>
    <row r="36" spans="1:111" ht="12" customHeight="1">
      <c r="A36" s="14" t="s">
        <v>211</v>
      </c>
      <c r="B36" s="14" t="s">
        <v>185</v>
      </c>
      <c r="C36" s="14" t="s">
        <v>255</v>
      </c>
      <c r="D36" t="s">
        <v>274</v>
      </c>
      <c r="E36"/>
      <c r="F36" t="s">
        <v>274</v>
      </c>
      <c r="G36"/>
      <c r="H36" s="15" t="s">
        <v>32</v>
      </c>
      <c r="I36"/>
      <c r="J36"/>
      <c r="K36"/>
      <c r="L36"/>
      <c r="M36"/>
      <c r="N36"/>
      <c r="O36"/>
      <c r="P36"/>
      <c r="Q36"/>
      <c r="R36"/>
      <c r="S36"/>
      <c r="T36" s="18">
        <v>419</v>
      </c>
      <c r="U36">
        <v>419</v>
      </c>
      <c r="V36" s="16">
        <v>62</v>
      </c>
      <c r="W36" t="s">
        <v>15</v>
      </c>
      <c r="X36" t="s">
        <v>100</v>
      </c>
      <c r="Y36" s="18" t="s">
        <v>15</v>
      </c>
      <c r="Z36" s="17" t="s">
        <v>50</v>
      </c>
      <c r="AA36" s="17" t="s">
        <v>50</v>
      </c>
      <c r="AB36" s="21" t="s">
        <v>50</v>
      </c>
      <c r="AC36" s="18" t="s">
        <v>100</v>
      </c>
      <c r="AD36" s="21" t="s">
        <v>50</v>
      </c>
      <c r="AE36" s="21" t="s">
        <v>50</v>
      </c>
      <c r="AF36" s="18" t="s">
        <v>324</v>
      </c>
      <c r="AG36"/>
      <c r="AH36"/>
      <c r="AI36"/>
      <c r="AJ36" s="16" t="s">
        <v>288</v>
      </c>
      <c r="AK36"/>
      <c r="AL36" s="16">
        <v>2874</v>
      </c>
      <c r="AM36" s="16" t="s">
        <v>130</v>
      </c>
      <c r="AN36"/>
      <c r="AO36" s="23" t="s">
        <v>614</v>
      </c>
      <c r="AP36" s="23" t="s">
        <v>362</v>
      </c>
      <c r="AQ36" s="24" t="s">
        <v>363</v>
      </c>
      <c r="AR36" s="18" t="s">
        <v>670</v>
      </c>
      <c r="AS36" s="18" t="s">
        <v>671</v>
      </c>
      <c r="AT36" s="18" t="s">
        <v>671</v>
      </c>
      <c r="AU36" s="18" t="s">
        <v>672</v>
      </c>
      <c r="AV36" s="18" t="s">
        <v>673</v>
      </c>
      <c r="AW36" s="18">
        <f t="shared" si="1"/>
        <v>58</v>
      </c>
      <c r="AX36" s="18" t="s">
        <v>490</v>
      </c>
      <c r="AY36" s="18" t="s">
        <v>410</v>
      </c>
      <c r="AZ36" s="18" t="s">
        <v>674</v>
      </c>
      <c r="BA36" s="18" t="s">
        <v>675</v>
      </c>
      <c r="BB36" s="18" t="s">
        <v>371</v>
      </c>
      <c r="BC36" s="18"/>
      <c r="BD36" s="18"/>
      <c r="BE36" s="18"/>
      <c r="BF36" s="18"/>
      <c r="BG36" s="18" t="s">
        <v>676</v>
      </c>
      <c r="BH36" s="18" t="s">
        <v>677</v>
      </c>
      <c r="BI36" s="18"/>
      <c r="BJ36" s="18"/>
      <c r="BK36" s="18" t="s">
        <v>402</v>
      </c>
      <c r="BL36" s="18"/>
      <c r="BM36" s="18" t="s">
        <v>669</v>
      </c>
      <c r="BN36" s="18" t="s">
        <v>358</v>
      </c>
      <c r="BO36" s="18"/>
      <c r="BP36" s="18" t="s">
        <v>678</v>
      </c>
      <c r="BQ36" s="18" t="s">
        <v>430</v>
      </c>
      <c r="BR36" s="18"/>
      <c r="BS36" s="18"/>
      <c r="BT36" s="18"/>
      <c r="BU36" s="18"/>
      <c r="BV36" s="18"/>
      <c r="BW36" s="18"/>
      <c r="BX36" s="18"/>
      <c r="BY36" s="18"/>
      <c r="BZ36" s="18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 s="1" t="s">
        <v>832</v>
      </c>
    </row>
    <row r="37" spans="1:111" ht="12" customHeight="1">
      <c r="A37" s="14" t="s">
        <v>211</v>
      </c>
      <c r="B37" s="14" t="s">
        <v>185</v>
      </c>
      <c r="C37" s="14" t="s">
        <v>255</v>
      </c>
      <c r="D37" t="s">
        <v>274</v>
      </c>
      <c r="E37"/>
      <c r="F37" t="s">
        <v>274</v>
      </c>
      <c r="G37"/>
      <c r="H37" s="15" t="s">
        <v>32</v>
      </c>
      <c r="I37"/>
      <c r="J37"/>
      <c r="K37"/>
      <c r="L37"/>
      <c r="M37"/>
      <c r="N37"/>
      <c r="O37"/>
      <c r="P37"/>
      <c r="Q37"/>
      <c r="R37"/>
      <c r="S37"/>
      <c r="T37" s="18">
        <v>420</v>
      </c>
      <c r="U37">
        <v>420</v>
      </c>
      <c r="V37" s="16">
        <v>63</v>
      </c>
      <c r="W37" t="s">
        <v>15</v>
      </c>
      <c r="X37" t="s">
        <v>100</v>
      </c>
      <c r="Y37" s="18" t="s">
        <v>15</v>
      </c>
      <c r="Z37" s="17" t="s">
        <v>227</v>
      </c>
      <c r="AA37" s="17" t="s">
        <v>227</v>
      </c>
      <c r="AB37" s="21" t="s">
        <v>227</v>
      </c>
      <c r="AC37" s="18" t="s">
        <v>100</v>
      </c>
      <c r="AD37" s="21" t="s">
        <v>227</v>
      </c>
      <c r="AE37" s="21" t="s">
        <v>227</v>
      </c>
      <c r="AF37" s="18" t="s">
        <v>325</v>
      </c>
      <c r="AG37"/>
      <c r="AH37"/>
      <c r="AI37"/>
      <c r="AJ37" s="16" t="s">
        <v>27</v>
      </c>
      <c r="AK37"/>
      <c r="AL37" s="16">
        <v>2874</v>
      </c>
      <c r="AM37" s="16" t="s">
        <v>221</v>
      </c>
      <c r="AN37"/>
      <c r="AO37" s="23" t="s">
        <v>614</v>
      </c>
      <c r="AP37" s="23" t="s">
        <v>362</v>
      </c>
      <c r="AQ37" s="24" t="s">
        <v>363</v>
      </c>
      <c r="AR37" s="18" t="s">
        <v>679</v>
      </c>
      <c r="AS37" s="18" t="s">
        <v>680</v>
      </c>
      <c r="AT37" s="18" t="s">
        <v>680</v>
      </c>
      <c r="AU37" s="18" t="s">
        <v>681</v>
      </c>
      <c r="AV37" s="18" t="s">
        <v>682</v>
      </c>
      <c r="AW37" s="18">
        <f t="shared" si="1"/>
        <v>57</v>
      </c>
      <c r="AX37" s="18" t="s">
        <v>490</v>
      </c>
      <c r="AY37" s="18" t="s">
        <v>410</v>
      </c>
      <c r="AZ37" s="18" t="s">
        <v>674</v>
      </c>
      <c r="BA37" s="18" t="s">
        <v>683</v>
      </c>
      <c r="BB37" s="18"/>
      <c r="BC37" s="18" t="s">
        <v>684</v>
      </c>
      <c r="BD37" s="18"/>
      <c r="BE37" s="18"/>
      <c r="BF37" s="18"/>
      <c r="BG37" s="18" t="s">
        <v>685</v>
      </c>
      <c r="BH37" s="18" t="s">
        <v>686</v>
      </c>
      <c r="BI37" s="18"/>
      <c r="BJ37" s="18"/>
      <c r="BK37" s="18"/>
      <c r="BL37" s="18"/>
      <c r="BM37" s="18"/>
      <c r="BN37" s="18" t="s">
        <v>358</v>
      </c>
      <c r="BO37" s="18"/>
      <c r="BP37" s="18"/>
      <c r="BQ37" s="18" t="s">
        <v>430</v>
      </c>
      <c r="BR37" s="18"/>
      <c r="BS37" s="18"/>
      <c r="BT37" s="18"/>
      <c r="BU37" s="18"/>
      <c r="BV37" s="18"/>
      <c r="BW37" s="18"/>
      <c r="BX37" s="18"/>
      <c r="BY37" s="18"/>
      <c r="BZ37" s="18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 s="1" t="s">
        <v>832</v>
      </c>
    </row>
    <row r="38" spans="1:111" ht="12" customHeight="1">
      <c r="A38" s="14" t="s">
        <v>211</v>
      </c>
      <c r="B38" s="14" t="s">
        <v>185</v>
      </c>
      <c r="C38" s="14" t="s">
        <v>255</v>
      </c>
      <c r="D38" t="s">
        <v>274</v>
      </c>
      <c r="E38"/>
      <c r="F38" t="s">
        <v>274</v>
      </c>
      <c r="G38"/>
      <c r="H38" s="15" t="s">
        <v>32</v>
      </c>
      <c r="I38"/>
      <c r="J38"/>
      <c r="K38"/>
      <c r="L38"/>
      <c r="M38"/>
      <c r="N38"/>
      <c r="O38"/>
      <c r="P38"/>
      <c r="Q38"/>
      <c r="R38"/>
      <c r="S38"/>
      <c r="T38" s="18">
        <v>437</v>
      </c>
      <c r="U38">
        <v>437</v>
      </c>
      <c r="V38" s="16">
        <v>80</v>
      </c>
      <c r="W38" t="s">
        <v>15</v>
      </c>
      <c r="X38" t="s">
        <v>100</v>
      </c>
      <c r="Y38" s="18" t="s">
        <v>15</v>
      </c>
      <c r="Z38" s="17" t="s">
        <v>188</v>
      </c>
      <c r="AA38" s="17" t="s">
        <v>188</v>
      </c>
      <c r="AB38" s="21" t="s">
        <v>188</v>
      </c>
      <c r="AC38" s="18" t="s">
        <v>100</v>
      </c>
      <c r="AD38" s="21" t="s">
        <v>188</v>
      </c>
      <c r="AE38" s="21" t="s">
        <v>188</v>
      </c>
      <c r="AF38" s="18" t="s">
        <v>326</v>
      </c>
      <c r="AG38"/>
      <c r="AH38"/>
      <c r="AI38"/>
      <c r="AJ38" s="16" t="s">
        <v>149</v>
      </c>
      <c r="AK38"/>
      <c r="AL38" s="16">
        <v>2874</v>
      </c>
      <c r="AM38" s="16" t="s">
        <v>94</v>
      </c>
      <c r="AN38"/>
      <c r="AO38" s="23" t="s">
        <v>687</v>
      </c>
      <c r="AP38" s="24" t="s">
        <v>688</v>
      </c>
      <c r="AQ38" s="18"/>
      <c r="AR38" s="18" t="s">
        <v>689</v>
      </c>
      <c r="AS38" s="18" t="s">
        <v>690</v>
      </c>
      <c r="AT38" s="18" t="s">
        <v>690</v>
      </c>
      <c r="AU38" s="18" t="s">
        <v>691</v>
      </c>
      <c r="AV38" s="18" t="s">
        <v>691</v>
      </c>
      <c r="AW38" s="18">
        <f t="shared" si="1"/>
        <v>50</v>
      </c>
      <c r="AX38" s="18" t="s">
        <v>692</v>
      </c>
      <c r="AY38" s="18" t="s">
        <v>693</v>
      </c>
      <c r="AZ38" s="18" t="s">
        <v>694</v>
      </c>
      <c r="BA38" s="18"/>
      <c r="BB38" s="18"/>
      <c r="BC38" s="18" t="s">
        <v>695</v>
      </c>
      <c r="BD38" s="18"/>
      <c r="BE38" s="18"/>
      <c r="BF38" s="18"/>
      <c r="BG38" s="18"/>
      <c r="BH38" s="18" t="s">
        <v>694</v>
      </c>
      <c r="BI38" s="18" t="s">
        <v>696</v>
      </c>
      <c r="BJ38" s="18"/>
      <c r="BK38" s="18"/>
      <c r="BL38" s="18"/>
      <c r="BM38" s="18" t="s">
        <v>697</v>
      </c>
      <c r="BN38" s="18"/>
      <c r="BO38" s="18"/>
      <c r="BP38" s="18"/>
      <c r="BQ38" s="18" t="s">
        <v>698</v>
      </c>
      <c r="BR38" s="18"/>
      <c r="BS38" s="18"/>
      <c r="BT38" s="18"/>
      <c r="BU38" s="18"/>
      <c r="BV38" s="18"/>
      <c r="BW38" s="18"/>
      <c r="BX38" s="18"/>
      <c r="BY38" s="18"/>
      <c r="BZ38" s="1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 s="1" t="s">
        <v>832</v>
      </c>
    </row>
    <row r="39" spans="1:111" ht="12" customHeight="1">
      <c r="A39" s="14" t="s">
        <v>211</v>
      </c>
      <c r="B39" s="14" t="s">
        <v>185</v>
      </c>
      <c r="C39" s="14" t="s">
        <v>255</v>
      </c>
      <c r="D39" t="s">
        <v>274</v>
      </c>
      <c r="E39"/>
      <c r="F39" t="s">
        <v>274</v>
      </c>
      <c r="G39"/>
      <c r="H39" s="15" t="s">
        <v>32</v>
      </c>
      <c r="I39"/>
      <c r="J39"/>
      <c r="K39"/>
      <c r="L39"/>
      <c r="M39"/>
      <c r="N39"/>
      <c r="O39"/>
      <c r="P39"/>
      <c r="Q39"/>
      <c r="R39"/>
      <c r="S39"/>
      <c r="T39" s="18">
        <v>439</v>
      </c>
      <c r="U39">
        <v>439</v>
      </c>
      <c r="V39" s="16">
        <v>82</v>
      </c>
      <c r="W39" t="s">
        <v>15</v>
      </c>
      <c r="X39" t="s">
        <v>100</v>
      </c>
      <c r="Y39" s="18" t="s">
        <v>15</v>
      </c>
      <c r="Z39" s="17" t="s">
        <v>96</v>
      </c>
      <c r="AA39" s="17" t="s">
        <v>96</v>
      </c>
      <c r="AB39" s="21" t="s">
        <v>96</v>
      </c>
      <c r="AC39" s="18" t="s">
        <v>100</v>
      </c>
      <c r="AD39" s="21" t="s">
        <v>96</v>
      </c>
      <c r="AE39" s="21" t="s">
        <v>96</v>
      </c>
      <c r="AF39" s="18" t="s">
        <v>327</v>
      </c>
      <c r="AG39"/>
      <c r="AH39"/>
      <c r="AI39"/>
      <c r="AJ39" s="16" t="s">
        <v>281</v>
      </c>
      <c r="AK39"/>
      <c r="AL39" s="16">
        <v>2874</v>
      </c>
      <c r="AM39" s="16" t="s">
        <v>201</v>
      </c>
      <c r="AN39"/>
      <c r="AO39" s="23" t="s">
        <v>457</v>
      </c>
      <c r="AP39" s="18"/>
      <c r="AQ39" s="18"/>
      <c r="AR39" s="18" t="s">
        <v>699</v>
      </c>
      <c r="AS39" s="23" t="s">
        <v>700</v>
      </c>
      <c r="AT39" s="23" t="s">
        <v>700</v>
      </c>
      <c r="AU39" s="18" t="s">
        <v>701</v>
      </c>
      <c r="AV39" s="18" t="s">
        <v>701</v>
      </c>
      <c r="AW39" s="18">
        <f t="shared" si="1"/>
        <v>35</v>
      </c>
      <c r="AX39" s="23" t="s">
        <v>600</v>
      </c>
      <c r="AY39" s="23" t="s">
        <v>472</v>
      </c>
      <c r="AZ39" s="18" t="s">
        <v>702</v>
      </c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 t="s">
        <v>703</v>
      </c>
      <c r="BN39" s="18"/>
      <c r="BO39" s="18"/>
      <c r="BP39" s="18"/>
      <c r="BQ39" s="18" t="s">
        <v>704</v>
      </c>
      <c r="BR39" s="18"/>
      <c r="BS39" s="18"/>
      <c r="BT39" s="18"/>
      <c r="BU39" s="18"/>
      <c r="BV39" s="18"/>
      <c r="BW39" s="18"/>
      <c r="BX39" s="18"/>
      <c r="BY39" s="18"/>
      <c r="BZ39" s="18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 s="1" t="s">
        <v>832</v>
      </c>
    </row>
    <row r="40" spans="1:111" ht="12" customHeight="1">
      <c r="A40" s="14" t="s">
        <v>211</v>
      </c>
      <c r="B40" s="14" t="s">
        <v>185</v>
      </c>
      <c r="C40" s="14" t="s">
        <v>255</v>
      </c>
      <c r="D40" t="s">
        <v>274</v>
      </c>
      <c r="E40"/>
      <c r="F40" t="s">
        <v>274</v>
      </c>
      <c r="G40"/>
      <c r="H40" s="15" t="s">
        <v>32</v>
      </c>
      <c r="I40"/>
      <c r="J40"/>
      <c r="K40"/>
      <c r="L40"/>
      <c r="M40"/>
      <c r="N40"/>
      <c r="O40"/>
      <c r="P40"/>
      <c r="Q40"/>
      <c r="R40"/>
      <c r="S40"/>
      <c r="T40" s="18">
        <v>440</v>
      </c>
      <c r="U40">
        <v>440</v>
      </c>
      <c r="V40" s="16">
        <v>83</v>
      </c>
      <c r="W40" t="s">
        <v>15</v>
      </c>
      <c r="X40" t="s">
        <v>100</v>
      </c>
      <c r="Y40" s="18" t="s">
        <v>15</v>
      </c>
      <c r="Z40" s="17" t="s">
        <v>207</v>
      </c>
      <c r="AA40" s="17" t="s">
        <v>207</v>
      </c>
      <c r="AB40" s="21" t="s">
        <v>207</v>
      </c>
      <c r="AC40" s="18" t="s">
        <v>100</v>
      </c>
      <c r="AD40" s="21" t="s">
        <v>207</v>
      </c>
      <c r="AE40" s="21" t="s">
        <v>207</v>
      </c>
      <c r="AF40" s="18" t="s">
        <v>328</v>
      </c>
      <c r="AG40"/>
      <c r="AH40"/>
      <c r="AI40"/>
      <c r="AJ40" s="16" t="s">
        <v>98</v>
      </c>
      <c r="AK40"/>
      <c r="AL40" s="16">
        <v>2874</v>
      </c>
      <c r="AM40" s="16" t="s">
        <v>193</v>
      </c>
      <c r="AN40"/>
      <c r="AO40" s="23" t="s">
        <v>705</v>
      </c>
      <c r="AP40" s="18"/>
      <c r="AQ40" s="18"/>
      <c r="AR40" s="18" t="s">
        <v>706</v>
      </c>
      <c r="AS40" s="18" t="s">
        <v>707</v>
      </c>
      <c r="AT40" s="18" t="s">
        <v>707</v>
      </c>
      <c r="AU40" s="18" t="s">
        <v>708</v>
      </c>
      <c r="AV40" s="18" t="s">
        <v>708</v>
      </c>
      <c r="AW40" s="18">
        <f t="shared" si="1"/>
        <v>30</v>
      </c>
      <c r="AX40" s="18" t="s">
        <v>709</v>
      </c>
      <c r="AY40" s="18" t="s">
        <v>710</v>
      </c>
      <c r="AZ40" s="18" t="s">
        <v>711</v>
      </c>
      <c r="BA40" s="18" t="s">
        <v>712</v>
      </c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 t="s">
        <v>713</v>
      </c>
      <c r="BN40" s="18"/>
      <c r="BO40" s="18"/>
      <c r="BP40" s="18"/>
      <c r="BQ40" s="18" t="s">
        <v>714</v>
      </c>
      <c r="BR40" s="18"/>
      <c r="BS40" s="18"/>
      <c r="BT40" s="18"/>
      <c r="BU40" s="18"/>
      <c r="BV40" s="18"/>
      <c r="BW40" s="18"/>
      <c r="BX40" s="18"/>
      <c r="BY40" s="18"/>
      <c r="BZ40" s="18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 s="1" t="s">
        <v>832</v>
      </c>
    </row>
    <row r="41" spans="1:111" ht="12" customHeight="1">
      <c r="A41" s="14" t="s">
        <v>211</v>
      </c>
      <c r="B41" s="14" t="s">
        <v>185</v>
      </c>
      <c r="C41" s="14" t="s">
        <v>255</v>
      </c>
      <c r="D41" t="s">
        <v>274</v>
      </c>
      <c r="E41"/>
      <c r="F41" t="s">
        <v>274</v>
      </c>
      <c r="G41"/>
      <c r="H41" s="15" t="s">
        <v>32</v>
      </c>
      <c r="I41"/>
      <c r="J41"/>
      <c r="K41"/>
      <c r="L41"/>
      <c r="M41"/>
      <c r="N41"/>
      <c r="O41"/>
      <c r="P41"/>
      <c r="Q41"/>
      <c r="R41"/>
      <c r="S41"/>
      <c r="T41" s="18">
        <v>442</v>
      </c>
      <c r="U41">
        <v>442</v>
      </c>
      <c r="V41" s="16">
        <v>85</v>
      </c>
      <c r="W41" t="s">
        <v>15</v>
      </c>
      <c r="X41" t="s">
        <v>100</v>
      </c>
      <c r="Y41" s="18" t="s">
        <v>15</v>
      </c>
      <c r="Z41" s="17" t="s">
        <v>173</v>
      </c>
      <c r="AA41" s="17" t="s">
        <v>173</v>
      </c>
      <c r="AB41" s="21" t="s">
        <v>173</v>
      </c>
      <c r="AC41" s="18" t="s">
        <v>100</v>
      </c>
      <c r="AD41" s="21" t="s">
        <v>173</v>
      </c>
      <c r="AE41" s="21" t="s">
        <v>173</v>
      </c>
      <c r="AF41" s="18" t="s">
        <v>329</v>
      </c>
      <c r="AG41"/>
      <c r="AH41"/>
      <c r="AI41"/>
      <c r="AJ41" s="16" t="s">
        <v>231</v>
      </c>
      <c r="AK41"/>
      <c r="AL41" s="16">
        <v>2874</v>
      </c>
      <c r="AM41" s="16" t="s">
        <v>124</v>
      </c>
      <c r="AN41"/>
      <c r="AO41" s="23" t="s">
        <v>715</v>
      </c>
      <c r="AP41" s="18"/>
      <c r="AQ41" s="18"/>
      <c r="AR41" s="18" t="s">
        <v>716</v>
      </c>
      <c r="AS41" s="18" t="s">
        <v>717</v>
      </c>
      <c r="AT41" s="18" t="s">
        <v>717</v>
      </c>
      <c r="AU41" s="18" t="s">
        <v>718</v>
      </c>
      <c r="AV41" s="18" t="s">
        <v>718</v>
      </c>
      <c r="AW41" s="18">
        <f t="shared" si="1"/>
        <v>46</v>
      </c>
      <c r="AX41" s="18" t="s">
        <v>719</v>
      </c>
      <c r="AY41" s="18" t="s">
        <v>720</v>
      </c>
      <c r="AZ41" s="18"/>
      <c r="BA41" s="18"/>
      <c r="BB41" s="18"/>
      <c r="BC41" s="18" t="s">
        <v>721</v>
      </c>
      <c r="BD41" s="18"/>
      <c r="BE41" s="18"/>
      <c r="BF41" s="18"/>
      <c r="BG41" s="18"/>
      <c r="BH41" s="18" t="s">
        <v>722</v>
      </c>
      <c r="BI41" s="18"/>
      <c r="BJ41" s="18"/>
      <c r="BK41" s="18" t="s">
        <v>402</v>
      </c>
      <c r="BL41" s="18"/>
      <c r="BM41" s="18" t="s">
        <v>723</v>
      </c>
      <c r="BN41" s="18"/>
      <c r="BO41" s="18"/>
      <c r="BP41" s="18"/>
      <c r="BQ41" s="18" t="s">
        <v>724</v>
      </c>
      <c r="BR41" s="18"/>
      <c r="BS41" s="18"/>
      <c r="BT41" s="18"/>
      <c r="BU41" s="18"/>
      <c r="BV41" s="18"/>
      <c r="BW41" s="18"/>
      <c r="BX41" s="18"/>
      <c r="BY41" s="18"/>
      <c r="BZ41" s="18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 s="1" t="s">
        <v>832</v>
      </c>
    </row>
    <row r="42" spans="1:111" ht="12" customHeight="1">
      <c r="A42" s="14" t="s">
        <v>211</v>
      </c>
      <c r="B42" s="14" t="s">
        <v>185</v>
      </c>
      <c r="C42" s="14" t="s">
        <v>255</v>
      </c>
      <c r="D42" t="s">
        <v>274</v>
      </c>
      <c r="E42"/>
      <c r="F42" t="s">
        <v>274</v>
      </c>
      <c r="G42"/>
      <c r="H42" s="15" t="s">
        <v>32</v>
      </c>
      <c r="I42"/>
      <c r="J42"/>
      <c r="K42"/>
      <c r="L42"/>
      <c r="M42"/>
      <c r="N42"/>
      <c r="O42"/>
      <c r="P42"/>
      <c r="Q42"/>
      <c r="R42"/>
      <c r="S42"/>
      <c r="T42" s="18">
        <v>444</v>
      </c>
      <c r="U42">
        <v>444</v>
      </c>
      <c r="V42" s="16">
        <v>87</v>
      </c>
      <c r="W42" t="s">
        <v>15</v>
      </c>
      <c r="X42" t="s">
        <v>100</v>
      </c>
      <c r="Y42" s="18" t="s">
        <v>15</v>
      </c>
      <c r="Z42" s="17" t="s">
        <v>34</v>
      </c>
      <c r="AA42" s="17" t="s">
        <v>34</v>
      </c>
      <c r="AB42" s="21" t="s">
        <v>34</v>
      </c>
      <c r="AC42" s="18" t="s">
        <v>100</v>
      </c>
      <c r="AD42" s="21" t="s">
        <v>34</v>
      </c>
      <c r="AE42" s="21" t="s">
        <v>34</v>
      </c>
      <c r="AF42" s="18" t="s">
        <v>330</v>
      </c>
      <c r="AG42"/>
      <c r="AH42"/>
      <c r="AI42"/>
      <c r="AJ42" s="16" t="s">
        <v>49</v>
      </c>
      <c r="AK42"/>
      <c r="AL42" s="16">
        <v>2874</v>
      </c>
      <c r="AM42" s="16" t="s">
        <v>223</v>
      </c>
      <c r="AN42"/>
      <c r="AO42" s="23" t="s">
        <v>725</v>
      </c>
      <c r="AP42" s="18"/>
      <c r="AQ42" s="18"/>
      <c r="AR42" s="18" t="s">
        <v>726</v>
      </c>
      <c r="AS42" s="18" t="s">
        <v>727</v>
      </c>
      <c r="AT42" s="18" t="s">
        <v>727</v>
      </c>
      <c r="AU42" s="18" t="s">
        <v>728</v>
      </c>
      <c r="AV42" s="18" t="s">
        <v>728</v>
      </c>
      <c r="AW42" s="18">
        <f t="shared" si="1"/>
        <v>32</v>
      </c>
      <c r="AX42" s="18" t="s">
        <v>729</v>
      </c>
      <c r="AY42" s="18" t="s">
        <v>730</v>
      </c>
      <c r="AZ42" s="18"/>
      <c r="BA42" s="18"/>
      <c r="BB42" s="18"/>
      <c r="BC42" s="18"/>
      <c r="BD42" s="18"/>
      <c r="BE42" s="18"/>
      <c r="BF42" s="18"/>
      <c r="BG42" s="18"/>
      <c r="BH42" s="18" t="s">
        <v>731</v>
      </c>
      <c r="BI42" s="18"/>
      <c r="BJ42" s="18"/>
      <c r="BK42" s="18"/>
      <c r="BL42" s="18"/>
      <c r="BM42" s="18" t="s">
        <v>732</v>
      </c>
      <c r="BN42" s="18"/>
      <c r="BO42" s="18"/>
      <c r="BP42" s="18" t="s">
        <v>733</v>
      </c>
      <c r="BQ42" s="18" t="s">
        <v>734</v>
      </c>
      <c r="BR42" s="18"/>
      <c r="BS42" s="18"/>
      <c r="BT42" s="18"/>
      <c r="BU42" s="18"/>
      <c r="BV42" s="18"/>
      <c r="BW42" s="18"/>
      <c r="BX42" s="18"/>
      <c r="BY42" s="18"/>
      <c r="BZ42" s="18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 s="1" t="s">
        <v>832</v>
      </c>
    </row>
    <row r="43" spans="1:111" ht="12" customHeight="1">
      <c r="A43" s="14" t="s">
        <v>211</v>
      </c>
      <c r="B43" s="14" t="s">
        <v>185</v>
      </c>
      <c r="C43" s="14" t="s">
        <v>255</v>
      </c>
      <c r="D43" t="s">
        <v>274</v>
      </c>
      <c r="E43"/>
      <c r="F43" t="s">
        <v>274</v>
      </c>
      <c r="G43"/>
      <c r="H43" s="15" t="s">
        <v>32</v>
      </c>
      <c r="I43"/>
      <c r="J43"/>
      <c r="K43"/>
      <c r="L43"/>
      <c r="M43"/>
      <c r="N43"/>
      <c r="O43"/>
      <c r="P43"/>
      <c r="Q43"/>
      <c r="R43"/>
      <c r="S43"/>
      <c r="T43" s="18">
        <v>458</v>
      </c>
      <c r="U43">
        <v>458</v>
      </c>
      <c r="V43" s="16">
        <v>101</v>
      </c>
      <c r="W43" t="s">
        <v>15</v>
      </c>
      <c r="X43" t="s">
        <v>100</v>
      </c>
      <c r="Y43" s="18" t="s">
        <v>15</v>
      </c>
      <c r="Z43" s="17" t="s">
        <v>229</v>
      </c>
      <c r="AA43" s="17" t="s">
        <v>229</v>
      </c>
      <c r="AB43" s="21" t="s">
        <v>229</v>
      </c>
      <c r="AC43" s="18" t="s">
        <v>100</v>
      </c>
      <c r="AD43" s="21" t="s">
        <v>229</v>
      </c>
      <c r="AE43" s="21" t="s">
        <v>229</v>
      </c>
      <c r="AF43" s="18" t="s">
        <v>331</v>
      </c>
      <c r="AG43"/>
      <c r="AH43"/>
      <c r="AI43"/>
      <c r="AJ43" s="16" t="s">
        <v>176</v>
      </c>
      <c r="AK43"/>
      <c r="AL43" s="16">
        <v>2874</v>
      </c>
      <c r="AM43" s="16" t="s">
        <v>24</v>
      </c>
      <c r="AN43"/>
      <c r="AO43" s="23" t="s">
        <v>735</v>
      </c>
      <c r="AP43" s="18"/>
      <c r="AQ43" s="18"/>
      <c r="AR43" s="18" t="s">
        <v>176</v>
      </c>
      <c r="AS43" s="18" t="s">
        <v>736</v>
      </c>
      <c r="AT43" s="18" t="s">
        <v>736</v>
      </c>
      <c r="AU43" s="18" t="s">
        <v>737</v>
      </c>
      <c r="AV43" s="18" t="s">
        <v>737</v>
      </c>
      <c r="AW43" s="18">
        <f t="shared" si="1"/>
        <v>17</v>
      </c>
      <c r="AX43" s="18" t="s">
        <v>738</v>
      </c>
      <c r="AY43" s="18" t="s">
        <v>739</v>
      </c>
      <c r="AZ43" s="18" t="s">
        <v>740</v>
      </c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 t="s">
        <v>430</v>
      </c>
      <c r="BR43" s="18"/>
      <c r="BS43" s="18"/>
      <c r="BT43" s="18"/>
      <c r="BU43" s="18"/>
      <c r="BV43" s="18"/>
      <c r="BW43" s="18"/>
      <c r="BX43" s="18"/>
      <c r="BY43" s="18"/>
      <c r="BZ43" s="18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 s="1" t="s">
        <v>832</v>
      </c>
    </row>
    <row r="44" spans="1:111" ht="12" customHeight="1">
      <c r="A44" s="14" t="s">
        <v>211</v>
      </c>
      <c r="B44" s="14" t="s">
        <v>185</v>
      </c>
      <c r="C44" s="14" t="s">
        <v>255</v>
      </c>
      <c r="D44" t="s">
        <v>274</v>
      </c>
      <c r="E44"/>
      <c r="F44" t="s">
        <v>274</v>
      </c>
      <c r="G44"/>
      <c r="H44" s="15" t="s">
        <v>32</v>
      </c>
      <c r="I44"/>
      <c r="J44"/>
      <c r="K44"/>
      <c r="L44"/>
      <c r="M44"/>
      <c r="N44"/>
      <c r="O44"/>
      <c r="P44"/>
      <c r="Q44"/>
      <c r="R44"/>
      <c r="S44"/>
      <c r="T44" s="18">
        <v>459</v>
      </c>
      <c r="U44">
        <v>459</v>
      </c>
      <c r="V44" s="16">
        <v>102</v>
      </c>
      <c r="W44" t="s">
        <v>15</v>
      </c>
      <c r="X44" t="s">
        <v>100</v>
      </c>
      <c r="Y44" s="18" t="s">
        <v>15</v>
      </c>
      <c r="Z44" s="17" t="s">
        <v>233</v>
      </c>
      <c r="AA44" s="17" t="s">
        <v>233</v>
      </c>
      <c r="AB44" s="21" t="s">
        <v>233</v>
      </c>
      <c r="AC44" s="18" t="s">
        <v>100</v>
      </c>
      <c r="AD44" s="21" t="s">
        <v>233</v>
      </c>
      <c r="AE44" s="21" t="s">
        <v>233</v>
      </c>
      <c r="AF44" s="18" t="s">
        <v>332</v>
      </c>
      <c r="AG44"/>
      <c r="AH44"/>
      <c r="AI44"/>
      <c r="AJ44" s="16" t="s">
        <v>84</v>
      </c>
      <c r="AK44"/>
      <c r="AL44" s="16">
        <v>2874</v>
      </c>
      <c r="AM44" s="16" t="s">
        <v>161</v>
      </c>
      <c r="AN44"/>
      <c r="AO44" s="23" t="s">
        <v>741</v>
      </c>
      <c r="AP44" s="18"/>
      <c r="AQ44" s="18"/>
      <c r="AR44" s="18" t="s">
        <v>742</v>
      </c>
      <c r="AS44" s="23" t="s">
        <v>743</v>
      </c>
      <c r="AT44" s="23" t="s">
        <v>743</v>
      </c>
      <c r="AU44" s="18" t="s">
        <v>744</v>
      </c>
      <c r="AV44" s="18" t="s">
        <v>744</v>
      </c>
      <c r="AW44" s="18">
        <f t="shared" si="1"/>
        <v>36</v>
      </c>
      <c r="AX44" s="23" t="s">
        <v>719</v>
      </c>
      <c r="AY44" s="23" t="s">
        <v>436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 t="s">
        <v>745</v>
      </c>
      <c r="BN44" s="18"/>
      <c r="BO44" s="18"/>
      <c r="BP44" s="18"/>
      <c r="BQ44" s="18" t="s">
        <v>746</v>
      </c>
      <c r="BR44" s="18"/>
      <c r="BS44" s="18"/>
      <c r="BT44" s="18"/>
      <c r="BU44" s="18"/>
      <c r="BV44" s="18"/>
      <c r="BW44" s="18"/>
      <c r="BX44" s="18"/>
      <c r="BY44" s="18"/>
      <c r="BZ44" s="18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 s="1" t="s">
        <v>832</v>
      </c>
    </row>
    <row r="45" spans="1:111" ht="12" customHeight="1">
      <c r="A45" s="14" t="s">
        <v>211</v>
      </c>
      <c r="B45" s="14" t="s">
        <v>185</v>
      </c>
      <c r="C45" s="14" t="s">
        <v>255</v>
      </c>
      <c r="D45" t="s">
        <v>274</v>
      </c>
      <c r="E45"/>
      <c r="F45" t="s">
        <v>274</v>
      </c>
      <c r="G45"/>
      <c r="H45" s="15" t="s">
        <v>32</v>
      </c>
      <c r="I45"/>
      <c r="J45"/>
      <c r="K45"/>
      <c r="L45"/>
      <c r="M45"/>
      <c r="N45"/>
      <c r="O45"/>
      <c r="P45"/>
      <c r="Q45"/>
      <c r="R45"/>
      <c r="S45"/>
      <c r="T45" s="18">
        <v>460</v>
      </c>
      <c r="U45">
        <v>460</v>
      </c>
      <c r="V45" s="16">
        <v>103</v>
      </c>
      <c r="W45" t="s">
        <v>15</v>
      </c>
      <c r="X45" t="s">
        <v>100</v>
      </c>
      <c r="Y45" s="18" t="s">
        <v>15</v>
      </c>
      <c r="Z45" s="17" t="s">
        <v>228</v>
      </c>
      <c r="AA45" s="17" t="s">
        <v>228</v>
      </c>
      <c r="AB45" s="21" t="s">
        <v>228</v>
      </c>
      <c r="AC45" s="18" t="s">
        <v>100</v>
      </c>
      <c r="AD45" s="21" t="s">
        <v>228</v>
      </c>
      <c r="AE45" s="21" t="s">
        <v>228</v>
      </c>
      <c r="AF45" s="18" t="s">
        <v>333</v>
      </c>
      <c r="AG45"/>
      <c r="AH45"/>
      <c r="AI45"/>
      <c r="AJ45" s="16" t="s">
        <v>218</v>
      </c>
      <c r="AK45"/>
      <c r="AL45" s="16">
        <v>2874</v>
      </c>
      <c r="AM45" s="16" t="s">
        <v>3</v>
      </c>
      <c r="AN45"/>
      <c r="AO45" s="23" t="s">
        <v>747</v>
      </c>
      <c r="AP45" s="18"/>
      <c r="AQ45" s="18"/>
      <c r="AR45" s="18" t="s">
        <v>748</v>
      </c>
      <c r="AS45" s="23" t="s">
        <v>749</v>
      </c>
      <c r="AT45" s="23" t="s">
        <v>749</v>
      </c>
      <c r="AU45" s="18" t="s">
        <v>750</v>
      </c>
      <c r="AV45" s="18" t="s">
        <v>750</v>
      </c>
      <c r="AW45" s="18">
        <f t="shared" si="1"/>
        <v>33</v>
      </c>
      <c r="AX45" s="23" t="s">
        <v>751</v>
      </c>
      <c r="AY45" s="18"/>
      <c r="AZ45" s="18" t="s">
        <v>752</v>
      </c>
      <c r="BA45" s="18" t="s">
        <v>370</v>
      </c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 t="s">
        <v>753</v>
      </c>
      <c r="BN45" s="18"/>
      <c r="BO45" s="18"/>
      <c r="BP45" s="18"/>
      <c r="BQ45" s="18" t="s">
        <v>754</v>
      </c>
      <c r="BR45" s="18"/>
      <c r="BS45" s="18"/>
      <c r="BT45" s="18"/>
      <c r="BU45" s="18"/>
      <c r="BV45" s="18"/>
      <c r="BW45" s="18"/>
      <c r="BX45" s="18"/>
      <c r="BY45" s="18"/>
      <c r="BZ45" s="18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 s="1" t="s">
        <v>832</v>
      </c>
    </row>
    <row r="46" spans="1:111" ht="12" customHeight="1">
      <c r="A46" s="14" t="s">
        <v>211</v>
      </c>
      <c r="B46" s="14" t="s">
        <v>185</v>
      </c>
      <c r="C46" s="14" t="s">
        <v>255</v>
      </c>
      <c r="D46" t="s">
        <v>274</v>
      </c>
      <c r="E46"/>
      <c r="F46" t="s">
        <v>274</v>
      </c>
      <c r="G46"/>
      <c r="H46" s="15" t="s">
        <v>32</v>
      </c>
      <c r="I46"/>
      <c r="J46"/>
      <c r="K46"/>
      <c r="L46"/>
      <c r="M46"/>
      <c r="N46"/>
      <c r="O46"/>
      <c r="P46"/>
      <c r="Q46"/>
      <c r="R46"/>
      <c r="S46"/>
      <c r="T46" s="18">
        <v>461</v>
      </c>
      <c r="U46">
        <v>461</v>
      </c>
      <c r="V46" s="16">
        <v>104</v>
      </c>
      <c r="W46" t="s">
        <v>15</v>
      </c>
      <c r="X46" t="s">
        <v>100</v>
      </c>
      <c r="Y46" s="18" t="s">
        <v>15</v>
      </c>
      <c r="Z46" s="17" t="s">
        <v>108</v>
      </c>
      <c r="AA46" s="17" t="s">
        <v>108</v>
      </c>
      <c r="AB46" s="21" t="s">
        <v>108</v>
      </c>
      <c r="AC46" s="18" t="s">
        <v>100</v>
      </c>
      <c r="AD46" s="21" t="s">
        <v>108</v>
      </c>
      <c r="AE46" s="21" t="s">
        <v>108</v>
      </c>
      <c r="AF46" s="18" t="s">
        <v>334</v>
      </c>
      <c r="AG46"/>
      <c r="AH46"/>
      <c r="AI46"/>
      <c r="AJ46" s="16" t="s">
        <v>244</v>
      </c>
      <c r="AK46"/>
      <c r="AL46" s="16">
        <v>2874</v>
      </c>
      <c r="AM46" s="16" t="s">
        <v>253</v>
      </c>
      <c r="AN46"/>
      <c r="AO46" s="23" t="s">
        <v>614</v>
      </c>
      <c r="AP46" s="23" t="s">
        <v>362</v>
      </c>
      <c r="AQ46" s="24" t="s">
        <v>363</v>
      </c>
      <c r="AR46" s="18" t="s">
        <v>755</v>
      </c>
      <c r="AS46" s="18" t="s">
        <v>756</v>
      </c>
      <c r="AT46" s="18" t="s">
        <v>756</v>
      </c>
      <c r="AU46" s="18" t="s">
        <v>757</v>
      </c>
      <c r="AV46" s="18" t="s">
        <v>757</v>
      </c>
      <c r="AW46" s="18">
        <f t="shared" si="1"/>
        <v>47</v>
      </c>
      <c r="AX46" s="18" t="s">
        <v>618</v>
      </c>
      <c r="AY46" s="18" t="s">
        <v>410</v>
      </c>
      <c r="AZ46" s="23" t="s">
        <v>758</v>
      </c>
      <c r="BA46" s="18">
        <v>0</v>
      </c>
      <c r="BB46" s="18"/>
      <c r="BC46" s="18"/>
      <c r="BD46" s="18"/>
      <c r="BE46" s="18"/>
      <c r="BF46" s="18"/>
      <c r="BG46" s="18" t="s">
        <v>759</v>
      </c>
      <c r="BH46" s="18" t="s">
        <v>760</v>
      </c>
      <c r="BI46" s="18"/>
      <c r="BJ46" s="18"/>
      <c r="BK46" s="18"/>
      <c r="BL46" s="18"/>
      <c r="BM46" s="18" t="s">
        <v>761</v>
      </c>
      <c r="BN46" s="18"/>
      <c r="BO46" s="18"/>
      <c r="BP46" s="18"/>
      <c r="BQ46" s="18" t="s">
        <v>762</v>
      </c>
      <c r="BR46" s="18"/>
      <c r="BS46" s="18"/>
      <c r="BT46" s="18"/>
      <c r="BU46" s="18"/>
      <c r="BV46" s="18"/>
      <c r="BW46" s="18"/>
      <c r="BX46" s="18"/>
      <c r="BY46" s="18"/>
      <c r="BZ46" s="18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 s="1" t="s">
        <v>832</v>
      </c>
    </row>
    <row r="47" spans="1:111" ht="12" customHeight="1">
      <c r="A47" s="14" t="s">
        <v>211</v>
      </c>
      <c r="B47" s="14" t="s">
        <v>185</v>
      </c>
      <c r="C47" s="14" t="s">
        <v>255</v>
      </c>
      <c r="D47" t="s">
        <v>274</v>
      </c>
      <c r="E47"/>
      <c r="F47" t="s">
        <v>274</v>
      </c>
      <c r="G47"/>
      <c r="H47" s="15" t="s">
        <v>32</v>
      </c>
      <c r="I47"/>
      <c r="J47"/>
      <c r="K47"/>
      <c r="L47"/>
      <c r="M47"/>
      <c r="N47"/>
      <c r="O47"/>
      <c r="P47"/>
      <c r="Q47"/>
      <c r="R47"/>
      <c r="S47"/>
      <c r="T47" s="18">
        <v>462</v>
      </c>
      <c r="U47">
        <v>462</v>
      </c>
      <c r="V47" s="16">
        <v>105</v>
      </c>
      <c r="W47" t="s">
        <v>15</v>
      </c>
      <c r="X47" t="s">
        <v>100</v>
      </c>
      <c r="Y47" s="18" t="s">
        <v>15</v>
      </c>
      <c r="Z47" s="17" t="s">
        <v>277</v>
      </c>
      <c r="AA47" s="17" t="s">
        <v>277</v>
      </c>
      <c r="AB47" s="21" t="s">
        <v>277</v>
      </c>
      <c r="AC47" s="18" t="s">
        <v>100</v>
      </c>
      <c r="AD47" s="21" t="s">
        <v>277</v>
      </c>
      <c r="AE47" s="21" t="s">
        <v>277</v>
      </c>
      <c r="AF47" s="18" t="s">
        <v>335</v>
      </c>
      <c r="AG47"/>
      <c r="AH47"/>
      <c r="AI47"/>
      <c r="AJ47" s="16" t="s">
        <v>33</v>
      </c>
      <c r="AK47"/>
      <c r="AL47" s="16">
        <v>2874</v>
      </c>
      <c r="AM47" s="16" t="s">
        <v>202</v>
      </c>
      <c r="AN47"/>
      <c r="AO47" s="23" t="s">
        <v>614</v>
      </c>
      <c r="AP47" s="23" t="s">
        <v>362</v>
      </c>
      <c r="AQ47" s="24" t="s">
        <v>363</v>
      </c>
      <c r="AR47" s="18" t="s">
        <v>33</v>
      </c>
      <c r="AS47" s="18" t="s">
        <v>763</v>
      </c>
      <c r="AT47" s="18" t="s">
        <v>763</v>
      </c>
      <c r="AU47" s="18" t="s">
        <v>764</v>
      </c>
      <c r="AV47" s="18" t="s">
        <v>764</v>
      </c>
      <c r="AW47" s="18">
        <f t="shared" si="1"/>
        <v>47</v>
      </c>
      <c r="AX47" s="18" t="s">
        <v>618</v>
      </c>
      <c r="AY47" s="18" t="s">
        <v>410</v>
      </c>
      <c r="AZ47" s="23" t="s">
        <v>758</v>
      </c>
      <c r="BA47" s="18">
        <v>0</v>
      </c>
      <c r="BB47" s="18"/>
      <c r="BC47" s="18"/>
      <c r="BD47" s="18"/>
      <c r="BE47" s="18"/>
      <c r="BF47" s="18"/>
      <c r="BG47" s="18" t="s">
        <v>765</v>
      </c>
      <c r="BH47" s="18" t="s">
        <v>760</v>
      </c>
      <c r="BI47" s="18"/>
      <c r="BJ47" s="18"/>
      <c r="BK47" s="18"/>
      <c r="BL47" s="18"/>
      <c r="BM47" s="18" t="s">
        <v>761</v>
      </c>
      <c r="BN47" s="18"/>
      <c r="BO47" s="18"/>
      <c r="BP47" s="18"/>
      <c r="BQ47" s="18" t="s">
        <v>430</v>
      </c>
      <c r="BR47" s="18"/>
      <c r="BS47" s="18"/>
      <c r="BT47" s="18"/>
      <c r="BU47" s="18"/>
      <c r="BV47" s="18"/>
      <c r="BW47" s="18"/>
      <c r="BX47" s="18"/>
      <c r="BY47" s="18"/>
      <c r="BZ47" s="18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 s="1" t="s">
        <v>832</v>
      </c>
    </row>
    <row r="48" spans="1:111" ht="12" customHeight="1">
      <c r="A48" s="14" t="s">
        <v>211</v>
      </c>
      <c r="B48" s="14" t="s">
        <v>185</v>
      </c>
      <c r="C48" s="14" t="s">
        <v>255</v>
      </c>
      <c r="D48" t="s">
        <v>274</v>
      </c>
      <c r="E48"/>
      <c r="F48" t="s">
        <v>274</v>
      </c>
      <c r="G48"/>
      <c r="H48" s="15" t="s">
        <v>32</v>
      </c>
      <c r="I48"/>
      <c r="J48"/>
      <c r="K48"/>
      <c r="L48"/>
      <c r="M48"/>
      <c r="N48"/>
      <c r="O48"/>
      <c r="P48"/>
      <c r="Q48"/>
      <c r="R48"/>
      <c r="S48"/>
      <c r="T48" s="18">
        <v>466</v>
      </c>
      <c r="U48">
        <v>466</v>
      </c>
      <c r="V48" s="16">
        <v>109</v>
      </c>
      <c r="W48" t="s">
        <v>15</v>
      </c>
      <c r="X48" t="s">
        <v>100</v>
      </c>
      <c r="Y48" s="18" t="s">
        <v>15</v>
      </c>
      <c r="Z48" s="17" t="s">
        <v>251</v>
      </c>
      <c r="AA48" s="17" t="s">
        <v>251</v>
      </c>
      <c r="AB48" s="21" t="s">
        <v>251</v>
      </c>
      <c r="AC48" s="18" t="s">
        <v>100</v>
      </c>
      <c r="AD48" s="21" t="s">
        <v>251</v>
      </c>
      <c r="AE48" s="21" t="s">
        <v>251</v>
      </c>
      <c r="AF48" s="18" t="s">
        <v>336</v>
      </c>
      <c r="AG48"/>
      <c r="AH48"/>
      <c r="AI48"/>
      <c r="AJ48" s="16" t="s">
        <v>283</v>
      </c>
      <c r="AK48"/>
      <c r="AL48" s="16">
        <v>2874</v>
      </c>
      <c r="AM48" s="16" t="s">
        <v>106</v>
      </c>
      <c r="AN48"/>
      <c r="AO48" s="23" t="s">
        <v>766</v>
      </c>
      <c r="AP48" s="18"/>
      <c r="AQ48" s="18"/>
      <c r="AR48" s="18" t="s">
        <v>767</v>
      </c>
      <c r="AS48" s="18" t="s">
        <v>768</v>
      </c>
      <c r="AT48" s="18" t="s">
        <v>768</v>
      </c>
      <c r="AU48" s="18" t="s">
        <v>769</v>
      </c>
      <c r="AV48" s="18" t="s">
        <v>769</v>
      </c>
      <c r="AW48" s="18">
        <f t="shared" si="1"/>
        <v>32</v>
      </c>
      <c r="AX48" s="18" t="s">
        <v>770</v>
      </c>
      <c r="AY48" s="18" t="s">
        <v>771</v>
      </c>
      <c r="AZ48" s="18"/>
      <c r="BA48" s="18"/>
      <c r="BB48" s="18"/>
      <c r="BC48" s="18"/>
      <c r="BD48" s="18"/>
      <c r="BE48" s="18"/>
      <c r="BF48" s="18"/>
      <c r="BG48" s="18"/>
      <c r="BH48" s="18" t="s">
        <v>772</v>
      </c>
      <c r="BI48" s="18"/>
      <c r="BJ48" s="18"/>
      <c r="BK48" s="18"/>
      <c r="BL48" s="18"/>
      <c r="BM48" s="18"/>
      <c r="BN48" s="18"/>
      <c r="BO48" s="18" t="s">
        <v>773</v>
      </c>
      <c r="BP48" s="18"/>
      <c r="BQ48" s="18" t="s">
        <v>774</v>
      </c>
      <c r="BR48" s="18"/>
      <c r="BS48" s="18"/>
      <c r="BT48" s="18"/>
      <c r="BU48" s="18"/>
      <c r="BV48" s="18"/>
      <c r="BW48" s="18"/>
      <c r="BX48" s="18"/>
      <c r="BY48" s="18"/>
      <c r="BZ48" s="1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 s="1" t="s">
        <v>832</v>
      </c>
    </row>
    <row r="49" spans="1:111" ht="12" customHeight="1">
      <c r="A49" s="14" t="s">
        <v>211</v>
      </c>
      <c r="B49" s="14" t="s">
        <v>185</v>
      </c>
      <c r="C49" s="14" t="s">
        <v>255</v>
      </c>
      <c r="D49" t="s">
        <v>274</v>
      </c>
      <c r="E49"/>
      <c r="F49" t="s">
        <v>274</v>
      </c>
      <c r="G49"/>
      <c r="H49" s="15" t="s">
        <v>32</v>
      </c>
      <c r="I49"/>
      <c r="J49"/>
      <c r="K49"/>
      <c r="L49"/>
      <c r="M49"/>
      <c r="N49"/>
      <c r="O49"/>
      <c r="P49"/>
      <c r="Q49"/>
      <c r="R49"/>
      <c r="S49"/>
      <c r="T49" s="18">
        <v>467</v>
      </c>
      <c r="U49">
        <v>467</v>
      </c>
      <c r="V49" s="16">
        <v>110</v>
      </c>
      <c r="W49" t="s">
        <v>15</v>
      </c>
      <c r="X49" t="s">
        <v>100</v>
      </c>
      <c r="Y49" s="18" t="s">
        <v>15</v>
      </c>
      <c r="Z49" s="17" t="s">
        <v>113</v>
      </c>
      <c r="AA49" s="17" t="s">
        <v>113</v>
      </c>
      <c r="AB49" s="21" t="s">
        <v>113</v>
      </c>
      <c r="AC49" s="18" t="s">
        <v>100</v>
      </c>
      <c r="AD49" s="21" t="s">
        <v>113</v>
      </c>
      <c r="AE49" s="21" t="s">
        <v>113</v>
      </c>
      <c r="AF49" s="18" t="s">
        <v>337</v>
      </c>
      <c r="AG49"/>
      <c r="AH49"/>
      <c r="AI49"/>
      <c r="AJ49" s="16" t="s">
        <v>14</v>
      </c>
      <c r="AK49"/>
      <c r="AL49" s="16">
        <v>2874</v>
      </c>
      <c r="AM49" s="16" t="s">
        <v>239</v>
      </c>
      <c r="AN49"/>
      <c r="AO49" s="23" t="s">
        <v>775</v>
      </c>
      <c r="AP49" s="18"/>
      <c r="AQ49" s="18"/>
      <c r="AR49" s="18" t="s">
        <v>14</v>
      </c>
      <c r="AS49" s="23" t="s">
        <v>776</v>
      </c>
      <c r="AT49" s="23" t="s">
        <v>776</v>
      </c>
      <c r="AU49" s="18" t="s">
        <v>776</v>
      </c>
      <c r="AV49" s="18" t="s">
        <v>776</v>
      </c>
      <c r="AW49" s="18">
        <f t="shared" si="1"/>
        <v>38</v>
      </c>
      <c r="AX49" s="23" t="s">
        <v>777</v>
      </c>
      <c r="AY49" s="23" t="s">
        <v>778</v>
      </c>
      <c r="AZ49" s="18"/>
      <c r="BA49" s="18"/>
      <c r="BB49" s="18"/>
      <c r="BC49" s="18" t="s">
        <v>779</v>
      </c>
      <c r="BD49" s="18"/>
      <c r="BE49" s="18" t="s">
        <v>780</v>
      </c>
      <c r="BF49" s="18"/>
      <c r="BG49" s="18"/>
      <c r="BH49" s="18"/>
      <c r="BI49" s="18"/>
      <c r="BJ49" s="18"/>
      <c r="BK49" s="18"/>
      <c r="BL49" s="18"/>
      <c r="BM49" s="18" t="s">
        <v>781</v>
      </c>
      <c r="BN49" s="18"/>
      <c r="BO49" s="18"/>
      <c r="BP49" s="18"/>
      <c r="BQ49" s="18" t="s">
        <v>430</v>
      </c>
      <c r="BR49" s="18"/>
      <c r="BS49" s="18"/>
      <c r="BT49" s="18"/>
      <c r="BU49" s="18"/>
      <c r="BV49" s="18"/>
      <c r="BW49" s="18"/>
      <c r="BX49" s="18"/>
      <c r="BY49" s="18"/>
      <c r="BZ49" s="18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 s="1" t="s">
        <v>832</v>
      </c>
    </row>
    <row r="50" spans="1:111" ht="12" customHeight="1">
      <c r="A50" s="14" t="s">
        <v>211</v>
      </c>
      <c r="B50" s="14" t="s">
        <v>185</v>
      </c>
      <c r="C50" s="14" t="s">
        <v>255</v>
      </c>
      <c r="D50" t="s">
        <v>274</v>
      </c>
      <c r="E50"/>
      <c r="F50" t="s">
        <v>274</v>
      </c>
      <c r="G50"/>
      <c r="H50" s="15" t="s">
        <v>32</v>
      </c>
      <c r="I50"/>
      <c r="J50"/>
      <c r="K50"/>
      <c r="L50"/>
      <c r="M50"/>
      <c r="N50"/>
      <c r="O50"/>
      <c r="P50"/>
      <c r="Q50"/>
      <c r="R50"/>
      <c r="S50"/>
      <c r="T50" s="18">
        <v>479</v>
      </c>
      <c r="U50">
        <v>479</v>
      </c>
      <c r="V50" s="16">
        <v>122</v>
      </c>
      <c r="W50" t="s">
        <v>15</v>
      </c>
      <c r="X50" t="s">
        <v>100</v>
      </c>
      <c r="Y50" s="18" t="s">
        <v>15</v>
      </c>
      <c r="Z50" s="17" t="s">
        <v>241</v>
      </c>
      <c r="AA50" s="17" t="s">
        <v>241</v>
      </c>
      <c r="AB50" s="21" t="s">
        <v>241</v>
      </c>
      <c r="AC50" s="18" t="s">
        <v>100</v>
      </c>
      <c r="AD50" s="21" t="s">
        <v>241</v>
      </c>
      <c r="AE50" s="21" t="s">
        <v>241</v>
      </c>
      <c r="AF50" s="18" t="s">
        <v>338</v>
      </c>
      <c r="AG50"/>
      <c r="AH50"/>
      <c r="AI50"/>
      <c r="AJ50" s="16" t="s">
        <v>61</v>
      </c>
      <c r="AK50"/>
      <c r="AL50" s="16">
        <v>2874</v>
      </c>
      <c r="AM50" s="16" t="s">
        <v>46</v>
      </c>
      <c r="AN50"/>
      <c r="AO50" s="23" t="s">
        <v>782</v>
      </c>
      <c r="AP50" s="18"/>
      <c r="AQ50" s="18"/>
      <c r="AR50" s="18" t="s">
        <v>61</v>
      </c>
      <c r="AS50" s="18" t="s">
        <v>783</v>
      </c>
      <c r="AT50" s="18" t="s">
        <v>783</v>
      </c>
      <c r="AU50" s="18" t="s">
        <v>783</v>
      </c>
      <c r="AV50" s="18" t="s">
        <v>783</v>
      </c>
      <c r="AW50" s="18">
        <f t="shared" si="1"/>
        <v>24</v>
      </c>
      <c r="AX50" s="18" t="s">
        <v>784</v>
      </c>
      <c r="AY50" s="18" t="s">
        <v>785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 t="s">
        <v>61</v>
      </c>
      <c r="BN50" s="18"/>
      <c r="BO50" s="18"/>
      <c r="BP50" s="18"/>
      <c r="BQ50" s="18" t="s">
        <v>430</v>
      </c>
      <c r="BR50" s="18"/>
      <c r="BS50" s="18"/>
      <c r="BT50" s="18"/>
      <c r="BU50" s="18"/>
      <c r="BV50" s="18"/>
      <c r="BW50" s="18"/>
      <c r="BX50" s="18"/>
      <c r="BY50" s="18"/>
      <c r="BZ50" s="18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 s="1" t="s">
        <v>832</v>
      </c>
    </row>
    <row r="51" spans="1:111" ht="12" customHeight="1">
      <c r="A51" s="14" t="s">
        <v>211</v>
      </c>
      <c r="B51" s="14" t="s">
        <v>185</v>
      </c>
      <c r="C51" s="14" t="s">
        <v>255</v>
      </c>
      <c r="D51" t="s">
        <v>274</v>
      </c>
      <c r="E51"/>
      <c r="F51" t="s">
        <v>274</v>
      </c>
      <c r="G51"/>
      <c r="H51" s="15" t="s">
        <v>32</v>
      </c>
      <c r="I51"/>
      <c r="J51"/>
      <c r="K51"/>
      <c r="L51"/>
      <c r="M51"/>
      <c r="N51"/>
      <c r="O51"/>
      <c r="P51"/>
      <c r="Q51"/>
      <c r="R51"/>
      <c r="S51"/>
      <c r="T51" s="18">
        <v>480</v>
      </c>
      <c r="U51">
        <v>480</v>
      </c>
      <c r="V51" s="16">
        <v>123</v>
      </c>
      <c r="W51" t="s">
        <v>15</v>
      </c>
      <c r="X51" t="s">
        <v>100</v>
      </c>
      <c r="Y51" s="18" t="s">
        <v>15</v>
      </c>
      <c r="Z51" s="17" t="s">
        <v>7</v>
      </c>
      <c r="AA51" s="17" t="s">
        <v>7</v>
      </c>
      <c r="AB51" s="21" t="s">
        <v>7</v>
      </c>
      <c r="AC51" s="18" t="s">
        <v>100</v>
      </c>
      <c r="AD51" s="21" t="s">
        <v>7</v>
      </c>
      <c r="AE51" s="21" t="s">
        <v>7</v>
      </c>
      <c r="AF51" s="18" t="s">
        <v>339</v>
      </c>
      <c r="AG51"/>
      <c r="AH51"/>
      <c r="AI51"/>
      <c r="AJ51" s="16" t="s">
        <v>131</v>
      </c>
      <c r="AK51"/>
      <c r="AL51" s="16">
        <v>2874</v>
      </c>
      <c r="AM51" s="16" t="s">
        <v>136</v>
      </c>
      <c r="AN51"/>
      <c r="AO51" s="23" t="s">
        <v>725</v>
      </c>
      <c r="AP51" s="18"/>
      <c r="AQ51" s="18"/>
      <c r="AR51" s="18" t="s">
        <v>131</v>
      </c>
      <c r="AS51" s="23" t="s">
        <v>786</v>
      </c>
      <c r="AT51" s="23" t="s">
        <v>786</v>
      </c>
      <c r="AU51" s="18" t="s">
        <v>787</v>
      </c>
      <c r="AV51" s="18" t="s">
        <v>787</v>
      </c>
      <c r="AW51" s="18">
        <f t="shared" si="1"/>
        <v>49</v>
      </c>
      <c r="AX51" s="23" t="s">
        <v>729</v>
      </c>
      <c r="AY51" s="23" t="s">
        <v>730</v>
      </c>
      <c r="AZ51" s="18"/>
      <c r="BA51" s="18" t="s">
        <v>788</v>
      </c>
      <c r="BB51" s="18"/>
      <c r="BC51" s="18"/>
      <c r="BD51" s="18"/>
      <c r="BE51" s="18"/>
      <c r="BF51" s="18"/>
      <c r="BG51" s="18"/>
      <c r="BH51" s="18" t="s">
        <v>789</v>
      </c>
      <c r="BI51" s="18"/>
      <c r="BJ51" s="18"/>
      <c r="BK51" s="18"/>
      <c r="BL51" s="18"/>
      <c r="BM51" s="18"/>
      <c r="BN51" s="18"/>
      <c r="BO51" s="18"/>
      <c r="BP51" s="18" t="s">
        <v>790</v>
      </c>
      <c r="BQ51" s="18" t="s">
        <v>430</v>
      </c>
      <c r="BR51" s="18"/>
      <c r="BS51" s="18"/>
      <c r="BT51" s="18"/>
      <c r="BU51" s="18"/>
      <c r="BV51" s="18"/>
      <c r="BW51" s="18"/>
      <c r="BX51" s="18"/>
      <c r="BY51" s="18"/>
      <c r="BZ51" s="18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 s="1" t="s">
        <v>832</v>
      </c>
    </row>
    <row r="52" spans="1:111" ht="12" customHeight="1">
      <c r="A52" s="14" t="s">
        <v>211</v>
      </c>
      <c r="B52" s="14" t="s">
        <v>185</v>
      </c>
      <c r="C52" s="14" t="s">
        <v>255</v>
      </c>
      <c r="D52" t="s">
        <v>274</v>
      </c>
      <c r="E52"/>
      <c r="F52" t="s">
        <v>274</v>
      </c>
      <c r="G52"/>
      <c r="H52" s="15" t="s">
        <v>32</v>
      </c>
      <c r="I52"/>
      <c r="J52"/>
      <c r="K52"/>
      <c r="L52"/>
      <c r="M52"/>
      <c r="N52"/>
      <c r="O52"/>
      <c r="P52"/>
      <c r="Q52"/>
      <c r="R52"/>
      <c r="S52"/>
      <c r="T52" s="18">
        <v>481</v>
      </c>
      <c r="U52">
        <v>481</v>
      </c>
      <c r="V52" s="16">
        <v>124</v>
      </c>
      <c r="W52" t="s">
        <v>15</v>
      </c>
      <c r="X52" t="s">
        <v>100</v>
      </c>
      <c r="Y52" s="18" t="s">
        <v>15</v>
      </c>
      <c r="Z52" s="17" t="s">
        <v>150</v>
      </c>
      <c r="AA52" s="17" t="s">
        <v>150</v>
      </c>
      <c r="AB52" s="21" t="s">
        <v>150</v>
      </c>
      <c r="AC52" s="18" t="s">
        <v>100</v>
      </c>
      <c r="AD52" s="21" t="s">
        <v>150</v>
      </c>
      <c r="AE52" s="21" t="s">
        <v>150</v>
      </c>
      <c r="AF52" s="18" t="s">
        <v>340</v>
      </c>
      <c r="AG52"/>
      <c r="AH52"/>
      <c r="AI52"/>
      <c r="AJ52" s="16" t="s">
        <v>217</v>
      </c>
      <c r="AK52"/>
      <c r="AL52" s="16">
        <v>2874</v>
      </c>
      <c r="AM52" s="16" t="s">
        <v>93</v>
      </c>
      <c r="AN52"/>
      <c r="AO52" s="23" t="s">
        <v>791</v>
      </c>
      <c r="AP52" s="18"/>
      <c r="AQ52" s="18"/>
      <c r="AR52" s="18" t="s">
        <v>792</v>
      </c>
      <c r="AS52" s="23" t="s">
        <v>793</v>
      </c>
      <c r="AT52" s="23" t="s">
        <v>793</v>
      </c>
      <c r="AU52" s="18" t="s">
        <v>794</v>
      </c>
      <c r="AV52" s="18" t="s">
        <v>794</v>
      </c>
      <c r="AW52" s="18">
        <f t="shared" si="1"/>
        <v>51</v>
      </c>
      <c r="AX52" s="23" t="s">
        <v>719</v>
      </c>
      <c r="AY52" s="23" t="s">
        <v>795</v>
      </c>
      <c r="AZ52" s="18" t="s">
        <v>796</v>
      </c>
      <c r="BA52" s="18"/>
      <c r="BB52" s="18"/>
      <c r="BC52" s="18"/>
      <c r="BD52" s="18"/>
      <c r="BE52" s="18"/>
      <c r="BF52" s="18"/>
      <c r="BG52" s="18"/>
      <c r="BH52" s="18" t="s">
        <v>528</v>
      </c>
      <c r="BI52" s="18"/>
      <c r="BJ52" s="18"/>
      <c r="BK52" s="18"/>
      <c r="BL52" s="18"/>
      <c r="BM52" s="18" t="s">
        <v>797</v>
      </c>
      <c r="BN52" s="18"/>
      <c r="BO52" s="18"/>
      <c r="BP52" s="18"/>
      <c r="BQ52" s="18" t="s">
        <v>798</v>
      </c>
      <c r="BR52" s="18"/>
      <c r="BS52" s="18"/>
      <c r="BT52" s="18"/>
      <c r="BU52" s="18"/>
      <c r="BV52" s="18"/>
      <c r="BW52" s="18"/>
      <c r="BX52" s="18"/>
      <c r="BY52" s="18"/>
      <c r="BZ52" s="18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 s="1" t="s">
        <v>832</v>
      </c>
    </row>
    <row r="53" spans="1:111" ht="12" customHeight="1">
      <c r="A53" s="14" t="s">
        <v>211</v>
      </c>
      <c r="B53" s="14" t="s">
        <v>185</v>
      </c>
      <c r="C53" s="14" t="s">
        <v>255</v>
      </c>
      <c r="D53" t="s">
        <v>274</v>
      </c>
      <c r="E53"/>
      <c r="F53" t="s">
        <v>274</v>
      </c>
      <c r="G53"/>
      <c r="H53" s="15" t="s">
        <v>32</v>
      </c>
      <c r="I53"/>
      <c r="J53"/>
      <c r="K53"/>
      <c r="L53"/>
      <c r="M53"/>
      <c r="N53"/>
      <c r="O53"/>
      <c r="P53"/>
      <c r="Q53"/>
      <c r="R53"/>
      <c r="S53"/>
      <c r="T53" s="18">
        <v>482</v>
      </c>
      <c r="U53">
        <v>482</v>
      </c>
      <c r="V53" s="16">
        <v>125</v>
      </c>
      <c r="W53" t="s">
        <v>15</v>
      </c>
      <c r="X53" t="s">
        <v>100</v>
      </c>
      <c r="Y53" s="18" t="s">
        <v>15</v>
      </c>
      <c r="Z53" s="17" t="s">
        <v>112</v>
      </c>
      <c r="AA53" s="17" t="s">
        <v>112</v>
      </c>
      <c r="AB53" s="21" t="s">
        <v>112</v>
      </c>
      <c r="AC53" s="18" t="s">
        <v>100</v>
      </c>
      <c r="AD53" s="21" t="s">
        <v>112</v>
      </c>
      <c r="AE53" s="21" t="s">
        <v>112</v>
      </c>
      <c r="AF53" s="18" t="s">
        <v>341</v>
      </c>
      <c r="AG53"/>
      <c r="AH53"/>
      <c r="AI53"/>
      <c r="AJ53" s="16" t="s">
        <v>247</v>
      </c>
      <c r="AK53"/>
      <c r="AL53" s="16">
        <v>2874</v>
      </c>
      <c r="AM53" s="16" t="s">
        <v>140</v>
      </c>
      <c r="AN53"/>
      <c r="AO53" s="23" t="s">
        <v>799</v>
      </c>
      <c r="AP53" s="18"/>
      <c r="AQ53" s="18"/>
      <c r="AR53" s="18" t="s">
        <v>800</v>
      </c>
      <c r="AS53" s="23" t="s">
        <v>801</v>
      </c>
      <c r="AT53" s="23" t="s">
        <v>801</v>
      </c>
      <c r="AU53" s="18" t="s">
        <v>802</v>
      </c>
      <c r="AV53" s="18" t="s">
        <v>802</v>
      </c>
      <c r="AW53" s="18">
        <f t="shared" si="1"/>
        <v>52</v>
      </c>
      <c r="AX53" s="23" t="s">
        <v>803</v>
      </c>
      <c r="AY53" s="23" t="s">
        <v>804</v>
      </c>
      <c r="AZ53" s="18" t="s">
        <v>805</v>
      </c>
      <c r="BA53" s="18"/>
      <c r="BB53" s="18"/>
      <c r="BC53" s="18"/>
      <c r="BD53" s="18"/>
      <c r="BE53" s="18"/>
      <c r="BF53" s="18"/>
      <c r="BG53" s="18"/>
      <c r="BH53" s="18" t="s">
        <v>806</v>
      </c>
      <c r="BI53" s="18"/>
      <c r="BJ53" s="18"/>
      <c r="BK53" s="18"/>
      <c r="BL53" s="18"/>
      <c r="BM53" s="18" t="s">
        <v>807</v>
      </c>
      <c r="BN53" s="18"/>
      <c r="BO53" s="18"/>
      <c r="BP53" s="18"/>
      <c r="BQ53" s="18" t="s">
        <v>808</v>
      </c>
      <c r="BR53" s="18"/>
      <c r="BS53" s="18"/>
      <c r="BT53" s="18"/>
      <c r="BU53" s="18"/>
      <c r="BV53" s="18"/>
      <c r="BW53" s="18"/>
      <c r="BX53" s="18"/>
      <c r="BY53" s="18"/>
      <c r="BZ53" s="18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 s="1" t="s">
        <v>832</v>
      </c>
    </row>
    <row r="54" spans="1:111" ht="12" customHeight="1">
      <c r="A54" s="14" t="s">
        <v>211</v>
      </c>
      <c r="B54" s="14" t="s">
        <v>185</v>
      </c>
      <c r="C54" s="14" t="s">
        <v>255</v>
      </c>
      <c r="D54" t="s">
        <v>274</v>
      </c>
      <c r="E54"/>
      <c r="F54" t="s">
        <v>274</v>
      </c>
      <c r="G54"/>
      <c r="H54" s="15" t="s">
        <v>32</v>
      </c>
      <c r="I54"/>
      <c r="J54"/>
      <c r="K54"/>
      <c r="L54"/>
      <c r="M54"/>
      <c r="N54"/>
      <c r="O54"/>
      <c r="P54"/>
      <c r="Q54"/>
      <c r="R54"/>
      <c r="S54"/>
      <c r="T54" s="18">
        <v>483</v>
      </c>
      <c r="U54">
        <v>483</v>
      </c>
      <c r="V54" s="16">
        <v>126</v>
      </c>
      <c r="W54" t="s">
        <v>15</v>
      </c>
      <c r="X54" t="s">
        <v>100</v>
      </c>
      <c r="Y54" s="18" t="s">
        <v>15</v>
      </c>
      <c r="Z54" s="17" t="s">
        <v>119</v>
      </c>
      <c r="AA54" s="17" t="s">
        <v>119</v>
      </c>
      <c r="AB54" s="21" t="s">
        <v>119</v>
      </c>
      <c r="AC54" s="18" t="s">
        <v>100</v>
      </c>
      <c r="AD54" s="21" t="s">
        <v>119</v>
      </c>
      <c r="AE54" s="21" t="s">
        <v>119</v>
      </c>
      <c r="AF54" s="18" t="s">
        <v>342</v>
      </c>
      <c r="AG54"/>
      <c r="AH54"/>
      <c r="AI54"/>
      <c r="AJ54" s="16" t="s">
        <v>0</v>
      </c>
      <c r="AK54"/>
      <c r="AL54" s="16">
        <v>2874</v>
      </c>
      <c r="AM54" s="16" t="s">
        <v>64</v>
      </c>
      <c r="AN54"/>
      <c r="AO54" s="23" t="s">
        <v>809</v>
      </c>
      <c r="AP54" s="18"/>
      <c r="AQ54" s="18"/>
      <c r="AR54" s="18" t="s">
        <v>810</v>
      </c>
      <c r="AS54" s="23" t="s">
        <v>811</v>
      </c>
      <c r="AT54" s="23" t="s">
        <v>811</v>
      </c>
      <c r="AU54" s="18" t="s">
        <v>812</v>
      </c>
      <c r="AV54" s="18" t="s">
        <v>812</v>
      </c>
      <c r="AW54" s="18">
        <f t="shared" si="1"/>
        <v>36</v>
      </c>
      <c r="AX54" s="23" t="s">
        <v>813</v>
      </c>
      <c r="AY54" s="23" t="s">
        <v>814</v>
      </c>
      <c r="AZ54" s="18" t="s">
        <v>815</v>
      </c>
      <c r="BA54" s="18"/>
      <c r="BB54" s="18"/>
      <c r="BC54" s="18"/>
      <c r="BD54" s="18"/>
      <c r="BE54" s="18"/>
      <c r="BF54" s="18"/>
      <c r="BG54" s="18"/>
      <c r="BH54" s="18" t="s">
        <v>816</v>
      </c>
      <c r="BI54" s="18"/>
      <c r="BJ54" s="18"/>
      <c r="BK54" s="18" t="s">
        <v>501</v>
      </c>
      <c r="BL54" s="18"/>
      <c r="BM54" s="18"/>
      <c r="BN54" s="18"/>
      <c r="BO54" s="18"/>
      <c r="BP54" s="18"/>
      <c r="BQ54" s="18" t="s">
        <v>817</v>
      </c>
      <c r="BR54" s="18"/>
      <c r="BS54" s="18"/>
      <c r="BT54" s="18"/>
      <c r="BU54" s="18"/>
      <c r="BV54" s="18"/>
      <c r="BW54" s="18"/>
      <c r="BX54" s="18"/>
      <c r="BY54" s="18"/>
      <c r="BZ54" s="18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 s="1" t="s">
        <v>832</v>
      </c>
    </row>
    <row r="55" spans="1:111" ht="12" customHeight="1">
      <c r="A55" s="14" t="s">
        <v>211</v>
      </c>
      <c r="B55" s="14" t="s">
        <v>185</v>
      </c>
      <c r="C55" s="14" t="s">
        <v>255</v>
      </c>
      <c r="D55" t="s">
        <v>274</v>
      </c>
      <c r="E55"/>
      <c r="F55" t="s">
        <v>274</v>
      </c>
      <c r="G55"/>
      <c r="H55" s="15" t="s">
        <v>32</v>
      </c>
      <c r="I55"/>
      <c r="J55"/>
      <c r="K55"/>
      <c r="L55"/>
      <c r="M55"/>
      <c r="N55"/>
      <c r="O55"/>
      <c r="P55"/>
      <c r="Q55"/>
      <c r="R55"/>
      <c r="S55"/>
      <c r="T55" s="18">
        <v>484</v>
      </c>
      <c r="U55">
        <v>484</v>
      </c>
      <c r="V55" s="16">
        <v>127</v>
      </c>
      <c r="W55" t="s">
        <v>15</v>
      </c>
      <c r="X55" t="s">
        <v>100</v>
      </c>
      <c r="Y55" s="18" t="s">
        <v>15</v>
      </c>
      <c r="Z55" s="17" t="s">
        <v>39</v>
      </c>
      <c r="AA55" s="17" t="s">
        <v>39</v>
      </c>
      <c r="AB55" s="21" t="s">
        <v>39</v>
      </c>
      <c r="AC55" s="18" t="s">
        <v>100</v>
      </c>
      <c r="AD55" s="21" t="s">
        <v>39</v>
      </c>
      <c r="AE55" s="21" t="s">
        <v>39</v>
      </c>
      <c r="AF55" s="18" t="s">
        <v>343</v>
      </c>
      <c r="AG55"/>
      <c r="AH55"/>
      <c r="AI55"/>
      <c r="AJ55" s="16" t="s">
        <v>63</v>
      </c>
      <c r="AK55"/>
      <c r="AL55" s="16">
        <v>2874</v>
      </c>
      <c r="AM55" s="16" t="s">
        <v>139</v>
      </c>
      <c r="AN55"/>
      <c r="AO55" s="23" t="s">
        <v>614</v>
      </c>
      <c r="AP55" s="23" t="s">
        <v>362</v>
      </c>
      <c r="AQ55" s="24" t="s">
        <v>363</v>
      </c>
      <c r="AR55" s="18" t="s">
        <v>818</v>
      </c>
      <c r="AS55" s="18" t="s">
        <v>819</v>
      </c>
      <c r="AT55" s="18" t="s">
        <v>819</v>
      </c>
      <c r="AU55" s="18" t="s">
        <v>820</v>
      </c>
      <c r="AV55" s="18" t="s">
        <v>821</v>
      </c>
      <c r="AW55" s="18">
        <f t="shared" si="1"/>
        <v>54</v>
      </c>
      <c r="AX55" s="18" t="s">
        <v>490</v>
      </c>
      <c r="AY55" s="18" t="s">
        <v>410</v>
      </c>
      <c r="AZ55" s="18"/>
      <c r="BA55" s="18" t="s">
        <v>822</v>
      </c>
      <c r="BB55" s="18"/>
      <c r="BC55" s="18" t="s">
        <v>823</v>
      </c>
      <c r="BD55" s="18"/>
      <c r="BE55" s="18"/>
      <c r="BF55" s="18"/>
      <c r="BG55" s="18" t="s">
        <v>676</v>
      </c>
      <c r="BH55" s="18" t="s">
        <v>824</v>
      </c>
      <c r="BI55" s="18" t="s">
        <v>825</v>
      </c>
      <c r="BJ55" s="18"/>
      <c r="BK55" s="18" t="s">
        <v>402</v>
      </c>
      <c r="BL55" s="18"/>
      <c r="BM55" s="23" t="s">
        <v>826</v>
      </c>
      <c r="BN55" s="18"/>
      <c r="BO55" s="18"/>
      <c r="BP55" s="18"/>
      <c r="BQ55" s="18" t="s">
        <v>827</v>
      </c>
      <c r="BR55" s="18"/>
      <c r="BS55" s="18"/>
      <c r="BT55" s="18"/>
      <c r="BU55" s="18"/>
      <c r="BV55" s="18"/>
      <c r="BW55" s="18"/>
      <c r="BX55" s="18"/>
      <c r="BY55" s="18"/>
      <c r="BZ55" s="18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 s="1" t="s">
        <v>832</v>
      </c>
    </row>
    <row r="56" spans="1:111" ht="12" customHeight="1">
      <c r="A56" s="14" t="s">
        <v>211</v>
      </c>
      <c r="B56" s="14" t="s">
        <v>185</v>
      </c>
      <c r="C56" s="14" t="s">
        <v>255</v>
      </c>
      <c r="D56" t="s">
        <v>274</v>
      </c>
      <c r="E56"/>
      <c r="F56" t="s">
        <v>274</v>
      </c>
      <c r="G56"/>
      <c r="H56" s="15" t="s">
        <v>32</v>
      </c>
      <c r="I56"/>
      <c r="J56"/>
      <c r="K56"/>
      <c r="L56"/>
      <c r="M56"/>
      <c r="N56"/>
      <c r="O56"/>
      <c r="P56"/>
      <c r="Q56"/>
      <c r="R56"/>
      <c r="S56"/>
      <c r="T56" s="18">
        <v>485</v>
      </c>
      <c r="U56">
        <v>485</v>
      </c>
      <c r="V56" s="16">
        <v>128</v>
      </c>
      <c r="W56" t="s">
        <v>15</v>
      </c>
      <c r="X56" t="s">
        <v>100</v>
      </c>
      <c r="Y56" s="18" t="s">
        <v>15</v>
      </c>
      <c r="Z56" s="17" t="s">
        <v>152</v>
      </c>
      <c r="AA56" s="17" t="s">
        <v>152</v>
      </c>
      <c r="AB56" s="21" t="s">
        <v>152</v>
      </c>
      <c r="AC56" s="18" t="s">
        <v>100</v>
      </c>
      <c r="AD56" s="21" t="s">
        <v>152</v>
      </c>
      <c r="AE56" s="21" t="s">
        <v>152</v>
      </c>
      <c r="AF56" s="18" t="s">
        <v>344</v>
      </c>
      <c r="AG56"/>
      <c r="AH56"/>
      <c r="AI56"/>
      <c r="AJ56" s="16" t="s">
        <v>212</v>
      </c>
      <c r="AK56"/>
      <c r="AL56" s="16">
        <v>2874</v>
      </c>
      <c r="AM56" s="16" t="s">
        <v>260</v>
      </c>
      <c r="AN56"/>
      <c r="AO56" s="23" t="s">
        <v>614</v>
      </c>
      <c r="AP56" s="23" t="s">
        <v>362</v>
      </c>
      <c r="AQ56" s="24" t="s">
        <v>363</v>
      </c>
      <c r="AR56" s="18" t="s">
        <v>818</v>
      </c>
      <c r="AS56" s="18" t="s">
        <v>828</v>
      </c>
      <c r="AT56" s="18" t="s">
        <v>828</v>
      </c>
      <c r="AU56" s="18" t="s">
        <v>829</v>
      </c>
      <c r="AV56" s="18" t="s">
        <v>830</v>
      </c>
      <c r="AW56" s="18">
        <f t="shared" si="1"/>
        <v>54</v>
      </c>
      <c r="AX56" s="18" t="s">
        <v>490</v>
      </c>
      <c r="AY56" s="18" t="s">
        <v>410</v>
      </c>
      <c r="AZ56" s="18"/>
      <c r="BA56" s="18" t="s">
        <v>822</v>
      </c>
      <c r="BB56" s="18"/>
      <c r="BC56" s="18" t="s">
        <v>823</v>
      </c>
      <c r="BD56" s="18"/>
      <c r="BE56" s="18"/>
      <c r="BF56" s="18"/>
      <c r="BG56" s="18" t="s">
        <v>685</v>
      </c>
      <c r="BH56" s="18" t="s">
        <v>824</v>
      </c>
      <c r="BI56" s="18" t="s">
        <v>825</v>
      </c>
      <c r="BJ56" s="18"/>
      <c r="BK56" s="18" t="s">
        <v>402</v>
      </c>
      <c r="BL56" s="18"/>
      <c r="BM56" s="23" t="s">
        <v>826</v>
      </c>
      <c r="BN56" s="18"/>
      <c r="BO56" s="18"/>
      <c r="BP56" s="18"/>
      <c r="BQ56" s="18" t="s">
        <v>831</v>
      </c>
      <c r="BR56" s="18"/>
      <c r="BS56" s="18"/>
      <c r="BT56" s="18"/>
      <c r="BU56" s="18"/>
      <c r="BV56" s="18"/>
      <c r="BW56" s="18"/>
      <c r="BX56" s="18"/>
      <c r="BY56" s="18"/>
      <c r="BZ56" s="18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 s="1" t="s">
        <v>832</v>
      </c>
    </row>
  </sheetData>
  <autoFilter ref="A1:DH56">
    <sortState ref="A2:DH56">
      <sortCondition ref="U2:U5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2023-06-23T06:24:59Z</dcterms:modified>
  <cp:category/>
</cp:coreProperties>
</file>