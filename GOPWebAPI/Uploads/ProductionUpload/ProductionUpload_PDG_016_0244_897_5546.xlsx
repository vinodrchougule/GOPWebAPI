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calcChain.xml><?xml version="1.0" encoding="utf-8"?>
<calcChain xmlns="http://schemas.openxmlformats.org/spreadsheetml/2006/main">
  <c r="AW4" i="1" l="1"/>
  <c r="AW3" i="1"/>
  <c r="AW2" i="1"/>
</calcChain>
</file>

<file path=xl/sharedStrings.xml><?xml version="1.0" encoding="utf-8"?>
<sst xmlns="http://schemas.openxmlformats.org/spreadsheetml/2006/main" count="203" uniqueCount="165">
  <si>
    <t>Mfg Item Number</t>
  </si>
  <si>
    <t>Gender</t>
  </si>
  <si>
    <t>Sort Code</t>
  </si>
  <si>
    <t>Potential Duplicates</t>
  </si>
  <si>
    <t>Property</t>
  </si>
  <si>
    <t>Job No</t>
  </si>
  <si>
    <t>Mfg Name</t>
  </si>
  <si>
    <t>Color</t>
  </si>
  <si>
    <t>CND</t>
  </si>
  <si>
    <t>Prodigo Standard Short Description - 254</t>
  </si>
  <si>
    <t>CE Comments</t>
  </si>
  <si>
    <t>TERUMO</t>
  </si>
  <si>
    <t>Mfg Ref ID</t>
  </si>
  <si>
    <t>Remarks</t>
  </si>
  <si>
    <t>Location</t>
  </si>
  <si>
    <t>Previous CE Code</t>
  </si>
  <si>
    <t>Tab</t>
  </si>
  <si>
    <t>Mapped with 066</t>
  </si>
  <si>
    <t>Ref</t>
  </si>
  <si>
    <t>Standardized UNSPSC</t>
  </si>
  <si>
    <t>Noun</t>
  </si>
  <si>
    <t>UNSPSC Description1</t>
  </si>
  <si>
    <t>SE Comments</t>
  </si>
  <si>
    <t>Classification Remarks1</t>
  </si>
  <si>
    <t>Production Comments</t>
  </si>
  <si>
    <t>2P2902</t>
  </si>
  <si>
    <t>URL1</t>
  </si>
  <si>
    <t>Remarks1</t>
  </si>
  <si>
    <t>Long Description 254 Enriched1</t>
  </si>
  <si>
    <t>Age</t>
  </si>
  <si>
    <t>Quality A/R</t>
  </si>
  <si>
    <t>PrimaryDimension(IDXODXLXWXHXDXTHK)</t>
  </si>
  <si>
    <t>PRODIGO1067314</t>
  </si>
  <si>
    <t>Descr Status</t>
  </si>
  <si>
    <t>Miscellaneous</t>
  </si>
  <si>
    <t>Sort Comment</t>
  </si>
  <si>
    <t>Conc</t>
  </si>
  <si>
    <t>Long Description</t>
  </si>
  <si>
    <t>Disposable</t>
  </si>
  <si>
    <t>Packaging for drugs and solutions</t>
  </si>
  <si>
    <t>Item Name (Short Description)</t>
  </si>
  <si>
    <t>Latex</t>
  </si>
  <si>
    <t>Potential Duplicates1</t>
  </si>
  <si>
    <t>Customer Code</t>
  </si>
  <si>
    <t>Count</t>
  </si>
  <si>
    <t>Project2</t>
  </si>
  <si>
    <t>Size</t>
  </si>
  <si>
    <t>Short Description</t>
  </si>
  <si>
    <t>HCPCS code</t>
  </si>
  <si>
    <t>Secondary Dimension(IDXODXLXWXHXDXTHK)</t>
  </si>
  <si>
    <t>Long Description 254 Enriched</t>
  </si>
  <si>
    <t>PRODIGO1067309</t>
  </si>
  <si>
    <t>Delivered</t>
  </si>
  <si>
    <t>File Name</t>
  </si>
  <si>
    <t>Description Duplicate</t>
  </si>
  <si>
    <t>Ref#</t>
  </si>
  <si>
    <t>ForGhria_Output_2023-08-24</t>
  </si>
  <si>
    <t>Corrected By</t>
  </si>
  <si>
    <t>64kProdigoItemKey</t>
  </si>
  <si>
    <t>Activities</t>
  </si>
  <si>
    <t>Short Description 60 Enriched</t>
  </si>
  <si>
    <t>Adjective</t>
  </si>
  <si>
    <t>RefName</t>
  </si>
  <si>
    <t>QE Code</t>
  </si>
  <si>
    <t>TERUMO CARDIOVASCULAR</t>
  </si>
  <si>
    <t>RefCat</t>
  </si>
  <si>
    <t>Item Description (Long Description)</t>
  </si>
  <si>
    <t>PRODIGO1067315</t>
  </si>
  <si>
    <t>Potential / Desc Duplicate across Consolidated</t>
  </si>
  <si>
    <t>Start Date</t>
  </si>
  <si>
    <t>Len</t>
  </si>
  <si>
    <t>HCPCS Desc1</t>
  </si>
  <si>
    <t>Data Enrichment | UNSPSC Classification</t>
  </si>
  <si>
    <t>Modifier</t>
  </si>
  <si>
    <t>Classification Remarks</t>
  </si>
  <si>
    <t>BhCG Control Level 2</t>
  </si>
  <si>
    <t>ABBOTT DIAGNOSTICS</t>
  </si>
  <si>
    <t>Item Description (Long Description 4000)1</t>
  </si>
  <si>
    <t>ProdigoItemKey1</t>
  </si>
  <si>
    <t>SlNo</t>
  </si>
  <si>
    <t>02P2902</t>
  </si>
  <si>
    <t>Project1</t>
  </si>
  <si>
    <t>Delivered Date</t>
  </si>
  <si>
    <t>HCPCS description</t>
  </si>
  <si>
    <t>Brandname1</t>
  </si>
  <si>
    <t>Project_Code</t>
  </si>
  <si>
    <t>11kProdigoItemKey</t>
  </si>
  <si>
    <t>XC 3/8 UNIVERSAL REPLACEMENT</t>
  </si>
  <si>
    <t>ProdigoItemKey</t>
  </si>
  <si>
    <t>Source1</t>
  </si>
  <si>
    <t>Short Description 60 Enriched1</t>
  </si>
  <si>
    <t>BrandName</t>
  </si>
  <si>
    <t>DE Code</t>
  </si>
  <si>
    <t>Standardized Manufacturer Item Number</t>
  </si>
  <si>
    <t>Status</t>
  </si>
  <si>
    <t>Job No1</t>
  </si>
  <si>
    <t>PDF</t>
  </si>
  <si>
    <t>PDG</t>
  </si>
  <si>
    <t>HCPCS1</t>
  </si>
  <si>
    <t>To_Process</t>
  </si>
  <si>
    <t>Sterile</t>
  </si>
  <si>
    <t>Standardized UNSPSC1</t>
  </si>
  <si>
    <t>SLNo_Prod</t>
  </si>
  <si>
    <t>Material</t>
  </si>
  <si>
    <t>016-244-6</t>
  </si>
  <si>
    <t>Batch</t>
  </si>
  <si>
    <t>Accepted Date</t>
  </si>
  <si>
    <t>Production User</t>
  </si>
  <si>
    <t>QE Comments</t>
  </si>
  <si>
    <t>Project</t>
  </si>
  <si>
    <t>QA Code</t>
  </si>
  <si>
    <t>Standardized Manufacturer Name</t>
  </si>
  <si>
    <t>UNSPSC1</t>
  </si>
  <si>
    <t>UNSPC V24</t>
  </si>
  <si>
    <t>URL</t>
  </si>
  <si>
    <t>Source</t>
  </si>
  <si>
    <t>Validated MFR Name</t>
  </si>
  <si>
    <t>Miscellaneous1</t>
  </si>
  <si>
    <t>ABBOTT DIAGNOSTIC DIVISION</t>
  </si>
  <si>
    <t>ASIS Item Description (Long Description 4000)</t>
  </si>
  <si>
    <t>UNSPSC</t>
  </si>
  <si>
    <t>SE Code</t>
  </si>
  <si>
    <t>Volume/Weight</t>
  </si>
  <si>
    <t>UNSPSC Description</t>
  </si>
  <si>
    <t>Validated MFR Num</t>
  </si>
  <si>
    <t>QA Comments</t>
  </si>
  <si>
    <t>To Process</t>
  </si>
  <si>
    <t>CO2 FLUSH LINE PACK</t>
  </si>
  <si>
    <t>UNSOURCED</t>
  </si>
  <si>
    <t>THIRD PARTY</t>
  </si>
  <si>
    <t>OK</t>
  </si>
  <si>
    <t>ABBOTT LABORATORIES</t>
  </si>
  <si>
    <t>TERUMO CARDIOVASCULAR SYSTEMS CORP</t>
  </si>
  <si>
    <t>ABBOTT</t>
  </si>
  <si>
    <t>ABBOTT_02P2902</t>
  </si>
  <si>
    <t>TERUMO_65938</t>
  </si>
  <si>
    <t>TERUMO_75271</t>
  </si>
  <si>
    <t>41116107  Chemistry quality controls or calibrators or standards</t>
  </si>
  <si>
    <t>CONTROL, CHEMISTRY, BHCG, LEVEL 2</t>
  </si>
  <si>
    <t>CONTROL, CHEM, BHCG, LEVEL 2</t>
  </si>
  <si>
    <t>CONTROL</t>
  </si>
  <si>
    <t>CHEMISTRY</t>
  </si>
  <si>
    <t>BHCG</t>
  </si>
  <si>
    <t>LEVEL 2</t>
  </si>
  <si>
    <t>URL NOT FOUND</t>
  </si>
  <si>
    <t>42295414  Surgical specialty procedure packs</t>
  </si>
  <si>
    <t>A4550</t>
  </si>
  <si>
    <t>SURGICAL TRAYS</t>
  </si>
  <si>
    <t>Cardiovascular Procedure Kit</t>
  </si>
  <si>
    <t>CARDIOVASCULAR PROCEDURE KIT, CO2 FLUSH LINE, PACK, TUBING, CLAMP, FILTER, CONNECTOR, STOPCOCK, STERILE, LATEX</t>
  </si>
  <si>
    <t>CARDIOVASCULAR PROCEDURE KIT, CO2 FLSH LN, PK, TBNG, CLMP, FILTER, CONN, STOPCOCK, STRL, LTX</t>
  </si>
  <si>
    <t>CARDIOVASCULAR PROCEDURE KIT, CO2 FLSH LN, PK, TBNG, CLMP, STRL</t>
  </si>
  <si>
    <t>CARDIOVASCULAR PROCEDURE KIT</t>
  </si>
  <si>
    <t>CO2 FLUSH LINE, PACK, TUBING, CLAMP, FILTER, CONNECTOR, STOPCOCK</t>
  </si>
  <si>
    <t>STERILE</t>
  </si>
  <si>
    <t>LATEX</t>
  </si>
  <si>
    <t>https://www.physiciansofficeresource.com/diagnostics/gudid-terumo~cardiovascular~systems~corporation/gudid-cardiovascular-procedure-kit-00699753460294/, https://accessgudid.nlm.nih.gov/devices/00699753460294</t>
  </si>
  <si>
    <t>CARDIOVASCULAR PROCEDURE KIT, 3/8 IN, UNIVERSAL REPLACEMENT, TUBING, CLAMP, FILTER, CONNECTOR, STOPCOCK, X-COATED, STERILE, LATEX</t>
  </si>
  <si>
    <t>CARDIOVASCULAR PROCEDURE KIT, 3/8 IN, UNIV REPL, TBNG, CLMP, FILTER, CONN, STOPCOCK, X-COAT, STRL, LTX</t>
  </si>
  <si>
    <t>CARDIOVASCULAR PROCEDURE KIT, 3/8 IN, UNIV REPL, TBNG, X-COAT</t>
  </si>
  <si>
    <t>3/8 IN</t>
  </si>
  <si>
    <t>UNIVERSAL REPLACEMENT, TUBING, CLAMP, FILTER, CONNECTOR, STOPCOCK</t>
  </si>
  <si>
    <t>X-COATED</t>
  </si>
  <si>
    <t>https://www.physiciansofficeresource.com/diagnostics/gudid-terumo~cardiovascular~systems~corporation/gudid-cardiovascular-procedure-kit-00699753494312/, https://accessgudid.nlm.nih.gov/devices/00699753494312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</si>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</sst>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49" fontId="0" fillId="0" borderId="0" xfId="0" applyNumberFormat="1" applyBorder="1"/>
    <xf numFmtId="0" fontId="6" fillId="0" borderId="1" xfId="0" applyFont="1" applyAlignment="1">
      <alignment horizontal="left"/>
    </xf>
    <xf numFmtId="0" fontId="6" fillId="0" borderId="1" xfId="0" applyNumberFormat="1" applyFont="1" applyAlignment="1">
      <alignment horizontal="left"/>
    </xf>
    <xf numFmtId="16" fontId="6" fillId="0" borderId="1" xfId="0" applyNumberFormat="1" applyFont="1" applyAlignment="1">
      <alignment horizontal="left"/>
    </xf>
    <xf numFmtId="0" fontId="6" fillId="0" borderId="1" xfId="0" applyNumberFormat="1" applyFont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4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29.285156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31.28515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43</v>
      </c>
      <c r="B1" s="2" t="s">
        <v>5</v>
      </c>
      <c r="C1" s="2" t="s">
        <v>109</v>
      </c>
      <c r="D1" s="2" t="s">
        <v>121</v>
      </c>
      <c r="E1" s="2" t="s">
        <v>22</v>
      </c>
      <c r="F1" s="2" t="s">
        <v>107</v>
      </c>
      <c r="G1" s="2" t="s">
        <v>10</v>
      </c>
      <c r="H1" s="2" t="s">
        <v>59</v>
      </c>
      <c r="I1" s="2" t="s">
        <v>2</v>
      </c>
      <c r="J1" s="2" t="s">
        <v>35</v>
      </c>
      <c r="K1" s="2" t="s">
        <v>63</v>
      </c>
      <c r="L1" s="2" t="s">
        <v>108</v>
      </c>
      <c r="M1" s="2" t="s">
        <v>110</v>
      </c>
      <c r="N1" s="2" t="s">
        <v>125</v>
      </c>
      <c r="O1" s="2" t="s">
        <v>92</v>
      </c>
      <c r="P1" s="2" t="s">
        <v>57</v>
      </c>
      <c r="Q1" s="2" t="s">
        <v>69</v>
      </c>
      <c r="R1" s="2" t="s">
        <v>106</v>
      </c>
      <c r="S1" s="2" t="s">
        <v>30</v>
      </c>
      <c r="T1" s="2" t="s">
        <v>102</v>
      </c>
      <c r="U1" s="3" t="s">
        <v>18</v>
      </c>
      <c r="V1" s="4" t="s">
        <v>79</v>
      </c>
      <c r="W1" s="5" t="s">
        <v>6</v>
      </c>
      <c r="X1" s="6" t="s">
        <v>111</v>
      </c>
      <c r="Y1" s="7" t="s">
        <v>116</v>
      </c>
      <c r="Z1" s="5" t="s">
        <v>0</v>
      </c>
      <c r="AA1" s="6" t="s">
        <v>93</v>
      </c>
      <c r="AB1" s="7" t="s">
        <v>124</v>
      </c>
      <c r="AC1" s="2" t="s">
        <v>62</v>
      </c>
      <c r="AD1" s="2" t="s">
        <v>65</v>
      </c>
      <c r="AE1" s="8" t="s">
        <v>55</v>
      </c>
      <c r="AF1" s="2" t="s">
        <v>36</v>
      </c>
      <c r="AG1" s="6" t="s">
        <v>120</v>
      </c>
      <c r="AH1" s="6" t="s">
        <v>19</v>
      </c>
      <c r="AI1" s="6" t="s">
        <v>123</v>
      </c>
      <c r="AJ1" s="6" t="s">
        <v>40</v>
      </c>
      <c r="AK1" s="6" t="s">
        <v>66</v>
      </c>
      <c r="AL1" s="6" t="s">
        <v>12</v>
      </c>
      <c r="AM1" s="6" t="s">
        <v>88</v>
      </c>
      <c r="AN1" s="6" t="s">
        <v>115</v>
      </c>
      <c r="AO1" s="7" t="s">
        <v>113</v>
      </c>
      <c r="AP1" s="2" t="s">
        <v>48</v>
      </c>
      <c r="AQ1" s="2" t="s">
        <v>83</v>
      </c>
      <c r="AR1" s="9" t="s">
        <v>119</v>
      </c>
      <c r="AS1" s="7" t="s">
        <v>37</v>
      </c>
      <c r="AT1" s="7" t="s">
        <v>50</v>
      </c>
      <c r="AU1" s="10" t="s">
        <v>47</v>
      </c>
      <c r="AV1" s="10" t="s">
        <v>60</v>
      </c>
      <c r="AW1" s="11" t="s">
        <v>70</v>
      </c>
      <c r="AX1" s="9" t="s">
        <v>20</v>
      </c>
      <c r="AY1" s="9" t="s">
        <v>73</v>
      </c>
      <c r="AZ1" s="9" t="s">
        <v>61</v>
      </c>
      <c r="BA1" s="9" t="s">
        <v>46</v>
      </c>
      <c r="BB1" s="9" t="s">
        <v>29</v>
      </c>
      <c r="BC1" s="9" t="s">
        <v>31</v>
      </c>
      <c r="BD1" s="9" t="s">
        <v>49</v>
      </c>
      <c r="BE1" s="9" t="s">
        <v>122</v>
      </c>
      <c r="BF1" s="9" t="s">
        <v>1</v>
      </c>
      <c r="BG1" s="9" t="s">
        <v>14</v>
      </c>
      <c r="BH1" s="9" t="s">
        <v>4</v>
      </c>
      <c r="BI1" s="9" t="s">
        <v>103</v>
      </c>
      <c r="BJ1" s="9" t="s">
        <v>39</v>
      </c>
      <c r="BK1" s="9" t="s">
        <v>7</v>
      </c>
      <c r="BL1" s="9" t="s">
        <v>100</v>
      </c>
      <c r="BM1" s="9" t="s">
        <v>91</v>
      </c>
      <c r="BN1" s="9" t="s">
        <v>41</v>
      </c>
      <c r="BO1" s="9" t="s">
        <v>38</v>
      </c>
      <c r="BP1" s="9" t="s">
        <v>34</v>
      </c>
      <c r="BQ1" s="7" t="s">
        <v>114</v>
      </c>
      <c r="BR1" s="7" t="s">
        <v>96</v>
      </c>
      <c r="BS1" s="9" t="s">
        <v>3</v>
      </c>
      <c r="BT1" s="9" t="s">
        <v>54</v>
      </c>
      <c r="BU1" s="9" t="s">
        <v>13</v>
      </c>
      <c r="BV1" s="9" t="s">
        <v>74</v>
      </c>
      <c r="BW1" s="9" t="s">
        <v>68</v>
      </c>
      <c r="BX1" s="9" t="s">
        <v>15</v>
      </c>
      <c r="BY1" s="9" t="s">
        <v>33</v>
      </c>
      <c r="BZ1" s="9" t="s">
        <v>17</v>
      </c>
      <c r="CA1" s="12" t="s">
        <v>112</v>
      </c>
      <c r="CB1" s="12" t="s">
        <v>101</v>
      </c>
      <c r="CC1" s="12" t="s">
        <v>21</v>
      </c>
      <c r="CD1" s="12" t="s">
        <v>98</v>
      </c>
      <c r="CE1" s="12" t="s">
        <v>77</v>
      </c>
      <c r="CF1" s="12" t="s">
        <v>90</v>
      </c>
      <c r="CG1" s="12" t="s">
        <v>28</v>
      </c>
      <c r="CH1" s="12" t="s">
        <v>9</v>
      </c>
      <c r="CI1" s="12" t="s">
        <v>84</v>
      </c>
      <c r="CJ1" s="12" t="s">
        <v>117</v>
      </c>
      <c r="CK1" s="12" t="s">
        <v>26</v>
      </c>
      <c r="CL1" s="12" t="s">
        <v>42</v>
      </c>
      <c r="CM1" s="12" t="s">
        <v>23</v>
      </c>
      <c r="CN1" s="12" t="s">
        <v>27</v>
      </c>
      <c r="CO1" s="12" t="s">
        <v>71</v>
      </c>
      <c r="CP1" s="12" t="s">
        <v>16</v>
      </c>
      <c r="CQ1" s="12" t="s">
        <v>85</v>
      </c>
      <c r="CR1" s="12" t="s">
        <v>53</v>
      </c>
      <c r="CS1" s="12" t="s">
        <v>105</v>
      </c>
      <c r="CT1" s="6" t="s">
        <v>78</v>
      </c>
      <c r="CU1" s="6" t="s">
        <v>99</v>
      </c>
      <c r="CV1" s="6" t="s">
        <v>58</v>
      </c>
      <c r="CW1" s="6" t="s">
        <v>86</v>
      </c>
      <c r="CX1" s="13" t="s">
        <v>81</v>
      </c>
      <c r="CY1" s="14" t="s">
        <v>95</v>
      </c>
      <c r="CZ1" s="13" t="s">
        <v>45</v>
      </c>
      <c r="DA1" s="15" t="s">
        <v>126</v>
      </c>
      <c r="DB1" s="15" t="s">
        <v>52</v>
      </c>
      <c r="DC1" s="15" t="s">
        <v>82</v>
      </c>
      <c r="DD1" s="15" t="s">
        <v>44</v>
      </c>
      <c r="DE1" s="15" t="s">
        <v>89</v>
      </c>
      <c r="DF1" s="1" t="s">
        <v>94</v>
      </c>
      <c r="DG1" s="1" t="s">
        <v>24</v>
      </c>
    </row>
    <row r="2" spans="1:111" ht="12" customHeight="1" x14ac:dyDescent="0.25">
      <c r="A2" s="16" t="s">
        <v>97</v>
      </c>
      <c r="B2" t="s">
        <v>104</v>
      </c>
      <c r="C2" t="s">
        <v>56</v>
      </c>
      <c r="D2" t="s">
        <v>8</v>
      </c>
      <c r="E2" s="18" t="s">
        <v>128</v>
      </c>
      <c r="F2" t="s">
        <v>8</v>
      </c>
      <c r="G2" t="s">
        <v>130</v>
      </c>
      <c r="H2" s="16" t="s">
        <v>72</v>
      </c>
      <c r="I2"/>
      <c r="J2"/>
      <c r="K2"/>
      <c r="L2"/>
      <c r="M2"/>
      <c r="N2"/>
      <c r="O2"/>
      <c r="P2"/>
      <c r="Q2"/>
      <c r="R2"/>
      <c r="S2"/>
      <c r="T2"/>
      <c r="U2">
        <v>419</v>
      </c>
      <c r="V2">
        <v>1</v>
      </c>
      <c r="W2" s="17" t="s">
        <v>118</v>
      </c>
      <c r="X2" t="s">
        <v>76</v>
      </c>
      <c r="Y2" s="18" t="s">
        <v>131</v>
      </c>
      <c r="Z2" t="s">
        <v>80</v>
      </c>
      <c r="AA2" t="s">
        <v>25</v>
      </c>
      <c r="AB2" s="18" t="s">
        <v>80</v>
      </c>
      <c r="AC2" s="18" t="s">
        <v>133</v>
      </c>
      <c r="AD2" s="18" t="s">
        <v>80</v>
      </c>
      <c r="AE2" s="18" t="s">
        <v>80</v>
      </c>
      <c r="AF2" s="18" t="s">
        <v>134</v>
      </c>
      <c r="AG2"/>
      <c r="AH2"/>
      <c r="AI2"/>
      <c r="AJ2" t="s">
        <v>75</v>
      </c>
      <c r="AK2"/>
      <c r="AL2">
        <v>25</v>
      </c>
      <c r="AM2" t="s">
        <v>51</v>
      </c>
      <c r="AN2"/>
      <c r="AO2" s="18" t="s">
        <v>137</v>
      </c>
      <c r="AP2" s="18"/>
      <c r="AQ2" s="18"/>
      <c r="AR2" s="18" t="s">
        <v>75</v>
      </c>
      <c r="AS2" s="19" t="s">
        <v>138</v>
      </c>
      <c r="AT2" s="19" t="s">
        <v>138</v>
      </c>
      <c r="AU2" s="19" t="s">
        <v>139</v>
      </c>
      <c r="AV2" s="19" t="s">
        <v>139</v>
      </c>
      <c r="AW2" s="18">
        <f>LEN(SUBSTITUTE(AV2, ", "," "))</f>
        <v>25</v>
      </c>
      <c r="AX2" s="19" t="s">
        <v>140</v>
      </c>
      <c r="AY2" s="19" t="s">
        <v>141</v>
      </c>
      <c r="AZ2" s="19" t="s">
        <v>142</v>
      </c>
      <c r="BA2" s="18"/>
      <c r="BB2" s="18"/>
      <c r="BC2" s="18"/>
      <c r="BD2" s="18"/>
      <c r="BE2" s="18"/>
      <c r="BF2" s="18"/>
      <c r="BG2" s="18"/>
      <c r="BH2" s="19" t="s">
        <v>143</v>
      </c>
      <c r="BI2" s="18"/>
      <c r="BJ2" s="18"/>
      <c r="BK2" s="18"/>
      <c r="BL2" s="18"/>
      <c r="BM2" s="18"/>
      <c r="BN2" s="18"/>
      <c r="BO2" s="18"/>
      <c r="BP2" s="18"/>
      <c r="BQ2" s="18" t="s">
        <v>144</v>
      </c>
      <c r="BR2" s="18"/>
      <c r="BS2" s="18"/>
      <c r="BT2" s="18"/>
      <c r="BU2" s="18"/>
      <c r="BV2" s="18"/>
      <c r="BW2" s="18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164</v>
      </c>
    </row>
    <row r="3" spans="1:111" ht="12" customHeight="1" x14ac:dyDescent="0.25">
      <c r="A3" s="16" t="s">
        <v>97</v>
      </c>
      <c r="B3" t="s">
        <v>104</v>
      </c>
      <c r="C3" t="s">
        <v>56</v>
      </c>
      <c r="D3" t="s">
        <v>8</v>
      </c>
      <c r="E3" s="18" t="s">
        <v>129</v>
      </c>
      <c r="F3" t="s">
        <v>8</v>
      </c>
      <c r="G3" t="s">
        <v>130</v>
      </c>
      <c r="H3" s="16" t="s">
        <v>72</v>
      </c>
      <c r="I3"/>
      <c r="J3"/>
      <c r="K3"/>
      <c r="L3"/>
      <c r="M3"/>
      <c r="N3"/>
      <c r="O3"/>
      <c r="P3"/>
      <c r="Q3"/>
      <c r="R3"/>
      <c r="S3"/>
      <c r="T3"/>
      <c r="U3">
        <v>420</v>
      </c>
      <c r="V3">
        <v>2</v>
      </c>
      <c r="W3" s="17" t="s">
        <v>64</v>
      </c>
      <c r="X3" t="s">
        <v>11</v>
      </c>
      <c r="Y3" s="18" t="s">
        <v>132</v>
      </c>
      <c r="Z3">
        <v>65938</v>
      </c>
      <c r="AA3">
        <v>65938</v>
      </c>
      <c r="AB3" s="18">
        <v>65938</v>
      </c>
      <c r="AC3" s="18" t="s">
        <v>11</v>
      </c>
      <c r="AD3" s="18">
        <v>65938</v>
      </c>
      <c r="AE3" s="18">
        <v>65938</v>
      </c>
      <c r="AF3" s="18" t="s">
        <v>135</v>
      </c>
      <c r="AG3"/>
      <c r="AH3"/>
      <c r="AI3"/>
      <c r="AJ3" t="s">
        <v>127</v>
      </c>
      <c r="AK3"/>
      <c r="AL3">
        <v>3707</v>
      </c>
      <c r="AM3" t="s">
        <v>32</v>
      </c>
      <c r="AN3"/>
      <c r="AO3" s="18" t="s">
        <v>145</v>
      </c>
      <c r="AP3" s="18" t="s">
        <v>146</v>
      </c>
      <c r="AQ3" s="18" t="s">
        <v>147</v>
      </c>
      <c r="AR3" s="18" t="s">
        <v>148</v>
      </c>
      <c r="AS3" s="19" t="s">
        <v>149</v>
      </c>
      <c r="AT3" s="19" t="s">
        <v>149</v>
      </c>
      <c r="AU3" s="19" t="s">
        <v>150</v>
      </c>
      <c r="AV3" s="19" t="s">
        <v>151</v>
      </c>
      <c r="AW3" s="18">
        <f>LEN(SUBSTITUTE(AV3, ", "," "))</f>
        <v>58</v>
      </c>
      <c r="AX3" s="19" t="s">
        <v>152</v>
      </c>
      <c r="AY3" s="18"/>
      <c r="AZ3" s="18"/>
      <c r="BA3" s="18"/>
      <c r="BB3" s="18"/>
      <c r="BC3" s="18"/>
      <c r="BD3" s="18"/>
      <c r="BE3" s="18"/>
      <c r="BF3" s="18"/>
      <c r="BG3" s="18"/>
      <c r="BH3" s="19" t="s">
        <v>153</v>
      </c>
      <c r="BI3" s="18"/>
      <c r="BJ3" s="18"/>
      <c r="BK3" s="18"/>
      <c r="BL3" s="19" t="s">
        <v>154</v>
      </c>
      <c r="BM3" s="18"/>
      <c r="BN3" s="19" t="s">
        <v>155</v>
      </c>
      <c r="BO3" s="18"/>
      <c r="BP3" s="18"/>
      <c r="BQ3" s="18" t="s">
        <v>156</v>
      </c>
      <c r="BR3" s="18"/>
      <c r="BS3" s="18"/>
      <c r="BT3" s="18"/>
      <c r="BU3" s="18"/>
      <c r="BV3" s="18"/>
      <c r="BW3" s="18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164</v>
      </c>
    </row>
    <row r="4" spans="1:111" ht="12" customHeight="1" x14ac:dyDescent="0.25">
      <c r="A4" s="16" t="s">
        <v>97</v>
      </c>
      <c r="B4" t="s">
        <v>104</v>
      </c>
      <c r="C4" t="s">
        <v>56</v>
      </c>
      <c r="D4" t="s">
        <v>8</v>
      </c>
      <c r="E4" s="18" t="s">
        <v>129</v>
      </c>
      <c r="F4" t="s">
        <v>8</v>
      </c>
      <c r="G4" t="s">
        <v>130</v>
      </c>
      <c r="H4" s="16" t="s">
        <v>72</v>
      </c>
      <c r="I4"/>
      <c r="J4"/>
      <c r="K4"/>
      <c r="L4"/>
      <c r="M4"/>
      <c r="N4"/>
      <c r="O4"/>
      <c r="P4"/>
      <c r="Q4"/>
      <c r="R4"/>
      <c r="S4"/>
      <c r="T4"/>
      <c r="U4">
        <v>421</v>
      </c>
      <c r="V4">
        <v>3</v>
      </c>
      <c r="W4" s="17" t="s">
        <v>64</v>
      </c>
      <c r="X4" t="s">
        <v>11</v>
      </c>
      <c r="Y4" s="18" t="s">
        <v>132</v>
      </c>
      <c r="Z4">
        <v>75271</v>
      </c>
      <c r="AA4">
        <v>75271</v>
      </c>
      <c r="AB4" s="18">
        <v>75271</v>
      </c>
      <c r="AC4" s="18" t="s">
        <v>11</v>
      </c>
      <c r="AD4" s="18">
        <v>75271</v>
      </c>
      <c r="AE4" s="18">
        <v>75271</v>
      </c>
      <c r="AF4" s="18" t="s">
        <v>136</v>
      </c>
      <c r="AG4"/>
      <c r="AH4"/>
      <c r="AI4"/>
      <c r="AJ4" t="s">
        <v>87</v>
      </c>
      <c r="AK4"/>
      <c r="AL4">
        <v>3707</v>
      </c>
      <c r="AM4" t="s">
        <v>67</v>
      </c>
      <c r="AN4"/>
      <c r="AO4" s="18" t="s">
        <v>145</v>
      </c>
      <c r="AP4" s="18" t="s">
        <v>146</v>
      </c>
      <c r="AQ4" s="18" t="s">
        <v>147</v>
      </c>
      <c r="AR4" s="18" t="s">
        <v>148</v>
      </c>
      <c r="AS4" s="19" t="s">
        <v>157</v>
      </c>
      <c r="AT4" s="19" t="s">
        <v>157</v>
      </c>
      <c r="AU4" s="19" t="s">
        <v>158</v>
      </c>
      <c r="AV4" s="19" t="s">
        <v>159</v>
      </c>
      <c r="AW4" s="18">
        <f>LEN(SUBSTITUTE(AV4, ", "," "))</f>
        <v>57</v>
      </c>
      <c r="AX4" s="19" t="s">
        <v>152</v>
      </c>
      <c r="AY4" s="18"/>
      <c r="AZ4" s="18"/>
      <c r="BA4" s="18"/>
      <c r="BB4" s="18"/>
      <c r="BC4" s="20" t="s">
        <v>160</v>
      </c>
      <c r="BD4" s="18"/>
      <c r="BE4" s="18"/>
      <c r="BF4" s="18"/>
      <c r="BG4" s="18"/>
      <c r="BH4" s="19" t="s">
        <v>161</v>
      </c>
      <c r="BI4" s="21" t="s">
        <v>162</v>
      </c>
      <c r="BJ4" s="18"/>
      <c r="BK4" s="18"/>
      <c r="BL4" s="19" t="s">
        <v>154</v>
      </c>
      <c r="BM4" s="18"/>
      <c r="BN4" s="19" t="s">
        <v>155</v>
      </c>
      <c r="BO4" s="18"/>
      <c r="BP4" s="18"/>
      <c r="BQ4" s="18" t="s">
        <v>163</v>
      </c>
      <c r="BR4" s="18"/>
      <c r="BS4" s="18"/>
      <c r="BT4" s="18"/>
      <c r="BU4" s="18"/>
      <c r="BV4" s="18"/>
      <c r="BW4" s="18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2023-08-25T09:00:52Z</dcterms:modified>
</cp:coreProperties>
</file>