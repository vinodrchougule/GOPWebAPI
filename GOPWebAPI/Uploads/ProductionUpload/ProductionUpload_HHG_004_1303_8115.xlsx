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hiny\Documents\"/>
    </mc:Choice>
  </mc:AlternateContent>
  <bookViews>
    <workbookView xWindow="0" yWindow="0" windowWidth="20460" windowHeight="7620"/>
  </bookViews>
  <sheets>
    <sheet name="Sheet1" sheetId="1" r:id="rId1"/>
    <sheet name="Sheet2" sheetId="2" r:id="rId2"/>
    <sheet name="Sheet3" sheetId="3" r:id="rId3"/>
  </sheets>
  <externalReferences>
    <externalReference r:id="rId4"/>
  </externalReferences>
  <definedNames>
    <definedName name="_xlnm._FilterDatabase" localSheetId="0" hidden="1">Sheet1!$A$1:$BX$35</definedName>
  </definedNames>
  <calcPr calcId="162913"/>
  <webPublishing codePage="0"/>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alcChain>
</file>

<file path=xl/sharedStrings.xml><?xml version="1.0" encoding="utf-8"?>
<sst xmlns="http://schemas.openxmlformats.org/spreadsheetml/2006/main" count="1448" uniqueCount="658">
  <si>
    <t>TRIPOXY 10MG TAB</t>
  </si>
  <si>
    <t>TICAFLO90MGTAB</t>
  </si>
  <si>
    <t>Image (Size : 1920 *1920) Pixels, PNG Format</t>
  </si>
  <si>
    <t>TOBAMIST300MGRESP5MLAMP</t>
  </si>
  <si>
    <t>5MG</t>
  </si>
  <si>
    <t>TONOFERONSYR200MLBOTTLE</t>
  </si>
  <si>
    <t>COUGH &amp; COLD PREPARATIONS</t>
  </si>
  <si>
    <t>TOBAMIST 300MG RESP 5ML AMP</t>
  </si>
  <si>
    <t>RefDesc</t>
  </si>
  <si>
    <t>TELMIKIND BETA 40/50MG TAB</t>
  </si>
  <si>
    <t>VIRADAYTAB30S</t>
  </si>
  <si>
    <t>DIURETICS</t>
  </si>
  <si>
    <t>SYR</t>
  </si>
  <si>
    <t>Free Product Eligibility (Yes/No)</t>
  </si>
  <si>
    <t>RefSlNo</t>
  </si>
  <si>
    <t>TAMSULOSIN HCL+DUTASTERIDE</t>
  </si>
  <si>
    <t>Pack Type</t>
  </si>
  <si>
    <t>ATENOLOL</t>
  </si>
  <si>
    <t>STRIP</t>
  </si>
  <si>
    <t>VERICIGUAT</t>
  </si>
  <si>
    <t>MYDRIATIC DRUGS</t>
  </si>
  <si>
    <t>ORDAIN</t>
  </si>
  <si>
    <t>Third Paty_Image URL</t>
  </si>
  <si>
    <t>WARF3MGTAB</t>
  </si>
  <si>
    <t>TAMSULOSIN HCL</t>
  </si>
  <si>
    <t>SAFETY ADVICE - Pregnency</t>
  </si>
  <si>
    <t>TRETIVA 30MG CAP</t>
  </si>
  <si>
    <t>ZEDEXSYR100MLBOTTLE</t>
  </si>
  <si>
    <t>14'S</t>
  </si>
  <si>
    <t>VERQUVO 2.5MG TAB</t>
  </si>
  <si>
    <t>SAFETY ADVICE - General</t>
  </si>
  <si>
    <t>LUPIN</t>
  </si>
  <si>
    <t>TROPAN 2.5MG TAB 10'S</t>
  </si>
  <si>
    <t>VERTISTAR-MD 16MG TAB</t>
  </si>
  <si>
    <t>VIRADAY TAB 30'S</t>
  </si>
  <si>
    <t>TOPICAL CORTICOSTEROIDS</t>
  </si>
  <si>
    <t>Product Name ( Display in customer end)</t>
  </si>
  <si>
    <t>TINIBA 300MG TAB</t>
  </si>
  <si>
    <t>BAYER</t>
  </si>
  <si>
    <t>TAB</t>
  </si>
  <si>
    <t>OTHER ANTIBIOTICS/ ANTIAMOEBICS</t>
  </si>
  <si>
    <t>Pack Size_1</t>
  </si>
  <si>
    <t>ZEDEX SYR 100ML BOTTLE</t>
  </si>
  <si>
    <t>TRIPOXY10MGTAB</t>
  </si>
  <si>
    <t>TROPICACYLPLUSEYEDPS5MLBOTTLE</t>
  </si>
  <si>
    <t>40MG+50MG</t>
  </si>
  <si>
    <t>Duplicate Set</t>
  </si>
  <si>
    <t>Dosage</t>
  </si>
  <si>
    <t>MTOR INHIBITOR</t>
  </si>
  <si>
    <t>Accepted Date</t>
  </si>
  <si>
    <t>THIAMIN 100MG TAB</t>
  </si>
  <si>
    <t>Final_Image Ref URL</t>
  </si>
  <si>
    <t>TRETIVA 20MG CAP</t>
  </si>
  <si>
    <t>0.8%+5%+0.5%W/V</t>
  </si>
  <si>
    <t>2.5MG</t>
  </si>
  <si>
    <t>WARF 3MG TAB</t>
  </si>
  <si>
    <t>QE Code</t>
  </si>
  <si>
    <t>TENOLOL25MGTAB14S</t>
  </si>
  <si>
    <t>WARF2MGTAB</t>
  </si>
  <si>
    <t>Non Onco Drugs</t>
  </si>
  <si>
    <t>Marketed by</t>
  </si>
  <si>
    <t>WARF 1MG TAB</t>
  </si>
  <si>
    <t>TORGETPLUS10MGTAB10S</t>
  </si>
  <si>
    <t>Third Paty_Image PDF</t>
  </si>
  <si>
    <t>TORGET PLUS 10MG TAB 10'S</t>
  </si>
  <si>
    <t>CLOBETASOL PROPIONATE</t>
  </si>
  <si>
    <t>4'S</t>
  </si>
  <si>
    <t>QA Comments</t>
  </si>
  <si>
    <t>CADILA</t>
  </si>
  <si>
    <t>STRENGTH_1</t>
  </si>
  <si>
    <t>TELMIKINDBETA4050MGTAB</t>
  </si>
  <si>
    <t>SXH</t>
  </si>
  <si>
    <t>TENOVATE005CREAM30GMTUBE</t>
  </si>
  <si>
    <t>WARF 2MG TAB</t>
  </si>
  <si>
    <t>ACNE TREATMENT PREPARATIONS</t>
  </si>
  <si>
    <t>SlNo</t>
  </si>
  <si>
    <t>8MG</t>
  </si>
  <si>
    <t>Form</t>
  </si>
  <si>
    <t>ZYDUS</t>
  </si>
  <si>
    <t>Fragile Attribute</t>
  </si>
  <si>
    <t>Image Name</t>
  </si>
  <si>
    <t>URIMAX02MGCAP</t>
  </si>
  <si>
    <t>VIROLFI 450MG TAB</t>
  </si>
  <si>
    <t>Supporting URL</t>
  </si>
  <si>
    <t>To be filled</t>
  </si>
  <si>
    <t>EYE DPS</t>
  </si>
  <si>
    <t>450MG</t>
  </si>
  <si>
    <t>ASPIRIN+ATORVASTATIN</t>
  </si>
  <si>
    <t>FLUCONAZOLE</t>
  </si>
  <si>
    <t>HAEMOSTATICS</t>
  </si>
  <si>
    <t>ANTIDEPRESSANTS</t>
  </si>
  <si>
    <t>ANT-IANGINAL DRUGS/BETA-BLOCKERS</t>
  </si>
  <si>
    <t>VOLIBO02MGTAB</t>
  </si>
  <si>
    <t>300MG</t>
  </si>
  <si>
    <t>OXYBUTYNIN CHLORIDE</t>
  </si>
  <si>
    <t>TRETIVA20MGCAP</t>
  </si>
  <si>
    <t>SAMARTH</t>
  </si>
  <si>
    <t>0.05%W/W</t>
  </si>
  <si>
    <t>SUN</t>
  </si>
  <si>
    <t>DE Code</t>
  </si>
  <si>
    <t>Mfr_Image URL</t>
  </si>
  <si>
    <t>SAFETY ADVICE - Driving and operating machines</t>
  </si>
  <si>
    <t>Prescription Required ( Yes/No)</t>
  </si>
  <si>
    <t>MANKIND</t>
  </si>
  <si>
    <t>TENOVATE 0.05% CREAM 30GM TUBE</t>
  </si>
  <si>
    <t>How to Use / Therapeutic use</t>
  </si>
  <si>
    <t>MUSCLE RELAXANTS</t>
  </si>
  <si>
    <t>TENOFOVIR DISOPROXIL</t>
  </si>
  <si>
    <t>DR.REDDY'S</t>
  </si>
  <si>
    <t>Product Weight</t>
  </si>
  <si>
    <t>TROPICACYL PLUS EYE DPS 5ML BOTTLE</t>
  </si>
  <si>
    <t>Display in Ecommerce portal (Yes/No)</t>
  </si>
  <si>
    <t>TICAFLO 90MG TAB</t>
  </si>
  <si>
    <t>XOLIMUS10MGTAB</t>
  </si>
  <si>
    <t>Final_Item URL</t>
  </si>
  <si>
    <t>VERTIN24MGTAB</t>
  </si>
  <si>
    <t>ANTIVERTIGO DRUGS</t>
  </si>
  <si>
    <t>Storage Instruction</t>
  </si>
  <si>
    <t>Item Package Dimension ( L X W X H ) in CM</t>
  </si>
  <si>
    <t>ANTIVIRALS</t>
  </si>
  <si>
    <t>Data Extraction</t>
  </si>
  <si>
    <t>USES OF TABLET</t>
  </si>
  <si>
    <t>TORASEMIDE+SPIRONOLACTONE</t>
  </si>
  <si>
    <t>SAFETY ADVICE - Breast Feeding</t>
  </si>
  <si>
    <t>IVERMECTIN</t>
  </si>
  <si>
    <t>DRUGS FOR BLADDER &amp; PROSTATE DISORDERS</t>
  </si>
  <si>
    <t>XOLIMUS 10MG TAB</t>
  </si>
  <si>
    <t>Customer Code</t>
  </si>
  <si>
    <t>Quality A/R</t>
  </si>
  <si>
    <t>ZOL F 150MG CAP</t>
  </si>
  <si>
    <t>Production Comments</t>
  </si>
  <si>
    <t>VIROLFI450MGTAB</t>
  </si>
  <si>
    <t>VOLIBO 0.2MG TAB</t>
  </si>
  <si>
    <t>WARF1MGTAB</t>
  </si>
  <si>
    <t>30'S</t>
  </si>
  <si>
    <t>10MG+50MG</t>
  </si>
  <si>
    <t>TINIBA300MGTAB</t>
  </si>
  <si>
    <t>INTAS</t>
  </si>
  <si>
    <t>CAP</t>
  </si>
  <si>
    <t>TROPICAMIDE+PHENYLEPHRINE HCL+CHLORBUTOL</t>
  </si>
  <si>
    <t>Strength</t>
  </si>
  <si>
    <t>Mfr_Image PDF</t>
  </si>
  <si>
    <t>QC User</t>
  </si>
  <si>
    <t>Isotretinoin</t>
  </si>
  <si>
    <t>VERTIN 24MG TAB</t>
  </si>
  <si>
    <t xml:space="preserve">MAJOR_GROUP </t>
  </si>
  <si>
    <t>SUNWAYS</t>
  </si>
  <si>
    <t>VALGANCICLOVIR</t>
  </si>
  <si>
    <t>10'S</t>
  </si>
  <si>
    <t>BETAHISTINE HCL</t>
  </si>
  <si>
    <t>QE Comments</t>
  </si>
  <si>
    <t>GSK</t>
  </si>
  <si>
    <t>JACKSON</t>
  </si>
  <si>
    <t>25MG</t>
  </si>
  <si>
    <t>004</t>
  </si>
  <si>
    <t>URIMAX-D TAB</t>
  </si>
  <si>
    <t>Classification</t>
  </si>
  <si>
    <t>TONACTASP150MGTAB</t>
  </si>
  <si>
    <t>16MG</t>
  </si>
  <si>
    <t>1MG</t>
  </si>
  <si>
    <t>Item Reference URL</t>
  </si>
  <si>
    <t>QC Comments</t>
  </si>
  <si>
    <t>ANTIDIABETIC AGENTS</t>
  </si>
  <si>
    <t>90MG</t>
  </si>
  <si>
    <t>VOLIBO03MGTAB</t>
  </si>
  <si>
    <t>ANTIVIRAL</t>
  </si>
  <si>
    <t>METOPROLOL+TELMISATRAN</t>
  </si>
  <si>
    <t>BACLOFEN</t>
  </si>
  <si>
    <t>Activities</t>
  </si>
  <si>
    <t>As directed by Physician</t>
  </si>
  <si>
    <t>300MG+200MG+600MG</t>
  </si>
  <si>
    <t>TORGET5MGTAB</t>
  </si>
  <si>
    <t>ANTICOAGULANTS, ANTIPLATELETS &amp; FIBRINOLYTICS</t>
  </si>
  <si>
    <t>3MG</t>
  </si>
  <si>
    <t>100MG</t>
  </si>
  <si>
    <t>Country of Origin</t>
  </si>
  <si>
    <t>AMINOGLYCOSIDES</t>
  </si>
  <si>
    <t>Item Package URL</t>
  </si>
  <si>
    <t>TROPAN25MGTAB10S</t>
  </si>
  <si>
    <t>VERTISTAR-MD 8MG TAB</t>
  </si>
  <si>
    <t>4MG+5MG+50MG+2.5MG/5ML</t>
  </si>
  <si>
    <t>"similar products"</t>
  </si>
  <si>
    <t>OTC/SUPPLIMENTS</t>
  </si>
  <si>
    <t>Production User Comments</t>
  </si>
  <si>
    <t>MATERIAL_ID (SKU ID)</t>
  </si>
  <si>
    <t>24MG</t>
  </si>
  <si>
    <t>150MG+10MG</t>
  </si>
  <si>
    <t>12MG</t>
  </si>
  <si>
    <t>VERMACT 12MG TAB 4'S</t>
  </si>
  <si>
    <t>QA Code</t>
  </si>
  <si>
    <t>TORGET 5MG TAB</t>
  </si>
  <si>
    <t>Group</t>
  </si>
  <si>
    <t>SAFETY ADVICE - Kidney</t>
  </si>
  <si>
    <t>TENOLOL 25MG TAB 14'S</t>
  </si>
  <si>
    <t>ELEMENTAL IRON+FOLIC ACID+VITAMIN B12</t>
  </si>
  <si>
    <t>ABBOTT</t>
  </si>
  <si>
    <t>Brand</t>
  </si>
  <si>
    <t>IPCA</t>
  </si>
  <si>
    <t>2'S</t>
  </si>
  <si>
    <t>VERTISTARMD16MGTAB</t>
  </si>
  <si>
    <t>Production User</t>
  </si>
  <si>
    <t>ZOLF150MGCAP</t>
  </si>
  <si>
    <t>Image ASIS from Webpage (PNG Format)</t>
  </si>
  <si>
    <t>BETA-BLOCKERS</t>
  </si>
  <si>
    <t>SAFETY ADVICE - Antibiotic-resistance</t>
  </si>
  <si>
    <t>TONOFERON SYR 200ML BOTTLE</t>
  </si>
  <si>
    <t>TRETIVA30MGCAP</t>
  </si>
  <si>
    <t>ANTIFUNGALS</t>
  </si>
  <si>
    <t xml:space="preserve">Dosage Form </t>
  </si>
  <si>
    <t>RESP</t>
  </si>
  <si>
    <t>Pack Size</t>
  </si>
  <si>
    <t>Composition</t>
  </si>
  <si>
    <t>SAFETY ADVICE - Alcohol</t>
  </si>
  <si>
    <t>VOGLIBOSE</t>
  </si>
  <si>
    <t>ANTHELMENTICS</t>
  </si>
  <si>
    <t>Compostion</t>
  </si>
  <si>
    <t>Job No</t>
  </si>
  <si>
    <t>300MG/5ML</t>
  </si>
  <si>
    <t>TINIDAZOLE</t>
  </si>
  <si>
    <t>Griha Remarks</t>
  </si>
  <si>
    <t>PERIPHERAL VASODIALATOR &amp; CEREBRAL ACTIVATORS</t>
  </si>
  <si>
    <t>Everolimus</t>
  </si>
  <si>
    <t>ZYTANIX25MGTAB10S</t>
  </si>
  <si>
    <t>EAST INDIA</t>
  </si>
  <si>
    <t>Product Specification / Information  (Brand, Strength, Form, Group, Composition is)</t>
  </si>
  <si>
    <t>CIPLA</t>
  </si>
  <si>
    <t>CREAM</t>
  </si>
  <si>
    <t>10MG</t>
  </si>
  <si>
    <t>SIDE EFFECTS / ADR</t>
  </si>
  <si>
    <t>0.2MG</t>
  </si>
  <si>
    <t>ISOTRETINOIN</t>
  </si>
  <si>
    <t>BROMEHEXINE HCL+DEXTROMETHORPHAN+AMMONIUM</t>
  </si>
  <si>
    <t>Status</t>
  </si>
  <si>
    <t>Corrected By</t>
  </si>
  <si>
    <t>URIMAXDTAB</t>
  </si>
  <si>
    <t>METOLAZONE</t>
  </si>
  <si>
    <t>2MG</t>
  </si>
  <si>
    <t>20MG</t>
  </si>
  <si>
    <t>TOBRAMYCIN</t>
  </si>
  <si>
    <t>VOLIBO 0.3MG TAB</t>
  </si>
  <si>
    <t>THIAMIN100MGTAB</t>
  </si>
  <si>
    <t>THIAMINE HCL</t>
  </si>
  <si>
    <t>AMITRIPTYLINE</t>
  </si>
  <si>
    <t>150MG</t>
  </si>
  <si>
    <t>VERMACT12MGTAB4S</t>
  </si>
  <si>
    <t>URIMAX 0.2MG CAP</t>
  </si>
  <si>
    <t>250MG+500MCG+5MCG/5ML</t>
  </si>
  <si>
    <t>VITAMINS &amp; MINARALS/ANTIANEMICS</t>
  </si>
  <si>
    <t>0.4MG+0.5MG</t>
  </si>
  <si>
    <t>30MG</t>
  </si>
  <si>
    <t>TONACT ASP 150MG TAB</t>
  </si>
  <si>
    <t>ZYTANIX 2.5MG TAB 10'S</t>
  </si>
  <si>
    <t>VERQUVO25MGTAB</t>
  </si>
  <si>
    <t>VERTISTARMD8MGTAB</t>
  </si>
  <si>
    <t>TORASEMIDE</t>
  </si>
  <si>
    <t>SAFETY ADVICE - Children</t>
  </si>
  <si>
    <t>0.3MG</t>
  </si>
  <si>
    <t>WARFARIN</t>
  </si>
  <si>
    <t>Manufacturer</t>
  </si>
  <si>
    <t>WOCKHARDT</t>
  </si>
  <si>
    <t>Product Status (Active/Inactive)</t>
  </si>
  <si>
    <t>SAFETY ADVICE - Liver</t>
  </si>
  <si>
    <t>HCG</t>
  </si>
  <si>
    <t>TICAGRELOR</t>
  </si>
  <si>
    <t>10/SR</t>
  </si>
  <si>
    <t>TELMIKIND BETA</t>
  </si>
  <si>
    <t>40 MG + 50 MG</t>
  </si>
  <si>
    <t xml:space="preserve">TELMISARTAN + METOPROLOL SUCCINATE </t>
  </si>
  <si>
    <t xml:space="preserve">Telmikind beta, 40 mg/50 mg, tablet, belongs to group of medicines called beta-blockers, composition is telmisartan &amp; metoprolol succinate </t>
  </si>
  <si>
    <t>It is advised to take Telmikind Beta 50 Tablet ER with food at a fixed time each day to maintain consistent levels of medicine in the blood</t>
  </si>
  <si>
    <t xml:space="preserve"> used for treating high blood pressure</t>
  </si>
  <si>
    <t>headache, weakness, dizziness, decreased blood pressure,  increased potassium level in blood, orthostatic hypotension (occasionally with syncope), breathlessness, nausea, vomiting, abdominal pain, and fatigue</t>
  </si>
  <si>
    <t>It is advised to avoid potassium rich food and supplements while taking this medicine</t>
  </si>
  <si>
    <t>It is unsafe to consume</t>
  </si>
  <si>
    <t>is unsafe to use during pregnancy as there is definite evidence of risk to the developing baby</t>
  </si>
  <si>
    <t>is probably safe to use during breastfeeding. Limited human data suggests that the drug does not represent any significant risk to the baby.</t>
  </si>
  <si>
    <t>may decrease alertness, affect your vision or make you feel sleepy and dizzy. Do not drive if these symptoms occur.</t>
  </si>
  <si>
    <t>should be used with caution in patients with liver disease</t>
  </si>
  <si>
    <t>is safe to use in patients with kidney disease</t>
  </si>
  <si>
    <t>MANKIND PHARMA</t>
  </si>
  <si>
    <t>India</t>
  </si>
  <si>
    <t>Store below 30°C</t>
  </si>
  <si>
    <t>no</t>
  </si>
  <si>
    <t>15 GM</t>
  </si>
  <si>
    <t>10X7X2 CM</t>
  </si>
  <si>
    <t>https://www.amazon.in/Telmikind-Beta-50-Strip-Tablets/dp/B083VG44PS/ref=sr_1_1?brandId=berry&amp;keywords=telmikind+beta+50mg&amp;qid=1702965779&amp;sr=8-1</t>
  </si>
  <si>
    <t>221546.png</t>
  </si>
  <si>
    <t>https://www.1mg.com/drugs/telmikind-beta-50-tablet-er-144140?wpsrc=Google+Organic+Search</t>
  </si>
  <si>
    <t>https://onemg.gumlet.io/l_watermark_346,w_690,h_700/a_ignore,w_690,h_700,c_pad,q_auto,f_auto/862920e9199441749af23ab22c8eb440.jpg</t>
  </si>
  <si>
    <t>14/SR</t>
  </si>
  <si>
    <t>TENOLOL</t>
  </si>
  <si>
    <t>25 MG</t>
  </si>
  <si>
    <t>Tenolol 25 mg, tablet, belongs to group of medicines called ant-ianginal drugs/beta-blockers , composition is atenolol</t>
  </si>
  <si>
    <t xml:space="preserve"> used to treat high blood pressure (hypertension), angina (heart-related chest pain), irregular heart rhythms (arrhythmia). It also helps to prevent future heart attacks and stroke.</t>
  </si>
  <si>
    <t>fatigue, slow heart rate,  feeling dizzy, diarrhea, and nausea</t>
  </si>
  <si>
    <t>may cause excessive drowsiness with alcohol.</t>
  </si>
  <si>
    <t>unsafe to use during pregnancy as there is definite evidence of risk to the developing baby</t>
  </si>
  <si>
    <t xml:space="preserve"> unsafe to use</t>
  </si>
  <si>
    <t>may decrease alertness, affect your vision or make you feel sleepy and dizzy. Do not drive if these symptoms occur</t>
  </si>
  <si>
    <t xml:space="preserve"> consult your doctor.</t>
  </si>
  <si>
    <t>should be used with caution in patients with kidney disease</t>
  </si>
  <si>
    <t>IPCA LABORATORIES LTD</t>
  </si>
  <si>
    <t>https://www.amazon.in/Tenolol-25-Blister-Pack-Tablets/dp/B082MH8RLQ</t>
  </si>
  <si>
    <t>211744.png</t>
  </si>
  <si>
    <t>https://www.1mg.com/drugs/tenolol-25-tablet-46091?wpsrc=Google+Organic+Search</t>
  </si>
  <si>
    <t>https://onemg.gumlet.io/l_watermark_346,w_480,h_480/a_ignore,w_480,h_480,c_fit,q_auto,f_auto/ykmquon6ig9jkvpvgvix.jpg</t>
  </si>
  <si>
    <t>TUBE</t>
  </si>
  <si>
    <t>TENOVATE</t>
  </si>
  <si>
    <t>CLOBETASOL</t>
  </si>
  <si>
    <t>Tenovate 0.0005 cream, belongs to group of medicines called topical corticosteroids , composition is clobetasol</t>
  </si>
  <si>
    <t>for external use and is to be used only as advised by your doctor.</t>
  </si>
  <si>
    <t>used to treat various skin conditions such as dermatitis, eczema, and allergies. It works by reducing swelling, redness, and itchiness of the skin and prevents further irritation</t>
  </si>
  <si>
    <t>Skin atrophy, Telangiectasia, Skin irritation, Dry skin</t>
  </si>
  <si>
    <t>Avoid any contact with your eyes, nose, or mouth</t>
  </si>
  <si>
    <t>No interaction found/established</t>
  </si>
  <si>
    <t>may be unsafe to use during pregnancy, consult your doctor.</t>
  </si>
  <si>
    <t>safe to use</t>
  </si>
  <si>
    <t>GSK CONSUMER HEALTHCARE</t>
  </si>
  <si>
    <t>Store below 25°C</t>
  </si>
  <si>
    <t>30 GM</t>
  </si>
  <si>
    <t>14X4X2 CM</t>
  </si>
  <si>
    <t>https://www.amazon.in/Tenovate-Tube-of-30-g-Cream/dp/B082WTMFH9</t>
  </si>
  <si>
    <t>211759.png</t>
  </si>
  <si>
    <t>https://www.1mg.com/drugs/tenovate-cream-193413?wpsrc=Google+Organic+Search</t>
  </si>
  <si>
    <t>https://onemg.gumlet.io/l_watermark_346,w_480,h_480/a_ignore,w_480,h_480,c_fit,q_auto,f_auto/cropped/ahrglqk1kj69vt4j7mav.jpg</t>
  </si>
  <si>
    <t>THIAMIN</t>
  </si>
  <si>
    <t>100 MG</t>
  </si>
  <si>
    <t>BENFOTIAMINE</t>
  </si>
  <si>
    <t>Thiamin100 mg, tablet, belongs to group of medicines called vitamins &amp; minarals/antianemics , composition is benfotiamine</t>
  </si>
  <si>
    <t>to be taken in the dose and duration as advised by your doctor. It is to be swallowed as a whole and not to be crushed or chewed. This medicine is to be taken with or without food but it should be taken at a fixed time</t>
  </si>
  <si>
    <t>used in the treatment of nutritional deficiencies caused by low levels of thiamine in the body. It protects the body from conditions caused due to low levels of thiamine such as heart and nerve disorders.</t>
  </si>
  <si>
    <t>skin rash, stomach discomfort</t>
  </si>
  <si>
    <t>Caution is advised when consuming alcohol with Thiamin Tablet. Please consult your doctor.</t>
  </si>
  <si>
    <t>consult your doctor.</t>
  </si>
  <si>
    <t>ORDAIN HEALTH CARE GLOBAL PVT LTD</t>
  </si>
  <si>
    <t>217375.png</t>
  </si>
  <si>
    <t>https://www.1mg.com/drugs/thiamin-tablet-532764?wpsrc=Google+Organic+Search</t>
  </si>
  <si>
    <t>https://onemg.gumlet.io/l_watermark_346,w_480,h_480/a_ignore,w_480,h_480,c_fit,q_auto,f_auto/cropped/zbmi98onzid4fl6h9xbi.jpg</t>
  </si>
  <si>
    <t>TICAFLO</t>
  </si>
  <si>
    <t>90 MG</t>
  </si>
  <si>
    <t xml:space="preserve">TICAGRELOR </t>
  </si>
  <si>
    <t xml:space="preserve">Ticaflo 90 mg, tablet, belongs to group of medicines called anticoagulants, antiplatelets &amp; fibrinolytics , composition is ticagrelor </t>
  </si>
  <si>
    <t>taken with or without food and should be taken regularly at the same time each day.</t>
  </si>
  <si>
    <t>It reduces the formation of harmful blood clots in blood vessels. This helps to prevent a heart attack or stroke in people with heart disease</t>
  </si>
  <si>
    <t>Bleeding, Breathlessness</t>
  </si>
  <si>
    <t>Caution, consult your doctor</t>
  </si>
  <si>
    <t>unsafe</t>
  </si>
  <si>
    <t>consult your doctor</t>
  </si>
  <si>
    <t>Safe</t>
  </si>
  <si>
    <t>DR REDDY'S LABORATORIES LTD</t>
  </si>
  <si>
    <t>https://amazon.in/Ticaflo-Blister-Pack-14-Tablets/dp/B089DH76QX</t>
  </si>
  <si>
    <t>216830.png</t>
  </si>
  <si>
    <t>https://www.1mg.com/drugs/ticaflo-90mg-tablet-451244?wpsrc=Google+Organic+Search</t>
  </si>
  <si>
    <t>https://onemg.gumlet.io/l_watermark_346,w_480,h_480/a_ignore,w_480,h_480,c_fit,q_auto,f_auto/d4e4e967e18e4f2eaec793a04cce3dd8.jpg</t>
  </si>
  <si>
    <t>TINIBA</t>
  </si>
  <si>
    <t>300 MG</t>
  </si>
  <si>
    <t>Tiniba 300 mg, tablet, belongs to group of medicines called other antibiotics/ antiamoebics , composition is tinidazole</t>
  </si>
  <si>
    <t>Take this medicine in the dose and duration as advised by your doctor. Swallow it as a whole. Do not chew, crush or break it. Tiniba 300 Tablet is to be taken with food</t>
  </si>
  <si>
    <t xml:space="preserve"> helps your body fight infections caused by bacteria and parasites. It is used to treat infections of the liver, stomach, intestines, vagina, brain, heart, lungs, and skin</t>
  </si>
  <si>
    <t>Headache, Dryness in mouth, Nausea, Metallic taste</t>
  </si>
  <si>
    <t>Unsafe</t>
  </si>
  <si>
    <t>unsafe, consult your doctor</t>
  </si>
  <si>
    <t>Breastfeeding should be held until the treatment of the mother is completed and the drug is eliminated from her body.</t>
  </si>
  <si>
    <t>ZYDUS CADILLA</t>
  </si>
  <si>
    <t>https://www.amazon.in/Tiniba-300-Mg-Blister-Tablets/dp/B0895M4VTS</t>
  </si>
  <si>
    <t>211968.png</t>
  </si>
  <si>
    <t>https://www.1mg.com/drugs/tiniba-300-tablet-296938?wpsrc=Google+Organic+Search</t>
  </si>
  <si>
    <t>https://onemg.gumlet.io/l_watermark_346,w_480,h_480/a_ignore,w_480,h_480,c_fit,q_auto,f_auto/cropped/cjslqjv1h3lqy5cnoqur.jpg</t>
  </si>
  <si>
    <t>TOBAMIST</t>
  </si>
  <si>
    <t>RESPULE</t>
  </si>
  <si>
    <t xml:space="preserve">TOBRAMYCIN </t>
  </si>
  <si>
    <t xml:space="preserve">Tobamist 300 mg, respule, belongs to group of medicines called antidiabetic agents , composition is tobramycin </t>
  </si>
  <si>
    <t>inhalation using a nebulizer. The solution should not be injected or swallowed</t>
  </si>
  <si>
    <t>used to prevent or treat infections of the lung (e.g., pneumonia). It is particularly effective in managing lung infections in people suffering from a disease known as cystic fibrosis</t>
  </si>
  <si>
    <t>Taste change, Voice change, Rash, Coughing up blood, Breathlessness, Sore throat, Cough, Increased sputum production, Lung disorder</t>
  </si>
  <si>
    <t>Store in a refrigerator (2 - 8°C). Do not freeze</t>
  </si>
  <si>
    <t>212010.png</t>
  </si>
  <si>
    <t>https://www.1mg.com/drugs/tobamist-respules-323932?wpsrc=Google+Organic+Search</t>
  </si>
  <si>
    <t>https://onemg.gumlet.io/l_watermark_346,w_480,h_480/a_ignore,w_480,h_480,c_fit,q_auto,f_auto/28031e335ecf45898329af54ffd8f60c.jpg</t>
  </si>
  <si>
    <t>15/SR</t>
  </si>
  <si>
    <t>TONACT ASP</t>
  </si>
  <si>
    <t>150 MG</t>
  </si>
  <si>
    <t xml:space="preserve">ATORVASTATIN  + ASPIRIN </t>
  </si>
  <si>
    <t xml:space="preserve">Tonact asp150 mg, capsule, belongs to group of medicines called antidiabetic agents , composition is atorvastatin, aspirin </t>
  </si>
  <si>
    <t>It lowers the "bad" cholesterol (LDL), triglycerides and raises the "good" cholesterol (HDL) levels in the body. Moreover, it also decreases the formation of blood clots</t>
  </si>
  <si>
    <t>Nasopharyngitis (inflammation of the throat and nasal passages), Muscle pain, Joint pain, Increased bleeding tendency, Diarrhea, Abdominal pain, Insomnia (difficulty in sleeping), Nosebleeds, Abnormal liver function tests, Fainting, Nausea, Vomiting, Migraine</t>
  </si>
  <si>
    <t>LUPIN LTD</t>
  </si>
  <si>
    <t>218577.png</t>
  </si>
  <si>
    <t>https://www.1mg.com/drugs/tonact-asp-150-capsule-154683?wpsrc=Google+Organic+Search</t>
  </si>
  <si>
    <t>https://pharmeasy.in/online-medicine-order/tonact-asp-150mg-strip-of-15-capsules-17222</t>
  </si>
  <si>
    <t>https://cdn01.pharmeasy.in/dam/products/254813/tonact-asp-150mg-strip-of-15-capsules-2-1641532992.jpg?dim=320x320&amp;dpr=1&amp;q=100</t>
  </si>
  <si>
    <t>BOTTLE</t>
  </si>
  <si>
    <t>TONOFERON</t>
  </si>
  <si>
    <t>200 ML</t>
  </si>
  <si>
    <t>SYP</t>
  </si>
  <si>
    <t>CYANOCOBALAMIN+FOLIC ACID+IRON</t>
  </si>
  <si>
    <t>Tonoferon 200 ml syrup, belongs to group of medicines called vitamins &amp; minarals/antianemics , composition is cyanocobalamin, folic acid, iron</t>
  </si>
  <si>
    <t>to treat iron deficiency anaemia and nutritional deficiencies</t>
  </si>
  <si>
    <t>Bloating, Loss Of Appetite, Dry Mouth, Diarrhoea, Constipation, Black stool</t>
  </si>
  <si>
    <t>recommended by a doctor.</t>
  </si>
  <si>
    <t>1 GM</t>
  </si>
  <si>
    <t>https://www.amazon.in/Tonoferon-Bottle-200-ml-Syrup/dp/B084BDZ9S6/ref=sr_1_1?brandId=berry&amp;keywords=tonoferon+syrup+200ml&amp;qid=1702975532&amp;sr=8-1</t>
  </si>
  <si>
    <t>212066.png</t>
  </si>
  <si>
    <t>https://www.apollopharmacy.in/otc/tonoferon-syrup-200ml</t>
  </si>
  <si>
    <t>https://m.media-amazon.com/images/W/MEDIAX_792452-T2/images/I/615u-TUdk4L._SX679_.jpg</t>
  </si>
  <si>
    <t>TORGET</t>
  </si>
  <si>
    <t>5 MG</t>
  </si>
  <si>
    <t>Torget 5 mg, tablet, belongs to group of medicines called diuretics , composition is torasemide</t>
  </si>
  <si>
    <t>may be used alone or in combination with other medicines as per the dose advised by your doctor.</t>
  </si>
  <si>
    <t>used to reduce the swelling (edema) caused by too much water in the body in people who have heart failure, liver disease, or kidney disease. This medicine is also used to treat high blood pressure.</t>
  </si>
  <si>
    <t>headache, dizziness, dehydration, decreased blood pressure, and stomach upset</t>
  </si>
  <si>
    <t>SAFE IF PRESCRIBED</t>
  </si>
  <si>
    <t>ZYDUS CADILA</t>
  </si>
  <si>
    <t>https://www.amazon.in/Torget-Blister-Pack-10-Tablets/dp/B083FGR1HC</t>
  </si>
  <si>
    <t>212136.png</t>
  </si>
  <si>
    <t>https://www.1mg.com/drugs/torget-5-tablet-116470?wpsrc=Google+Organic+Search</t>
  </si>
  <si>
    <t>https://onemg.gumlet.io/l_watermark_346,w_480,h_480/a_ignore,w_480,h_480,c_fit,q_auto,f_auto/cropped/c7tzjsthnqeedbgnvguj.jpg</t>
  </si>
  <si>
    <t>TORGET PLUS</t>
  </si>
  <si>
    <t>10 MG</t>
  </si>
  <si>
    <t xml:space="preserve">SPIRONOLACTONE  + TORASEMIDE </t>
  </si>
  <si>
    <t xml:space="preserve">Torget plus 10 mg, tablet, belongs to group of medicines called diuretics , composition is spironolactone, torasemide </t>
  </si>
  <si>
    <t>take in the morning along with food in order to avoid frequent urination at night time</t>
  </si>
  <si>
    <t>used to treat edema (fluid overload) and some cases of hypertension</t>
  </si>
  <si>
    <t>Dizziness, Frequent urge to urinate, Headache, Inflammation of the nose, Muscle pain, Gastrointestinal disturbance, Increased liver enzymes, Gum inflammation, Abdominal pain, Diarrhea, Memory impairment, Decreased sodium level in blood, Anemia (low number of red blood cells), Pain during periods, Abnormal ECG</t>
  </si>
  <si>
    <t>https://www.amazon.in/Torget-Plus-10-Blister-Tablets/dp/B082W7WFJD</t>
  </si>
  <si>
    <t>212137.png</t>
  </si>
  <si>
    <t>https://www.1mg.com/drugs/torget-plus-10-tablet-321965?wpsrc=Google+Organic+Search</t>
  </si>
  <si>
    <t>https://onemg.gumlet.io/l_watermark_346,w_480,h_480/a_ignore,w_480,h_480,c_fit,q_auto,f_auto/b052f429a64a432a906f7f7b3be1aa06.jpg</t>
  </si>
  <si>
    <t>TRETIVE</t>
  </si>
  <si>
    <t>20 MG</t>
  </si>
  <si>
    <t>Tretive 20 mg, capsule, belongs to group of medicines called acne treatment preparations , composition is isotretinoin</t>
  </si>
  <si>
    <t xml:space="preserve"> should be used in the dose and duration as advised by your doctor. Take it with food, preferably at the same time each day to avoid a missed dose. It may take several weeks for your symptoms to improve but keep taking the medicine regularly to get the most benefit.</t>
  </si>
  <si>
    <t>used to treat severe acne that has not responded to other treatments</t>
  </si>
  <si>
    <t>Dry skin, Increased liver enzymes, Rash</t>
  </si>
  <si>
    <t>INTAS LABORATORIES LTD</t>
  </si>
  <si>
    <t>https://www.amazon.in/Tretiva-20-Blister-Pack-Capsules/dp/B0842PGYYN</t>
  </si>
  <si>
    <t>214910.png</t>
  </si>
  <si>
    <t>https://www.1mg.com/drugs/tretiva-20-capsule-33072?wpsrc=Google+Organic+Search</t>
  </si>
  <si>
    <t>https://onemg.gumlet.io/l_watermark_346,w_690,h_700/a_ignore,w_690,h_700,c_pad,q_auto,f_auto/bdd1554157f24455bcf3925d52f40c9e.jpg</t>
  </si>
  <si>
    <t>30 MG</t>
  </si>
  <si>
    <t>Tretive 30 mg, capsule, belongs to group of medicines called acne treatment preparations , composition is isotretinoin</t>
  </si>
  <si>
    <t xml:space="preserve"> should be used in the dose and duration as advised by your doctor. Take it with food, preferably at the same time each day to avoid a missed dose</t>
  </si>
  <si>
    <t>used to treat severe acne that has not responded to other treatments.</t>
  </si>
  <si>
    <t>Unsafe, Consult your doctor</t>
  </si>
  <si>
    <t>https://www.amazon.in/Tretiva-30-Blister-Pack-Capsules/dp/B0842PHDCF</t>
  </si>
  <si>
    <t>102466.png</t>
  </si>
  <si>
    <t>https://www.1mg.com/drugs/tretiva-30-capsule-111736?wpsrc=Google+Organic+Search</t>
  </si>
  <si>
    <t>https://onemg.gumlet.io/l_watermark_346,w_690,h_700/a_ignore,w_690,h_700,c_pad,q_auto,f_auto/cropped/kx7p2uvmia31cjzamzhp.jpg</t>
  </si>
  <si>
    <t>TRIPOXY</t>
  </si>
  <si>
    <t>Tripoxy 10 mg, tablet belongs to group of medicines called antidepressants , composition is amitriptyline</t>
  </si>
  <si>
    <t>is normally taken before bedtime because it can make you feel sleepy. It can be taken with or without food. The dose and how often you need to take it will be decided by your doctor so that you get the right amount to control your symptoms</t>
  </si>
  <si>
    <t>help in treating and preventing different problems such as depression, neuropathic pain, and migraine</t>
  </si>
  <si>
    <t>Constipation, Dryness in mouth, Orthostatic hypotension (sudden lowering of blood pressure on standing), Weight gain, Aggressive behavior, Nasal congestion (stuffy nose), Sleepiness, Dizziness, Headache, Decreased libido, Nausea, Fatigue, Confusion, Tremors, Speech disorder, Palpitations, Taste change, Paresthesia (tingling or pricking sensation), Abnormality of voluntary movements, Loss of accommodation, Atrioventricular block, Micturition disorders, Erectile dysfunction, Abnormal ECG, Decreased sodium level in blood</t>
  </si>
  <si>
    <t>SAMARTH PHARMACEUTICALS</t>
  </si>
  <si>
    <t>222319.png</t>
  </si>
  <si>
    <t>https://www.1mg.com/drugs/tripoxy-tablet-677002?wpsrc=Google+Organic+Search</t>
  </si>
  <si>
    <t>https://onemg.gumlet.io/l_watermark_346,w_690,h_700/a_ignore,w_690,h_700,c_pad,q_auto,f_auto/jrtzsishzlxjxtjmrkvw.jpg</t>
  </si>
  <si>
    <t>TROPAN</t>
  </si>
  <si>
    <t>2.5 MG</t>
  </si>
  <si>
    <t xml:space="preserve">OXYBUTYNIN </t>
  </si>
  <si>
    <t xml:space="preserve">Tropan 2.5 mg, tablet, belongs to group of medicines called drugs for bladder &amp; prostate disorders , composition is oxybutynin </t>
  </si>
  <si>
    <t xml:space="preserve"> It should be taken on an empty stomach at least an hour before having a meal. Swallow the medicine as a whole without crushing or chewing it. You should not stop taking the medicine without consulting the doctor as it may lead to the worsening of your symptoms</t>
  </si>
  <si>
    <t>used in the treatment of overactive bladder. It relieves urinary symptoms like frequent urination, urgent need to urinate, and inability to control urination</t>
  </si>
  <si>
    <t>Dryness in mouth, Constipation, Diarrhea, Blurred, vision, Dry skin, Dizziness, Headache, Sleepiness</t>
  </si>
  <si>
    <t>SUN PHARMACEUTICAL INDUSTRIES LTD</t>
  </si>
  <si>
    <t>https://www.amazon.in/Tropan-2-5-Strip-10-Tablets/dp/B084MZN8XH</t>
  </si>
  <si>
    <t>212414.png</t>
  </si>
  <si>
    <t>https://www.1mg.com/drugs/tropan-2.5-tablet-25237?wpsrc=Google+Organic+Search</t>
  </si>
  <si>
    <t>https://onemg.gumlet.io/l_watermark_346,w_690,h_700/a_ignore,w_690,h_700,c_pad,q_auto,f_auto/cropped/dgdjewcvn3blmmarp1kz.jpg</t>
  </si>
  <si>
    <t>TROPICACYL PLUS</t>
  </si>
  <si>
    <t>5 ML</t>
  </si>
  <si>
    <t>DROPS</t>
  </si>
  <si>
    <t xml:space="preserve">PHENYLEPHRINE  + TROPICAMIDE </t>
  </si>
  <si>
    <t xml:space="preserve">Tropicacyl plus, 5 ml, drops, belongs to group of medicines called mydriatic drugs , composition is phenylephrine, tropicamide </t>
  </si>
  <si>
    <t xml:space="preserve"> Use it in the dose and duration as advised by the doctor. Refrain from touching the tip of the dropper to any surface to avoid contaminating the eye drops</t>
  </si>
  <si>
    <t>used for examination of the eye for detection of any eye disease. It acts by enlarging the pupil of the eyes and helps the doctor visualize the eye more closely</t>
  </si>
  <si>
    <t>Eye pain, Stinging in the eyes, Blurred vision, Photophobia, Allergic reaction</t>
  </si>
  <si>
    <t>Consult your doctor</t>
  </si>
  <si>
    <t>SUNWAYS INDIA PVT LTD</t>
  </si>
  <si>
    <t>https://www.amazon.in/Tropicacyl-Plus-Bottle-5ml-Drops/dp/B08BLT3N9Y</t>
  </si>
  <si>
    <t>217365.png</t>
  </si>
  <si>
    <t>https://www.1mg.com/drugs/tropicacyl-plus-eye-drops-309584?wpsrc=Google+Organic+Search</t>
  </si>
  <si>
    <t>https://onemg.gumlet.io/l_watermark_346,w_690,h_700/a_ignore,w_690,h_700,c_pad,q_auto,f_auto/cropped/fh3hfbtfngeqd7wfzrqe.jpg</t>
  </si>
  <si>
    <t>30/SR</t>
  </si>
  <si>
    <t>URIMAX</t>
  </si>
  <si>
    <t>0.2 MG</t>
  </si>
  <si>
    <t>TAMSULOSIN</t>
  </si>
  <si>
    <t>Urimax 0.2 mg capsule, belongs to group of medicines called drugs for bladder &amp; prostate disorders , composition is tamsulosin</t>
  </si>
  <si>
    <t>To be taken after food,  as instructed by doctor</t>
  </si>
  <si>
    <t>treating enlarged prostates called benign prostatic hyperplasia</t>
  </si>
  <si>
    <t>Orthostatic hypotension, Priapism, Infection, Back pain, Dizziness, Insomnia, Rhinitis, Severe cough, Palpitations, Low blood pressure, Dry mouth, Epistaxis, Vomiting, Constipation</t>
  </si>
  <si>
    <t>Grapefruit or its juice can potentially interact with tamsulosin and lead to adverse effects</t>
  </si>
  <si>
    <t>212615.png</t>
  </si>
  <si>
    <t>https://www.medplusmart.com/product/urimax-0.2mg-cap_urim0003</t>
  </si>
  <si>
    <t>https://www.practo.com/medicine-info/urimax-0-2-mg-capsule-34872</t>
  </si>
  <si>
    <t>https://www.practostatic.com/practopedia-images/v3/res-150/urimax-0-2mg-capsule-15-s_3ca2fa88-891b-42fd-ba14-ea6a514bd374.JPG</t>
  </si>
  <si>
    <t>URIMAX-D</t>
  </si>
  <si>
    <t xml:space="preserve">DUTASTERIDE +TAMSULOSIN </t>
  </si>
  <si>
    <t xml:space="preserve">Urimax-d 0.4mg+0.5mg, capsule, belongs to group of medicines called drugs for bladder &amp; prostate disorders , composition is dutasteride, tamsulosin </t>
  </si>
  <si>
    <t>Always take as directed by your physician. Take this medicine with or without food, swallow the medicine as a whole and do not crush or chew the medicine. Your doctor will decide the correct dose and duration of therapy for you depending upon your age, body weight and disease condition</t>
  </si>
  <si>
    <t>Treat signs and symptoms of benign prostatic hyperplasia (BPH) in men</t>
  </si>
  <si>
    <t>Sexual impotence (unable to achieve or maintain an erection), Decreased sex drive, Difficulty in ejaculation, Gynecomastia (breast enlargement or tenderness), Dizziness</t>
  </si>
  <si>
    <t>Avoid consumption of alcohol while taking this medicine because it may cause excessive drowsiness</t>
  </si>
  <si>
    <t>is intended for use only in men. Pregnant women should not come in contact</t>
  </si>
  <si>
    <t>is intended for use only in men and therefore should not be used in breastfeeding women</t>
  </si>
  <si>
    <t>is not recommended for use in patients having severe liver disease and it should be used with caution in patients with liver problems. Consult your doctor</t>
  </si>
  <si>
    <t xml:space="preserve">should be used with caution if you have severe kidney disease. Consult your doctor </t>
  </si>
  <si>
    <t>is not recommended for use in children or adolescents less than 18 years of age</t>
  </si>
  <si>
    <t>https://www.amazon.in/Urimax-D-Strip-15-Tablets/dp/B085J564JT</t>
  </si>
  <si>
    <t>212617.png</t>
  </si>
  <si>
    <t>https://www.netmeds.com/prescriptions/urimax-d-tablet-15-s</t>
  </si>
  <si>
    <t>https://www.netmeds.com/images/product-v1/600x600/55228/urimax_d_tablet_15s_0_0.jpg</t>
  </si>
  <si>
    <t>VERMACT</t>
  </si>
  <si>
    <t>12 MG</t>
  </si>
  <si>
    <t xml:space="preserve">IVERMECTIN </t>
  </si>
  <si>
    <t xml:space="preserve">Vermact 12 mg, tablet, belongs to group of medicines called anthelmentics , composition is ivermectin </t>
  </si>
  <si>
    <t>Diarrhea, Nausea, Dizziness, Joint pain, synovitis, Axillary lymph, inguinal or cervical lymph node enlargement and tenderness, Itching, Fever, Inflammation of the corneal limbus</t>
  </si>
  <si>
    <t>is not recommended for use during pregnancy unless it is considered clearly necessary</t>
  </si>
  <si>
    <t>is not recommended for use in breastfeeding women unless it is considered clearly necessary</t>
  </si>
  <si>
    <t>https://www.amazon.in/Ivermectol-12-Blister-Pack-Tablets/dp/B084PQ9R8S/ref=sr_1_1?brandId=berry&amp;keywords=ivermectin+tablets&amp;qid=1702982592&amp;sr=8-1</t>
  </si>
  <si>
    <t>212872.png</t>
  </si>
  <si>
    <t>https://www.netmeds.com/prescriptions/vermact-12-tablet-4s</t>
  </si>
  <si>
    <t>https://www.netmeds.com/images/product-v1/600x600/919959/vermact_12_tablet_4s_0_0.jpg</t>
  </si>
  <si>
    <t>VERQUVO</t>
  </si>
  <si>
    <t>Verquvo 2.5 mg, tablet, belongs to group of medicines called peripheral vasodialator &amp; cerebral activators , composition is vericiguat</t>
  </si>
  <si>
    <t>should be taken with food regularly at a fixed time each day. You should take it regularly at evenly spaced intervals as per the schedule prescribed by your doctor</t>
  </si>
  <si>
    <t xml:space="preserve"> used in the treatment of heart failure. It increases the pumping activity of the heart and relaxes the blood vessels, which further improves the blood circulation throughout the body</t>
  </si>
  <si>
    <t>Hypotension (low blood pressure), Anemia (low number of red blood cells)</t>
  </si>
  <si>
    <t>BAYER HEALTHCARE DIAGNOSTICS</t>
  </si>
  <si>
    <t>https://www.amazon.in/Verquvo-2-5-Strip-14-Tablets/dp/B0BXLQWDVY</t>
  </si>
  <si>
    <t>221404.png</t>
  </si>
  <si>
    <t>https://www.1mg.com/drugs/verquvo-2.5mg-tablet-790141?wpsrc=Google+Organic+Search</t>
  </si>
  <si>
    <t>https://onemg.gumlet.io/l_watermark_346,w_690,h_700/a_ignore,w_690,h_700,c_pad,q_auto,f_auto/0b3cfa61502d443daec1bd95c46de4ee.jpg</t>
  </si>
  <si>
    <t>VERTIN</t>
  </si>
  <si>
    <t>24 MG</t>
  </si>
  <si>
    <t>BETAHISTINE</t>
  </si>
  <si>
    <t>Vertin 24 mg, tablet, belongs to group of medicines called antivertigo drugs , composition is betahistine</t>
  </si>
  <si>
    <t>should be swallowed whole with water and taken at the same time(s) each day to get the most benefit. Your doctor will decide what is the correct dose to relieve your symptoms and how often you need to take it</t>
  </si>
  <si>
    <t>used to prevent and treat a disorder of the inner ear known as Ménière’s disease</t>
  </si>
  <si>
    <t>Headache, Indigestion, Nausea, Stomach pain, Bloating</t>
  </si>
  <si>
    <t>ABBOTT LABORATORIES</t>
  </si>
  <si>
    <t>https://www.amazon.in/Vertin-24-Blister-Pack-Tablets/dp/B085J9472H</t>
  </si>
  <si>
    <t>212883.png</t>
  </si>
  <si>
    <t>https://www.1mg.com/drugs/vertin-24-tablet-356691?wpsrc=Google+Organic+Search</t>
  </si>
  <si>
    <t>https://onemg.gumlet.io/l_watermark_346,w_690,h_700/a_ignore,w_690,h_700,c_pad,q_auto,f_auto/cropped/rffpho87az6b5khjewbt.jpg</t>
  </si>
  <si>
    <t>VERTISTAR-MD</t>
  </si>
  <si>
    <t>16 MG</t>
  </si>
  <si>
    <t xml:space="preserve">BETAHISTINE </t>
  </si>
  <si>
    <t xml:space="preserve">Vertistar-md 16 mg, tablet belongs to group of medicines called muscle relaxant , composition is betahistine </t>
  </si>
  <si>
    <t>https://www.amazon.in/Vertistar-MD-16-Blister-Pack-Tablets/dp/B082WQCSZ6</t>
  </si>
  <si>
    <t>222336.png</t>
  </si>
  <si>
    <t>https://www.1mg.com/drugs/vertistar-md-16-tablet-160311?wpsrc=Google+Organic+Search</t>
  </si>
  <si>
    <t>https://onemg.gumlet.io/l_watermark_346,w_690,h_700/a_ignore,w_690,h_700,c_pad,q_auto,f_auto/cropped/z5fqsthteu3edogosoi6.jpg</t>
  </si>
  <si>
    <t>8 MG</t>
  </si>
  <si>
    <t xml:space="preserve">Vertistar-md 8 mg, tablet, belongs to group of medicines called muscle relaxants , composition is betahistine </t>
  </si>
  <si>
    <t>https://www.amazon.in/Vertin-Blister-Pack-15-Tablets/dp/B085J86S7H/ref=sr_1_1?brandId=berry&amp;keywords=vertin+8mg&amp;qid=1702984571&amp;sr=8-1</t>
  </si>
  <si>
    <t>222335.png</t>
  </si>
  <si>
    <t>https://www.1mg.com/drugs/vertistar-md-8-tablet-323846?wpsrc=Google+Organic+Search</t>
  </si>
  <si>
    <t>https://onemg.gumlet.io/l_watermark_346,w_690,h_700/a_ignore,w_690,h_700,c_pad,q_auto,f_auto/cropped/pwyqfurdd3xtfib4x2rx.jpg</t>
  </si>
  <si>
    <t>30/BO</t>
  </si>
  <si>
    <t>VIRADAY</t>
  </si>
  <si>
    <t>EFAVIRENZ + EMTRICITABINE + TENOFOVIR DISOPROXIL</t>
  </si>
  <si>
    <t>Viraday 300mg+200mg+600mg, tablet belongs to group of medicines called antivirals , composition is efavirenz, emtricitabletine, tenofovir disoproxil</t>
  </si>
  <si>
    <t>Consumption of alcohol may increase the risk of side-effects.</t>
  </si>
  <si>
    <t>Should be used with caution in pregnant women. It is given only if clinically needed and when benefits outweigh the risk.</t>
  </si>
  <si>
    <t>should be used with caution</t>
  </si>
  <si>
    <t>may cause dizziness, so do not drive or operate heavy machinery if you feel dizzy.</t>
  </si>
  <si>
    <t>should not be used with caution in patients with severe liver diseases.</t>
  </si>
  <si>
    <t>should not be used in patients with moderate to severe kidney diseases as this medicine may affect kidney function</t>
  </si>
  <si>
    <t>is not recommended for use in children and adolescents below 18 years.</t>
  </si>
  <si>
    <t>https://www.amazon.in/Viraday-Bottle-of-30-Tablets/dp/B085J2Q4HZ#:~:text=Features-,Composition%3A%20Each%20film%20coated%20tablet%20contains%3A%20Efavirenz%20IP%20600%20mg,the%20time%20of%20order%20dispatch.</t>
  </si>
  <si>
    <t>212942.png</t>
  </si>
  <si>
    <t>https://www.apollopharmacy.in/medicine/viraday-tablet</t>
  </si>
  <si>
    <t>https://www.1mg.com/drugs/viraday-tablet-148649?wpsrc=Google+Organic+Search</t>
  </si>
  <si>
    <t>https://onemg.gumlet.io/l_watermark_346,w_690,h_700/a_ignore,w_690,h_700,c_pad,q_auto,f_auto/cropped/ayzqwxscrmny0og3rrgl.jpg</t>
  </si>
  <si>
    <t>VIROLFI</t>
  </si>
  <si>
    <t>450 MG</t>
  </si>
  <si>
    <t xml:space="preserve">VALGANCICLOVIR </t>
  </si>
  <si>
    <t xml:space="preserve">Virolfi 450 mg, tablet, belongs to group of medicines called antivirals , composition is valganciclovir </t>
  </si>
  <si>
    <t xml:space="preserve"> should be taken in the dose and duration as advised by your doctor.</t>
  </si>
  <si>
    <t>used to treat cytomegalovirus (CMV) infection of the retina (retinitis) in adult patients with acquired immunodeficiency syndrome (AIDS). It is also used for the prevention of CMV infection in patients who have received an organ transplant from a CMV-infected donor</t>
  </si>
  <si>
    <t>Diarrhea, Fever, Vomiting, Anemia (low number of red blood cells), Decreased white blood cell count, Low blood platelets, Insomnia (difficulty in sleeping), Tremors</t>
  </si>
  <si>
    <t>should be used with caution in patients with kidney disease, consult your doctor</t>
  </si>
  <si>
    <t>10 GM</t>
  </si>
  <si>
    <t>https://www.amazon.in/Virolfi-450mg-Blister-Pack-Tablets/dp/B0899ZH6LS</t>
  </si>
  <si>
    <t>218730.png</t>
  </si>
  <si>
    <t>https://www.1mg.com/drugs/virolfi-450mg-tablet-393913?wpsrc=Google+Organic+Search</t>
  </si>
  <si>
    <t>https://onemg.gumlet.io/l_watermark_346,w_480,h_480/a_ignore,w_480,h_480,c_fit,q_auto,f_auto/a4199186c2624e37b3e7a659778474b8.jpg</t>
  </si>
  <si>
    <t>VOLIBO</t>
  </si>
  <si>
    <t>Volibo 0.2 mg, tablet, belongs to group of medicines called antidiabetic agents , composition is voglibose</t>
  </si>
  <si>
    <t>should be taken just before a meal. The dose and how often you need it will be decided by your doctor so that you get the right amount to control your blood sugar levels</t>
  </si>
  <si>
    <t xml:space="preserve"> used to treat type 2 diabetes mellitus. It helps control the high blood sugar levels in your body after each meal. It is used when other similar medicines along with a restricted diet, are unable to control abnormally high blood sugar levels.</t>
  </si>
  <si>
    <t>Skin rash, Flatulence, Abdominal pain, Diarrhea</t>
  </si>
  <si>
    <t>https://www.amazon.in/Volibo-0-2-Blister-Pack-Tablets/dp/B0837CGJSH/ref=sr_1_1?brandId=berry&amp;keywords=volibo+0.2+tablet&amp;qid=1702985905&amp;sr=8-1</t>
  </si>
  <si>
    <t>213023.png</t>
  </si>
  <si>
    <t>https://www.1mg.com/drugs/volibo-0.2-tablet-38354?wpsrc=Google+Organic+Search</t>
  </si>
  <si>
    <t>https://onemg.gumlet.io/l_watermark_346,w_690,h_700/a_ignore,w_690,h_700,c_pad,q_auto,f_auto/cropped/kkfcjlyvuo4oqwuwp8oe.jpg</t>
  </si>
  <si>
    <t>0.3 MG</t>
  </si>
  <si>
    <t>Volibo, 0.3 mg,tablet, belongs to group of medicines called antidiabetic agents , composition is voglibose</t>
  </si>
  <si>
    <t>https://www.amazon.in/Volibo-0-3-Strip-10-Tablets/dp/B0837BJPP7</t>
  </si>
  <si>
    <t>213024.png</t>
  </si>
  <si>
    <t>https://www.1mg.com/drugs/volibo-0.3-tablet-38386?wpsrc=Google+Organic+Search</t>
  </si>
  <si>
    <t>https://onemg.gumlet.io/l_watermark_346,w_690,h_700/a_ignore,w_690,h_700,c_pad,q_auto,f_auto/cropped/qqukweclyrslbdfzhle0.jpg</t>
  </si>
  <si>
    <t>WARF</t>
  </si>
  <si>
    <t>1 MG</t>
  </si>
  <si>
    <t>Warf 1 mg, tablet, belongs to group of medicines called anticoagulants, antiplatelets &amp; fibrinolytics , composition is warfarin</t>
  </si>
  <si>
    <t xml:space="preserve"> helps prevent the formation of harmful blood clots in the legs, lungs, brain and heart. It is used for deep vein thrombosis, pulmonary embolism and stroke prevention</t>
  </si>
  <si>
    <t>Bleeding</t>
  </si>
  <si>
    <t>https://www.amazon.in/Warf-1-Blister-Pack-30-Tablets/dp/B085J2Q3NY/ref=sr_1_1?brandId=berry&amp;keywords=warf+1mg+tablet&amp;qid=1702986564&amp;sr=8-1</t>
  </si>
  <si>
    <t>213117.png</t>
  </si>
  <si>
    <t>https://www.1mg.com/drugs/warf-1-tablet-553037?wpsrc=Google+Organic+Search</t>
  </si>
  <si>
    <t>https://onemg.gumlet.io/l_watermark_346,w_690,h_700/a_ignore,w_690,h_700,c_pad,q_auto,f_auto/c481e45d3bba49909bff1fdfdc5970e2.jpg</t>
  </si>
  <si>
    <t>2 MG</t>
  </si>
  <si>
    <t>Warf 2 mg tablet, belongs to group of medicines called anticoagulants, antiplatelets &amp; fibrinolytics , composition is warfarin</t>
  </si>
  <si>
    <t>https://www.amazon.in/Warf-2-Blister-Pack-30-Tablets/dp/B085J28GX7/ref=sr_1_3?brandId=berry&amp;keywords=warf+1mg+tablet&amp;qid=1702986564&amp;sr=8-3</t>
  </si>
  <si>
    <t>213118.png</t>
  </si>
  <si>
    <t>https://www.1mg.com/drugs/warf-2-tablet-544149?wpsrc=Google+Organic+Search</t>
  </si>
  <si>
    <t>https://onemg.gumlet.io/l_watermark_346,w_690,h_700/a_ignore,w_690,h_700,c_pad,q_auto,f_auto/0309d8685eb347c19285eb7e9f645bfb.jpg</t>
  </si>
  <si>
    <t>3 MG</t>
  </si>
  <si>
    <t>Warf 3 mg tablet, belongs to group of medicines called anticoagulants, antiplatelets &amp; fibrinolytics , composition is warfarin</t>
  </si>
  <si>
    <t>https://www.amazon.in/Warf-3-Blister-Pack-30-Tablets/dp/B085J25BFZ/ref=sr_1_5?brandId=berry&amp;keywords=warf+1mg+tablet&amp;qid=1702986564&amp;sr=8-5</t>
  </si>
  <si>
    <t>213119.png</t>
  </si>
  <si>
    <t>https://www.1mg.com/drugs/warf-3-tablet-553073?wpsrc=Google+Organic+Search</t>
  </si>
  <si>
    <t>https://onemg.gumlet.io/l_watermark_346,w_690,h_700/a_ignore,w_690,h_700,c_pad,q_auto,f_auto/dcc0e76b820f4185be9884d33a765c81.jpg</t>
  </si>
  <si>
    <t>XOLIMUS</t>
  </si>
  <si>
    <t>EVEROLIMUS</t>
  </si>
  <si>
    <t>Xolimus 10 mg, tablet, belongs to group of medicines called mtor inhibitor , composition is everolimus</t>
  </si>
  <si>
    <t>must be taken in a dose and duration as per the prescription. It can be taken with or without food but make sure to take it at about the same time every day</t>
  </si>
  <si>
    <t xml:space="preserve"> used for the prevention of organ rejection in transplant patients. It regulates the body’s immune response, so the body can accept the new organ. It is also used in combination with other medicines to treat cancers of breast, pancreas, lungs, and kidney.</t>
  </si>
  <si>
    <t>Weakness, Sinus inflammation, Infection, Fever, Cough, Fatigue, Stomatitis(Inflammation of the mouth), Otitis media (infection of ear), Diarrhea, Upper respiratory tract infection</t>
  </si>
  <si>
    <t>101844.png</t>
  </si>
  <si>
    <t>https://www.1mg.com/drugs/xolimus-10-tablet-684009?wpsrc=Google+Organic+Search</t>
  </si>
  <si>
    <t>https://www.expressmed.in/item/Xolimus-10-Tablet</t>
  </si>
  <si>
    <t>https://www.expressmed.in/assets/uploads/products/medi_prod_Img_1652263901_0.jpg</t>
  </si>
  <si>
    <t>ZEDEX</t>
  </si>
  <si>
    <t>2 MG/10 MG</t>
  </si>
  <si>
    <t>CHLORPHENIRAMINE MALEATE + DEXTROMETHORPHAN</t>
  </si>
  <si>
    <t>Zedex 2 mg/10 mg, syrup belongs to group of medicines called cough &amp; cold preparations , composition is chlorpheniramine maleate, dextromethorphan</t>
  </si>
  <si>
    <t>it is given to pregnant women only if the doctor thinks the benefits outweigh the risks</t>
  </si>
  <si>
    <t>should not be given to breastfeeding mothers unless the benefit to the mother outweighs the potential harm to the newborn</t>
  </si>
  <si>
    <t>Caution, The dose may be adjusted by your doctor as required.</t>
  </si>
  <si>
    <t xml:space="preserve"> is not recommended for children below 2 years of age. However, it can be used by children who are more than 2 years of age if prescribed by a child specialist</t>
  </si>
  <si>
    <t>WOCKHARDT LTD</t>
  </si>
  <si>
    <t>213392.png</t>
  </si>
  <si>
    <t>https://www.apollopharmacy.in/medicine/zedex-cough-syrup-100ml</t>
  </si>
  <si>
    <t>https://www.1mg.com/drugs/zedex-cough-syrup-67280?wpsrc=Google+Organic+Search</t>
  </si>
  <si>
    <t>https://onemg.gumlet.io/l_watermark_346,w_690,h_700/a_ignore,w_690,h_700,c_pad,q_auto,f_auto/e41c323ca10d4b1fa06e42409692470d.jpg</t>
  </si>
  <si>
    <t/>
  </si>
  <si>
    <t>222184.png</t>
  </si>
  <si>
    <t>ZYTANIX</t>
  </si>
  <si>
    <t>Zytanix 2.5 mg, tablet, belongs to group of medicines called diuretics , composition is metolazone</t>
  </si>
  <si>
    <t>makes you lose excess water through urine. It may be used alone or in combination with other medicines. This medicine should be taken only during day time to avoid frequent urination at night</t>
  </si>
  <si>
    <t>reduces excess fluid levels in the body and is used to treat edema (fluid overload) associated with heart, liver, kidney, or lung disease. It is also used in treatment of hypertension (high blood pressure)</t>
  </si>
  <si>
    <t>Headache, Nausea, Dizziness</t>
  </si>
  <si>
    <t>213846.png</t>
  </si>
  <si>
    <t>https://www.1mg.com/drugs/zytanix-2.5-tablet-18426?wpsrc=Google+Organic+Search</t>
  </si>
  <si>
    <t>https://onemg.gumlet.io/l_watermark_346,w_690,h_700/a_ignore,w_690,h_700,c_pad,q_auto,f_auto/cropped/jssxuet3ilsfobfa1s7j.jpg</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</si>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</sst>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0"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sz val="10"/>
      <color theme="1"/>
      <name val="Calibri"/>
      <family val="2"/>
      <scheme val="minor"/>
    </font>
    <font>
      <sz val="10"/>
      <color rgb="FF002060"/>
      <name val="Calibri"/>
      <family val="2"/>
      <scheme val="minor"/>
    </font>
    <font>
      <sz val="10"/>
      <color rgb="FF000000"/>
      <name val="Calibri"/>
      <family val="2"/>
      <scheme val="minor"/>
    </font>
    <font>
      <sz val="10"/>
      <color rgb="FF000000"/>
      <name val="Arial"/>
      <family val="2"/>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3">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0" fillId="3" borderId="0" xfId="0"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49" fontId="4" fillId="4" borderId="0" xfId="0" applyNumberFormat="1" applyFont="1" applyFill="1" applyBorder="1" applyAlignment="1">
      <alignment vertical="center"/>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4" borderId="0" xfId="0" applyFont="1" applyFill="1" applyBorder="1" applyAlignment="1">
      <alignment horizontal="left" vertical="center" indent="1"/>
    </xf>
    <xf numFmtId="0" fontId="3" fillId="8" borderId="0" xfId="0" applyFont="1" applyFill="1" applyBorder="1" applyAlignment="1">
      <alignment horizontal="left" vertical="center" indent="1"/>
    </xf>
    <xf numFmtId="0" fontId="5" fillId="4" borderId="0" xfId="0" applyFont="1" applyFill="1" applyBorder="1" applyAlignment="1">
      <alignment horizontal="left" vertical="top"/>
    </xf>
    <xf numFmtId="0" fontId="3" fillId="8" borderId="0" xfId="0" applyFont="1" applyFill="1" applyBorder="1" applyAlignment="1">
      <alignment horizontal="left" vertical="top"/>
    </xf>
    <xf numFmtId="0" fontId="6" fillId="0" borderId="0" xfId="0" applyFont="1" applyBorder="1" applyAlignment="1">
      <alignment horizontal="left" vertical="center" indent="1"/>
    </xf>
    <xf numFmtId="0" fontId="7" fillId="0" borderId="0" xfId="0" applyFont="1" applyBorder="1" applyAlignment="1">
      <alignment horizontal="left" vertical="top" indent="1"/>
    </xf>
    <xf numFmtId="49" fontId="6" fillId="0" borderId="0" xfId="0" applyNumberFormat="1" applyFont="1" applyBorder="1" applyAlignment="1">
      <alignment vertical="center"/>
    </xf>
    <xf numFmtId="0" fontId="6" fillId="0" borderId="1" xfId="0" applyFont="1" applyAlignment="1">
      <alignment horizontal="left" vertical="center" indent="1"/>
    </xf>
    <xf numFmtId="0" fontId="8" fillId="0" borderId="1" xfId="0" applyFont="1" applyAlignment="1">
      <alignment horizontal="left" vertical="center" indent="1"/>
    </xf>
    <xf numFmtId="10" fontId="6" fillId="0" borderId="1" xfId="0" applyNumberFormat="1" applyFont="1" applyAlignment="1">
      <alignment horizontal="left" vertical="center" indent="1"/>
    </xf>
    <xf numFmtId="0" fontId="6" fillId="0" borderId="1" xfId="0" applyFont="1" applyAlignment="1">
      <alignment horizontal="left" indent="1"/>
    </xf>
    <xf numFmtId="0" fontId="9" fillId="0" borderId="1" xfId="0" applyFont="1" applyAlignment="1">
      <alignment horizontal="left"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hiny/Downloads/HCG_004_Data%20Extraction_Image%20Sourcing_SX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sheetData sheetId="1">
        <row r="2">
          <cell r="Q2">
            <v>184</v>
          </cell>
        </row>
        <row r="3">
          <cell r="Q3">
            <v>534</v>
          </cell>
        </row>
        <row r="4">
          <cell r="Q4">
            <v>189</v>
          </cell>
        </row>
        <row r="5">
          <cell r="Q5">
            <v>120</v>
          </cell>
        </row>
        <row r="6">
          <cell r="Q6">
            <v>532</v>
          </cell>
        </row>
        <row r="7">
          <cell r="Q7">
            <v>91</v>
          </cell>
        </row>
        <row r="8">
          <cell r="Q8">
            <v>92</v>
          </cell>
        </row>
        <row r="9">
          <cell r="Q9">
            <v>175</v>
          </cell>
        </row>
        <row r="10">
          <cell r="Q10">
            <v>93</v>
          </cell>
        </row>
        <row r="11">
          <cell r="Q11">
            <v>166</v>
          </cell>
        </row>
        <row r="12">
          <cell r="Q12">
            <v>441</v>
          </cell>
        </row>
        <row r="13">
          <cell r="Q13">
            <v>102</v>
          </cell>
        </row>
        <row r="14">
          <cell r="Q14">
            <v>9</v>
          </cell>
        </row>
        <row r="15">
          <cell r="Q15">
            <v>185</v>
          </cell>
        </row>
        <row r="16">
          <cell r="Q16">
            <v>509</v>
          </cell>
        </row>
        <row r="17">
          <cell r="Q17">
            <v>119</v>
          </cell>
        </row>
        <row r="18">
          <cell r="Q18">
            <v>547</v>
          </cell>
        </row>
        <row r="19">
          <cell r="Q19">
            <v>548</v>
          </cell>
        </row>
        <row r="20">
          <cell r="Q20">
            <v>559</v>
          </cell>
        </row>
        <row r="21">
          <cell r="Q21">
            <v>183</v>
          </cell>
        </row>
        <row r="22">
          <cell r="Q22">
            <v>167</v>
          </cell>
        </row>
        <row r="23">
          <cell r="Q23">
            <v>464</v>
          </cell>
        </row>
        <row r="24">
          <cell r="Q24">
            <v>463</v>
          </cell>
        </row>
        <row r="25">
          <cell r="Q25">
            <v>556</v>
          </cell>
        </row>
        <row r="26">
          <cell r="Q26">
            <v>545</v>
          </cell>
        </row>
        <row r="27">
          <cell r="Q27">
            <v>94</v>
          </cell>
        </row>
        <row r="28">
          <cell r="Q28">
            <v>95</v>
          </cell>
        </row>
        <row r="29">
          <cell r="Q29">
            <v>549</v>
          </cell>
        </row>
        <row r="30">
          <cell r="Q30">
            <v>550</v>
          </cell>
        </row>
        <row r="31">
          <cell r="Q31">
            <v>551</v>
          </cell>
        </row>
        <row r="32">
          <cell r="Q32">
            <v>3</v>
          </cell>
        </row>
        <row r="33">
          <cell r="Q33">
            <v>96</v>
          </cell>
        </row>
        <row r="34">
          <cell r="Q34">
            <v>455</v>
          </cell>
        </row>
        <row r="35">
          <cell r="Q35">
            <v>510</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35"/>
  <sheetViews>
    <sheetView tabSelected="1" topLeftCell="BN10" workbookViewId="0">
      <selection activeCell="BW27" sqref="BW27"/>
    </sheetView>
  </sheetViews>
  <sheetFormatPr defaultColWidth="9.140625" defaultRowHeight="12" x14ac:dyDescent="0.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9.140625" style="1" customWidth="1"/>
    <col min="17" max="17" width="5.7109375" style="1" customWidth="1"/>
    <col min="18" max="18" width="19" style="1" customWidth="1"/>
    <col min="19" max="19" width="37.140625" style="1" customWidth="1"/>
    <col min="20" max="20" width="40.85546875" style="1" customWidth="1"/>
    <col min="21" max="21" width="12.7109375" style="1" customWidth="1"/>
    <col min="22" max="22" width="43.28515625" style="1" customWidth="1"/>
    <col min="23" max="23" width="19.140625" style="1" customWidth="1"/>
    <col min="24" max="24" width="46.5703125" style="1" customWidth="1"/>
    <col min="25" max="25" width="26.140625" style="1" customWidth="1"/>
    <col min="26" max="26" width="10.85546875" style="1" customWidth="1"/>
    <col min="27" max="27" width="18.85546875" style="1" customWidth="1"/>
    <col min="28" max="28" width="27" style="1" customWidth="1"/>
    <col min="29" max="29" width="31.5703125" style="1" customWidth="1"/>
    <col min="30" max="30" width="27" style="1" customWidth="1"/>
    <col min="31" max="31" width="17" style="1" customWidth="1"/>
    <col min="32" max="32" width="27" style="1" customWidth="1"/>
    <col min="33" max="33" width="21.28515625" style="1" customWidth="1"/>
    <col min="34" max="34" width="9" style="1" customWidth="1"/>
    <col min="35" max="35" width="10.5703125" style="1" customWidth="1"/>
    <col min="36" max="36" width="6.7109375" style="1" customWidth="1"/>
    <col min="37" max="37" width="9" style="1" customWidth="1"/>
    <col min="38" max="38" width="6.28515625" style="1" customWidth="1"/>
    <col min="39" max="39" width="7" style="1" customWidth="1"/>
    <col min="40" max="40" width="12" style="1" customWidth="1"/>
    <col min="41" max="41" width="68" style="1" customWidth="1"/>
    <col min="42" max="42" width="25.42578125" style="1" customWidth="1"/>
    <col min="43" max="43" width="14.28515625" style="1" customWidth="1"/>
    <col min="44" max="44" width="17.140625" style="1" customWidth="1"/>
    <col min="45" max="45" width="21.5703125" style="1" customWidth="1"/>
    <col min="46" max="46" width="21.140625" style="1" customWidth="1"/>
    <col min="47" max="47" width="23.5703125" style="1" customWidth="1"/>
    <col min="48" max="48" width="27" style="1" customWidth="1"/>
    <col min="49" max="49" width="40" style="1" customWidth="1"/>
    <col min="50" max="50" width="19.28515625" style="1" customWidth="1"/>
    <col min="51" max="51" width="20.7109375" style="1" customWidth="1"/>
    <col min="52" max="52" width="22" style="1" customWidth="1"/>
    <col min="53" max="53" width="31.42578125" style="1" customWidth="1"/>
    <col min="54" max="54" width="12.140625" style="1" customWidth="1"/>
    <col min="55" max="55" width="15.7109375" style="1" customWidth="1"/>
    <col min="56" max="56" width="17.140625" style="1" customWidth="1"/>
    <col min="57" max="57" width="14.140625" style="1" customWidth="1"/>
    <col min="58" max="58" width="15.140625" style="1" customWidth="1"/>
    <col min="59" max="59" width="14.5703125" style="1" customWidth="1"/>
    <col min="60" max="60" width="16.42578125" style="1" customWidth="1"/>
    <col min="61" max="61" width="36" style="1" customWidth="1"/>
    <col min="62" max="62" width="16" style="1" customWidth="1"/>
    <col min="63" max="63" width="12" style="1" customWidth="1"/>
    <col min="64" max="64" width="34" style="1" customWidth="1"/>
    <col min="65" max="65" width="13.7109375" style="1" customWidth="1"/>
    <col min="66" max="66" width="17.85546875" style="1" customWidth="1"/>
    <col min="67" max="68" width="14" style="1" customWidth="1"/>
    <col min="69" max="70" width="19.140625" style="1" customWidth="1"/>
    <col min="71" max="71" width="37.5703125" style="1" customWidth="1"/>
    <col min="72" max="72" width="17.85546875" style="1" customWidth="1"/>
    <col min="73" max="73" width="12.42578125" style="1" customWidth="1"/>
    <col min="74" max="74" width="13.42578125" style="1" customWidth="1"/>
    <col min="75" max="75" width="19.85546875" style="1" customWidth="1"/>
    <col min="76" max="76" width="18.5703125" style="1" customWidth="1"/>
    <col min="77" max="77" width="9.140625" style="1" customWidth="1"/>
    <col min="78" max="16384" width="9.140625" style="1"/>
  </cols>
  <sheetData>
    <row r="1" spans="1:76" ht="12" customHeight="1" x14ac:dyDescent="0.25">
      <c r="A1" s="2" t="s">
        <v>127</v>
      </c>
      <c r="B1" s="3" t="s">
        <v>216</v>
      </c>
      <c r="C1" s="2" t="s">
        <v>168</v>
      </c>
      <c r="D1" s="2" t="s">
        <v>200</v>
      </c>
      <c r="E1" s="2" t="s">
        <v>183</v>
      </c>
      <c r="F1" s="2" t="s">
        <v>142</v>
      </c>
      <c r="G1" s="2" t="s">
        <v>161</v>
      </c>
      <c r="H1" s="2" t="s">
        <v>56</v>
      </c>
      <c r="I1" s="2" t="s">
        <v>150</v>
      </c>
      <c r="J1" s="2" t="s">
        <v>189</v>
      </c>
      <c r="K1" s="2" t="s">
        <v>67</v>
      </c>
      <c r="L1" s="4" t="s">
        <v>99</v>
      </c>
      <c r="M1" s="2" t="s">
        <v>233</v>
      </c>
      <c r="N1" s="2" t="s">
        <v>49</v>
      </c>
      <c r="O1" s="2" t="s">
        <v>128</v>
      </c>
      <c r="P1" s="5" t="s">
        <v>14</v>
      </c>
      <c r="Q1" s="6" t="s">
        <v>75</v>
      </c>
      <c r="R1" s="7" t="s">
        <v>184</v>
      </c>
      <c r="S1" s="8" t="s">
        <v>8</v>
      </c>
      <c r="T1" s="7" t="s">
        <v>36</v>
      </c>
      <c r="U1" s="7" t="s">
        <v>208</v>
      </c>
      <c r="V1" s="9" t="s">
        <v>145</v>
      </c>
      <c r="W1" s="7" t="s">
        <v>156</v>
      </c>
      <c r="X1" s="7" t="s">
        <v>215</v>
      </c>
      <c r="Y1" s="7" t="s">
        <v>69</v>
      </c>
      <c r="Z1" s="7" t="s">
        <v>41</v>
      </c>
      <c r="AA1" s="7" t="s">
        <v>258</v>
      </c>
      <c r="AB1" s="10" t="s">
        <v>13</v>
      </c>
      <c r="AC1" s="10" t="s">
        <v>111</v>
      </c>
      <c r="AD1" s="10" t="s">
        <v>260</v>
      </c>
      <c r="AE1" s="10" t="s">
        <v>182</v>
      </c>
      <c r="AF1" s="10" t="s">
        <v>102</v>
      </c>
      <c r="AG1" s="10" t="s">
        <v>47</v>
      </c>
      <c r="AH1" s="11" t="s">
        <v>210</v>
      </c>
      <c r="AI1" s="11" t="s">
        <v>16</v>
      </c>
      <c r="AJ1" s="11" t="s">
        <v>196</v>
      </c>
      <c r="AK1" s="11" t="s">
        <v>140</v>
      </c>
      <c r="AL1" s="11" t="s">
        <v>77</v>
      </c>
      <c r="AM1" s="11" t="s">
        <v>191</v>
      </c>
      <c r="AN1" s="11" t="s">
        <v>211</v>
      </c>
      <c r="AO1" s="11" t="s">
        <v>224</v>
      </c>
      <c r="AP1" s="11" t="s">
        <v>105</v>
      </c>
      <c r="AQ1" s="11" t="s">
        <v>121</v>
      </c>
      <c r="AR1" s="11" t="s">
        <v>228</v>
      </c>
      <c r="AS1" s="11" t="s">
        <v>30</v>
      </c>
      <c r="AT1" s="11" t="s">
        <v>212</v>
      </c>
      <c r="AU1" s="11" t="s">
        <v>25</v>
      </c>
      <c r="AV1" s="11" t="s">
        <v>123</v>
      </c>
      <c r="AW1" s="11" t="s">
        <v>101</v>
      </c>
      <c r="AX1" s="11" t="s">
        <v>261</v>
      </c>
      <c r="AY1" s="11" t="s">
        <v>192</v>
      </c>
      <c r="AZ1" s="11" t="s">
        <v>255</v>
      </c>
      <c r="BA1" s="11" t="s">
        <v>204</v>
      </c>
      <c r="BB1" s="11" t="s">
        <v>60</v>
      </c>
      <c r="BC1" s="11" t="s">
        <v>175</v>
      </c>
      <c r="BD1" s="11" t="s">
        <v>117</v>
      </c>
      <c r="BE1" s="11" t="s">
        <v>83</v>
      </c>
      <c r="BF1" s="11" t="s">
        <v>79</v>
      </c>
      <c r="BG1" s="11" t="s">
        <v>109</v>
      </c>
      <c r="BH1" s="11" t="s">
        <v>181</v>
      </c>
      <c r="BI1" s="11" t="s">
        <v>118</v>
      </c>
      <c r="BJ1" s="11" t="s">
        <v>177</v>
      </c>
      <c r="BK1" s="11" t="s">
        <v>80</v>
      </c>
      <c r="BL1" s="12" t="s">
        <v>202</v>
      </c>
      <c r="BM1" s="13" t="s">
        <v>114</v>
      </c>
      <c r="BN1" s="13" t="s">
        <v>51</v>
      </c>
      <c r="BO1" s="14" t="s">
        <v>100</v>
      </c>
      <c r="BP1" s="14" t="s">
        <v>141</v>
      </c>
      <c r="BQ1" s="14" t="s">
        <v>22</v>
      </c>
      <c r="BR1" s="14" t="s">
        <v>63</v>
      </c>
      <c r="BS1" s="12" t="s">
        <v>2</v>
      </c>
      <c r="BT1" s="11" t="s">
        <v>160</v>
      </c>
      <c r="BU1" s="11" t="s">
        <v>46</v>
      </c>
      <c r="BV1" s="11" t="s">
        <v>219</v>
      </c>
      <c r="BW1" s="1" t="s">
        <v>232</v>
      </c>
      <c r="BX1" s="1" t="s">
        <v>130</v>
      </c>
    </row>
    <row r="2" spans="1:76" ht="12" customHeight="1" x14ac:dyDescent="0.25">
      <c r="A2" s="15" t="s">
        <v>262</v>
      </c>
      <c r="B2" s="15" t="s">
        <v>154</v>
      </c>
      <c r="C2" s="15" t="s">
        <v>120</v>
      </c>
      <c r="D2" t="s">
        <v>71</v>
      </c>
      <c r="E2"/>
      <c r="F2"/>
      <c r="G2"/>
      <c r="H2"/>
      <c r="I2"/>
      <c r="J2"/>
      <c r="K2"/>
      <c r="L2"/>
      <c r="M2"/>
      <c r="N2"/>
      <c r="O2">
        <f>VLOOKUP(Q2,[1]Sheet2!$Q$2:$Q$35,1,0)</f>
        <v>184</v>
      </c>
      <c r="P2" s="16">
        <v>1399</v>
      </c>
      <c r="Q2" s="15">
        <v>184</v>
      </c>
      <c r="R2" s="15">
        <v>221546</v>
      </c>
      <c r="S2" s="17" t="s">
        <v>70</v>
      </c>
      <c r="T2" s="15" t="s">
        <v>9</v>
      </c>
      <c r="U2" s="15" t="s">
        <v>39</v>
      </c>
      <c r="V2" s="15" t="s">
        <v>203</v>
      </c>
      <c r="W2" s="15" t="s">
        <v>162</v>
      </c>
      <c r="X2" s="15" t="s">
        <v>166</v>
      </c>
      <c r="Y2" s="15" t="s">
        <v>45</v>
      </c>
      <c r="Z2" s="15" t="s">
        <v>18</v>
      </c>
      <c r="AA2" s="15" t="s">
        <v>103</v>
      </c>
      <c r="AB2" s="15"/>
      <c r="AC2" s="15"/>
      <c r="AD2" s="15"/>
      <c r="AE2" s="15"/>
      <c r="AF2" s="15"/>
      <c r="AG2" s="15" t="s">
        <v>169</v>
      </c>
      <c r="AH2" s="18" t="s">
        <v>264</v>
      </c>
      <c r="AI2" s="18" t="s">
        <v>18</v>
      </c>
      <c r="AJ2" s="18" t="s">
        <v>265</v>
      </c>
      <c r="AK2" s="18" t="s">
        <v>266</v>
      </c>
      <c r="AL2" s="18" t="s">
        <v>39</v>
      </c>
      <c r="AM2" s="18" t="s">
        <v>203</v>
      </c>
      <c r="AN2" s="18" t="s">
        <v>267</v>
      </c>
      <c r="AO2" s="19" t="s">
        <v>268</v>
      </c>
      <c r="AP2" s="18" t="s">
        <v>269</v>
      </c>
      <c r="AQ2" s="18" t="s">
        <v>270</v>
      </c>
      <c r="AR2" s="18" t="s">
        <v>271</v>
      </c>
      <c r="AS2" s="18" t="s">
        <v>272</v>
      </c>
      <c r="AT2" s="18" t="s">
        <v>273</v>
      </c>
      <c r="AU2" s="18" t="s">
        <v>274</v>
      </c>
      <c r="AV2" s="18" t="s">
        <v>275</v>
      </c>
      <c r="AW2" s="18" t="s">
        <v>276</v>
      </c>
      <c r="AX2" s="18" t="s">
        <v>277</v>
      </c>
      <c r="AY2" s="18" t="s">
        <v>278</v>
      </c>
      <c r="AZ2" s="18"/>
      <c r="BA2" s="18"/>
      <c r="BB2" s="18" t="s">
        <v>279</v>
      </c>
      <c r="BC2" s="18" t="s">
        <v>280</v>
      </c>
      <c r="BD2" s="18" t="s">
        <v>281</v>
      </c>
      <c r="BE2" s="18"/>
      <c r="BF2" s="18" t="s">
        <v>282</v>
      </c>
      <c r="BG2" s="18" t="s">
        <v>283</v>
      </c>
      <c r="BH2" s="18"/>
      <c r="BI2" s="18" t="s">
        <v>284</v>
      </c>
      <c r="BJ2" s="18" t="s">
        <v>285</v>
      </c>
      <c r="BK2" s="18">
        <v>221546</v>
      </c>
      <c r="BL2" s="18" t="s">
        <v>286</v>
      </c>
      <c r="BM2" s="18" t="s">
        <v>287</v>
      </c>
      <c r="BN2" s="18" t="s">
        <v>287</v>
      </c>
      <c r="BO2"/>
      <c r="BP2"/>
      <c r="BQ2" s="18" t="s">
        <v>288</v>
      </c>
      <c r="BR2"/>
      <c r="BS2" s="15"/>
      <c r="BT2" s="15"/>
      <c r="BU2" s="15"/>
      <c r="BV2"/>
      <c r="BW2" s="1" t="s">
        <v>657</v>
      </c>
    </row>
    <row r="3" spans="1:76" ht="12" customHeight="1" x14ac:dyDescent="0.25">
      <c r="A3" s="15" t="s">
        <v>262</v>
      </c>
      <c r="B3" s="15" t="s">
        <v>154</v>
      </c>
      <c r="C3" s="15" t="s">
        <v>120</v>
      </c>
      <c r="D3" t="s">
        <v>71</v>
      </c>
      <c r="E3"/>
      <c r="F3"/>
      <c r="G3"/>
      <c r="H3"/>
      <c r="I3"/>
      <c r="J3"/>
      <c r="K3"/>
      <c r="L3"/>
      <c r="M3"/>
      <c r="N3"/>
      <c r="O3">
        <f>VLOOKUP(Q3,[1]Sheet2!$Q$2:$Q$35,1,0)</f>
        <v>534</v>
      </c>
      <c r="P3" s="16">
        <v>1749</v>
      </c>
      <c r="Q3" s="15">
        <v>534</v>
      </c>
      <c r="R3" s="15">
        <v>211744</v>
      </c>
      <c r="S3" s="17" t="s">
        <v>57</v>
      </c>
      <c r="T3" s="15" t="s">
        <v>193</v>
      </c>
      <c r="U3" s="15" t="s">
        <v>39</v>
      </c>
      <c r="V3" s="15" t="s">
        <v>91</v>
      </c>
      <c r="W3" s="15" t="s">
        <v>59</v>
      </c>
      <c r="X3" s="15" t="s">
        <v>17</v>
      </c>
      <c r="Y3" s="15" t="s">
        <v>153</v>
      </c>
      <c r="Z3" s="15" t="s">
        <v>28</v>
      </c>
      <c r="AA3" s="15" t="s">
        <v>197</v>
      </c>
      <c r="AB3" s="15"/>
      <c r="AC3" s="15"/>
      <c r="AD3" s="15"/>
      <c r="AE3" s="15"/>
      <c r="AF3" s="15"/>
      <c r="AG3" s="15" t="s">
        <v>169</v>
      </c>
      <c r="AH3" s="18" t="s">
        <v>289</v>
      </c>
      <c r="AI3" s="18" t="s">
        <v>18</v>
      </c>
      <c r="AJ3" s="18" t="s">
        <v>290</v>
      </c>
      <c r="AK3" s="18" t="s">
        <v>291</v>
      </c>
      <c r="AL3" s="18" t="s">
        <v>39</v>
      </c>
      <c r="AM3" s="18" t="s">
        <v>91</v>
      </c>
      <c r="AN3" s="18" t="s">
        <v>17</v>
      </c>
      <c r="AO3" s="19" t="s">
        <v>292</v>
      </c>
      <c r="AP3" s="18"/>
      <c r="AQ3" s="18" t="s">
        <v>293</v>
      </c>
      <c r="AR3" s="18" t="s">
        <v>294</v>
      </c>
      <c r="AS3" s="18"/>
      <c r="AT3" s="18" t="s">
        <v>295</v>
      </c>
      <c r="AU3" s="18" t="s">
        <v>296</v>
      </c>
      <c r="AV3" s="18" t="s">
        <v>297</v>
      </c>
      <c r="AW3" s="18" t="s">
        <v>298</v>
      </c>
      <c r="AX3" s="18" t="s">
        <v>299</v>
      </c>
      <c r="AY3" s="18" t="s">
        <v>300</v>
      </c>
      <c r="AZ3" s="18"/>
      <c r="BA3" s="18"/>
      <c r="BB3" s="18" t="s">
        <v>301</v>
      </c>
      <c r="BC3" s="18" t="s">
        <v>280</v>
      </c>
      <c r="BD3" s="18" t="s">
        <v>281</v>
      </c>
      <c r="BE3" s="18"/>
      <c r="BF3" s="18" t="s">
        <v>282</v>
      </c>
      <c r="BG3" s="18" t="s">
        <v>283</v>
      </c>
      <c r="BH3" s="18"/>
      <c r="BI3" s="18" t="s">
        <v>284</v>
      </c>
      <c r="BJ3" s="18" t="s">
        <v>302</v>
      </c>
      <c r="BK3" s="18">
        <v>211744</v>
      </c>
      <c r="BL3" s="18" t="s">
        <v>303</v>
      </c>
      <c r="BM3" s="18" t="s">
        <v>304</v>
      </c>
      <c r="BN3" s="18" t="s">
        <v>304</v>
      </c>
      <c r="BO3"/>
      <c r="BP3"/>
      <c r="BQ3" s="18" t="s">
        <v>305</v>
      </c>
      <c r="BR3"/>
      <c r="BS3" s="15"/>
      <c r="BT3" s="15"/>
      <c r="BU3" s="15"/>
      <c r="BV3"/>
      <c r="BW3" s="1" t="s">
        <v>657</v>
      </c>
    </row>
    <row r="4" spans="1:76" ht="12" customHeight="1" x14ac:dyDescent="0.25">
      <c r="A4" s="15" t="s">
        <v>262</v>
      </c>
      <c r="B4" s="15" t="s">
        <v>154</v>
      </c>
      <c r="C4" s="15" t="s">
        <v>120</v>
      </c>
      <c r="D4" t="s">
        <v>71</v>
      </c>
      <c r="E4"/>
      <c r="F4"/>
      <c r="G4"/>
      <c r="H4"/>
      <c r="I4"/>
      <c r="J4"/>
      <c r="K4"/>
      <c r="L4"/>
      <c r="M4"/>
      <c r="N4"/>
      <c r="O4">
        <f>VLOOKUP(Q4,[1]Sheet2!$Q$2:$Q$35,1,0)</f>
        <v>189</v>
      </c>
      <c r="P4" s="16">
        <v>1404</v>
      </c>
      <c r="Q4" s="15">
        <v>189</v>
      </c>
      <c r="R4" s="15">
        <v>211759</v>
      </c>
      <c r="S4" s="17" t="s">
        <v>72</v>
      </c>
      <c r="T4" s="15" t="s">
        <v>104</v>
      </c>
      <c r="U4" s="15" t="s">
        <v>226</v>
      </c>
      <c r="V4" s="15" t="s">
        <v>35</v>
      </c>
      <c r="W4" s="15" t="s">
        <v>162</v>
      </c>
      <c r="X4" s="15" t="s">
        <v>65</v>
      </c>
      <c r="Y4" s="15" t="s">
        <v>97</v>
      </c>
      <c r="Z4" s="15" t="s">
        <v>84</v>
      </c>
      <c r="AA4" s="15" t="s">
        <v>151</v>
      </c>
      <c r="AB4" s="15"/>
      <c r="AC4" s="15"/>
      <c r="AD4" s="15"/>
      <c r="AE4" s="15"/>
      <c r="AF4" s="15"/>
      <c r="AG4" s="15" t="s">
        <v>169</v>
      </c>
      <c r="AH4" s="18"/>
      <c r="AI4" s="18" t="s">
        <v>306</v>
      </c>
      <c r="AJ4" s="18" t="s">
        <v>307</v>
      </c>
      <c r="AK4" s="20">
        <v>5.0000000000000001E-4</v>
      </c>
      <c r="AL4" s="18" t="s">
        <v>226</v>
      </c>
      <c r="AM4" s="18" t="s">
        <v>35</v>
      </c>
      <c r="AN4" s="18" t="s">
        <v>308</v>
      </c>
      <c r="AO4" s="19" t="s">
        <v>309</v>
      </c>
      <c r="AP4" s="18" t="s">
        <v>310</v>
      </c>
      <c r="AQ4" s="18" t="s">
        <v>311</v>
      </c>
      <c r="AR4" s="18" t="s">
        <v>312</v>
      </c>
      <c r="AS4" s="18" t="s">
        <v>313</v>
      </c>
      <c r="AT4" s="18" t="s">
        <v>314</v>
      </c>
      <c r="AU4" s="18" t="s">
        <v>315</v>
      </c>
      <c r="AV4" s="18" t="s">
        <v>316</v>
      </c>
      <c r="AW4" s="18" t="s">
        <v>314</v>
      </c>
      <c r="AX4" s="18" t="s">
        <v>314</v>
      </c>
      <c r="AY4" s="18" t="s">
        <v>314</v>
      </c>
      <c r="AZ4" s="18"/>
      <c r="BA4" s="18"/>
      <c r="BB4" s="18" t="s">
        <v>317</v>
      </c>
      <c r="BC4" s="18" t="s">
        <v>280</v>
      </c>
      <c r="BD4" s="18" t="s">
        <v>318</v>
      </c>
      <c r="BE4" s="18"/>
      <c r="BF4" s="18"/>
      <c r="BG4" s="18" t="s">
        <v>319</v>
      </c>
      <c r="BH4" s="18"/>
      <c r="BI4" s="18" t="s">
        <v>320</v>
      </c>
      <c r="BJ4" s="18" t="s">
        <v>321</v>
      </c>
      <c r="BK4" s="18">
        <v>211759</v>
      </c>
      <c r="BL4" s="18" t="s">
        <v>322</v>
      </c>
      <c r="BM4" s="18" t="s">
        <v>323</v>
      </c>
      <c r="BN4" s="18" t="s">
        <v>323</v>
      </c>
      <c r="BO4"/>
      <c r="BP4"/>
      <c r="BQ4" s="18" t="s">
        <v>324</v>
      </c>
      <c r="BR4"/>
      <c r="BS4" s="15"/>
      <c r="BT4" s="15"/>
      <c r="BU4" s="15"/>
      <c r="BV4"/>
      <c r="BW4" s="1" t="s">
        <v>657</v>
      </c>
    </row>
    <row r="5" spans="1:76" ht="12" customHeight="1" x14ac:dyDescent="0.25">
      <c r="A5" s="15" t="s">
        <v>262</v>
      </c>
      <c r="B5" s="15" t="s">
        <v>154</v>
      </c>
      <c r="C5" s="15" t="s">
        <v>120</v>
      </c>
      <c r="D5" t="s">
        <v>71</v>
      </c>
      <c r="E5"/>
      <c r="F5"/>
      <c r="G5"/>
      <c r="H5"/>
      <c r="I5"/>
      <c r="J5"/>
      <c r="K5"/>
      <c r="L5"/>
      <c r="M5"/>
      <c r="N5"/>
      <c r="O5">
        <f>VLOOKUP(Q5,[1]Sheet2!$Q$2:$Q$35,1,0)</f>
        <v>120</v>
      </c>
      <c r="P5" s="16">
        <v>1335</v>
      </c>
      <c r="Q5" s="15">
        <v>120</v>
      </c>
      <c r="R5" s="15">
        <v>217375</v>
      </c>
      <c r="S5" s="17" t="s">
        <v>240</v>
      </c>
      <c r="T5" s="15" t="s">
        <v>50</v>
      </c>
      <c r="U5" s="15" t="s">
        <v>39</v>
      </c>
      <c r="V5" s="15" t="s">
        <v>247</v>
      </c>
      <c r="W5" s="15" t="s">
        <v>162</v>
      </c>
      <c r="X5" s="15" t="s">
        <v>241</v>
      </c>
      <c r="Y5" s="15" t="s">
        <v>174</v>
      </c>
      <c r="Z5" s="15" t="s">
        <v>84</v>
      </c>
      <c r="AA5" s="15" t="s">
        <v>21</v>
      </c>
      <c r="AB5" s="15"/>
      <c r="AC5" s="15"/>
      <c r="AD5" s="15"/>
      <c r="AE5" s="15"/>
      <c r="AF5" s="15"/>
      <c r="AG5" s="15" t="s">
        <v>169</v>
      </c>
      <c r="AH5" s="18"/>
      <c r="AI5" s="18" t="s">
        <v>18</v>
      </c>
      <c r="AJ5" s="18" t="s">
        <v>325</v>
      </c>
      <c r="AK5" s="18" t="s">
        <v>326</v>
      </c>
      <c r="AL5" s="18" t="s">
        <v>39</v>
      </c>
      <c r="AM5" s="18" t="s">
        <v>247</v>
      </c>
      <c r="AN5" s="18" t="s">
        <v>327</v>
      </c>
      <c r="AO5" s="19" t="s">
        <v>328</v>
      </c>
      <c r="AP5" s="18" t="s">
        <v>329</v>
      </c>
      <c r="AQ5" s="18" t="s">
        <v>330</v>
      </c>
      <c r="AR5" s="18" t="s">
        <v>331</v>
      </c>
      <c r="AS5" s="18"/>
      <c r="AT5" s="18" t="s">
        <v>332</v>
      </c>
      <c r="AU5" s="18" t="s">
        <v>333</v>
      </c>
      <c r="AV5" s="18" t="s">
        <v>316</v>
      </c>
      <c r="AW5" s="18" t="s">
        <v>333</v>
      </c>
      <c r="AX5" s="18" t="s">
        <v>333</v>
      </c>
      <c r="AY5" s="18" t="s">
        <v>333</v>
      </c>
      <c r="AZ5" s="18"/>
      <c r="BA5" s="18"/>
      <c r="BB5" s="18" t="s">
        <v>334</v>
      </c>
      <c r="BC5" s="18" t="s">
        <v>280</v>
      </c>
      <c r="BD5" s="18" t="s">
        <v>281</v>
      </c>
      <c r="BE5" s="18"/>
      <c r="BF5" s="18" t="s">
        <v>282</v>
      </c>
      <c r="BG5" s="18"/>
      <c r="BH5" s="18"/>
      <c r="BI5" s="18"/>
      <c r="BJ5" s="18"/>
      <c r="BK5" s="18">
        <v>217375</v>
      </c>
      <c r="BL5" s="18" t="s">
        <v>335</v>
      </c>
      <c r="BM5" s="18" t="s">
        <v>336</v>
      </c>
      <c r="BN5" s="18" t="s">
        <v>336</v>
      </c>
      <c r="BO5"/>
      <c r="BP5"/>
      <c r="BQ5" s="18" t="s">
        <v>337</v>
      </c>
      <c r="BR5"/>
      <c r="BS5" s="15"/>
      <c r="BT5" s="15"/>
      <c r="BU5" s="15"/>
      <c r="BV5"/>
      <c r="BW5" s="1" t="s">
        <v>657</v>
      </c>
    </row>
    <row r="6" spans="1:76" ht="12" customHeight="1" x14ac:dyDescent="0.25">
      <c r="A6" s="15" t="s">
        <v>262</v>
      </c>
      <c r="B6" s="15" t="s">
        <v>154</v>
      </c>
      <c r="C6" s="15" t="s">
        <v>120</v>
      </c>
      <c r="D6" t="s">
        <v>71</v>
      </c>
      <c r="E6"/>
      <c r="F6"/>
      <c r="G6"/>
      <c r="H6"/>
      <c r="I6"/>
      <c r="J6"/>
      <c r="K6"/>
      <c r="L6"/>
      <c r="M6"/>
      <c r="N6"/>
      <c r="O6">
        <f>VLOOKUP(Q6,[1]Sheet2!$Q$2:$Q$35,1,0)</f>
        <v>532</v>
      </c>
      <c r="P6" s="16">
        <v>1747</v>
      </c>
      <c r="Q6" s="15">
        <v>532</v>
      </c>
      <c r="R6" s="15">
        <v>216830</v>
      </c>
      <c r="S6" s="17" t="s">
        <v>1</v>
      </c>
      <c r="T6" s="15" t="s">
        <v>112</v>
      </c>
      <c r="U6" s="15" t="s">
        <v>39</v>
      </c>
      <c r="V6" s="15" t="s">
        <v>172</v>
      </c>
      <c r="W6" s="15" t="s">
        <v>89</v>
      </c>
      <c r="X6" s="15" t="s">
        <v>263</v>
      </c>
      <c r="Y6" s="15" t="s">
        <v>163</v>
      </c>
      <c r="Z6" s="15" t="s">
        <v>28</v>
      </c>
      <c r="AA6" s="15" t="s">
        <v>108</v>
      </c>
      <c r="AB6" s="15"/>
      <c r="AC6" s="15"/>
      <c r="AD6" s="15"/>
      <c r="AE6" s="15"/>
      <c r="AF6" s="15"/>
      <c r="AG6" s="15" t="s">
        <v>169</v>
      </c>
      <c r="AH6" s="18" t="s">
        <v>289</v>
      </c>
      <c r="AI6" s="18" t="s">
        <v>18</v>
      </c>
      <c r="AJ6" s="18" t="s">
        <v>338</v>
      </c>
      <c r="AK6" s="18" t="s">
        <v>339</v>
      </c>
      <c r="AL6" s="18" t="s">
        <v>39</v>
      </c>
      <c r="AM6" s="18" t="s">
        <v>172</v>
      </c>
      <c r="AN6" s="18" t="s">
        <v>340</v>
      </c>
      <c r="AO6" s="19" t="s">
        <v>341</v>
      </c>
      <c r="AP6" s="18" t="s">
        <v>342</v>
      </c>
      <c r="AQ6" s="18" t="s">
        <v>343</v>
      </c>
      <c r="AR6" s="18" t="s">
        <v>344</v>
      </c>
      <c r="AS6" s="18"/>
      <c r="AT6" s="18" t="s">
        <v>345</v>
      </c>
      <c r="AU6" s="18" t="s">
        <v>346</v>
      </c>
      <c r="AV6" s="18" t="s">
        <v>347</v>
      </c>
      <c r="AW6" s="18" t="s">
        <v>348</v>
      </c>
      <c r="AX6" s="18" t="s">
        <v>347</v>
      </c>
      <c r="AY6" s="18" t="s">
        <v>316</v>
      </c>
      <c r="AZ6" s="18"/>
      <c r="BA6" s="18"/>
      <c r="BB6" s="18" t="s">
        <v>349</v>
      </c>
      <c r="BC6" s="18" t="s">
        <v>280</v>
      </c>
      <c r="BD6" s="18" t="s">
        <v>281</v>
      </c>
      <c r="BE6" s="18"/>
      <c r="BF6" s="18" t="s">
        <v>282</v>
      </c>
      <c r="BG6" s="18" t="s">
        <v>283</v>
      </c>
      <c r="BH6" s="18"/>
      <c r="BI6" s="18" t="s">
        <v>284</v>
      </c>
      <c r="BJ6" s="18" t="s">
        <v>350</v>
      </c>
      <c r="BK6" s="18">
        <v>216830</v>
      </c>
      <c r="BL6" s="18" t="s">
        <v>351</v>
      </c>
      <c r="BM6" s="18" t="s">
        <v>352</v>
      </c>
      <c r="BN6" s="18" t="s">
        <v>352</v>
      </c>
      <c r="BO6"/>
      <c r="BP6"/>
      <c r="BQ6" s="18" t="s">
        <v>353</v>
      </c>
      <c r="BR6"/>
      <c r="BS6" s="15"/>
      <c r="BT6" s="15"/>
      <c r="BU6" s="15"/>
      <c r="BV6"/>
      <c r="BW6" s="1" t="s">
        <v>657</v>
      </c>
    </row>
    <row r="7" spans="1:76" ht="12" customHeight="1" x14ac:dyDescent="0.25">
      <c r="A7" s="15" t="s">
        <v>262</v>
      </c>
      <c r="B7" s="15" t="s">
        <v>154</v>
      </c>
      <c r="C7" s="15" t="s">
        <v>120</v>
      </c>
      <c r="D7" t="s">
        <v>71</v>
      </c>
      <c r="E7"/>
      <c r="F7"/>
      <c r="G7"/>
      <c r="H7"/>
      <c r="I7"/>
      <c r="J7"/>
      <c r="K7"/>
      <c r="L7"/>
      <c r="M7"/>
      <c r="N7"/>
      <c r="O7">
        <f>VLOOKUP(Q7,[1]Sheet2!$Q$2:$Q$35,1,0)</f>
        <v>91</v>
      </c>
      <c r="P7" s="16">
        <v>1306</v>
      </c>
      <c r="Q7" s="15">
        <v>91</v>
      </c>
      <c r="R7" s="15">
        <v>211968</v>
      </c>
      <c r="S7" s="17" t="s">
        <v>136</v>
      </c>
      <c r="T7" s="15" t="s">
        <v>37</v>
      </c>
      <c r="U7" s="15" t="s">
        <v>39</v>
      </c>
      <c r="V7" s="15" t="s">
        <v>40</v>
      </c>
      <c r="W7" s="15" t="s">
        <v>162</v>
      </c>
      <c r="X7" s="15" t="s">
        <v>218</v>
      </c>
      <c r="Y7" s="15" t="s">
        <v>93</v>
      </c>
      <c r="Z7" s="15" t="s">
        <v>84</v>
      </c>
      <c r="AA7" s="15" t="s">
        <v>78</v>
      </c>
      <c r="AB7" s="15"/>
      <c r="AC7" s="15"/>
      <c r="AD7" s="15"/>
      <c r="AE7" s="15"/>
      <c r="AF7" s="15"/>
      <c r="AG7" s="15" t="s">
        <v>169</v>
      </c>
      <c r="AH7" s="18" t="s">
        <v>264</v>
      </c>
      <c r="AI7" s="18" t="s">
        <v>18</v>
      </c>
      <c r="AJ7" s="18" t="s">
        <v>354</v>
      </c>
      <c r="AK7" s="18" t="s">
        <v>355</v>
      </c>
      <c r="AL7" s="18" t="s">
        <v>39</v>
      </c>
      <c r="AM7" s="18" t="s">
        <v>40</v>
      </c>
      <c r="AN7" s="18" t="s">
        <v>218</v>
      </c>
      <c r="AO7" s="19" t="s">
        <v>356</v>
      </c>
      <c r="AP7" s="18" t="s">
        <v>357</v>
      </c>
      <c r="AQ7" s="18" t="s">
        <v>358</v>
      </c>
      <c r="AR7" s="18" t="s">
        <v>359</v>
      </c>
      <c r="AS7" s="18"/>
      <c r="AT7" s="18" t="s">
        <v>360</v>
      </c>
      <c r="AU7" s="18" t="s">
        <v>361</v>
      </c>
      <c r="AV7" s="18" t="s">
        <v>362</v>
      </c>
      <c r="AW7" s="18" t="s">
        <v>360</v>
      </c>
      <c r="AX7" s="18" t="s">
        <v>316</v>
      </c>
      <c r="AY7" s="18" t="s">
        <v>316</v>
      </c>
      <c r="AZ7" s="18"/>
      <c r="BA7" s="18"/>
      <c r="BB7" s="18" t="s">
        <v>363</v>
      </c>
      <c r="BC7" s="18" t="s">
        <v>280</v>
      </c>
      <c r="BD7" s="18" t="s">
        <v>281</v>
      </c>
      <c r="BE7" s="18"/>
      <c r="BF7" s="18" t="s">
        <v>282</v>
      </c>
      <c r="BG7" s="18" t="s">
        <v>283</v>
      </c>
      <c r="BH7" s="18"/>
      <c r="BI7" s="18" t="s">
        <v>284</v>
      </c>
      <c r="BJ7" s="18" t="s">
        <v>364</v>
      </c>
      <c r="BK7" s="18">
        <v>211968</v>
      </c>
      <c r="BL7" s="18" t="s">
        <v>365</v>
      </c>
      <c r="BM7" s="18" t="s">
        <v>366</v>
      </c>
      <c r="BN7" s="18" t="s">
        <v>366</v>
      </c>
      <c r="BO7"/>
      <c r="BP7"/>
      <c r="BQ7" s="18" t="s">
        <v>367</v>
      </c>
      <c r="BR7"/>
      <c r="BS7" s="15"/>
      <c r="BT7" s="15"/>
      <c r="BU7" s="15"/>
      <c r="BV7"/>
      <c r="BW7" s="1" t="s">
        <v>657</v>
      </c>
    </row>
    <row r="8" spans="1:76" ht="12" customHeight="1" x14ac:dyDescent="0.25">
      <c r="A8" s="15" t="s">
        <v>262</v>
      </c>
      <c r="B8" s="15" t="s">
        <v>154</v>
      </c>
      <c r="C8" s="15" t="s">
        <v>120</v>
      </c>
      <c r="D8" t="s">
        <v>71</v>
      </c>
      <c r="E8"/>
      <c r="F8"/>
      <c r="G8"/>
      <c r="H8"/>
      <c r="I8"/>
      <c r="J8"/>
      <c r="K8"/>
      <c r="L8"/>
      <c r="M8"/>
      <c r="N8"/>
      <c r="O8">
        <f>VLOOKUP(Q8,[1]Sheet2!$Q$2:$Q$35,1,0)</f>
        <v>92</v>
      </c>
      <c r="P8" s="16">
        <v>1307</v>
      </c>
      <c r="Q8" s="15">
        <v>92</v>
      </c>
      <c r="R8" s="15">
        <v>212010</v>
      </c>
      <c r="S8" s="17" t="s">
        <v>3</v>
      </c>
      <c r="T8" s="15" t="s">
        <v>7</v>
      </c>
      <c r="U8" s="15" t="s">
        <v>209</v>
      </c>
      <c r="V8" s="15" t="s">
        <v>176</v>
      </c>
      <c r="W8" s="15" t="s">
        <v>162</v>
      </c>
      <c r="X8" s="15" t="s">
        <v>238</v>
      </c>
      <c r="Y8" s="15" t="s">
        <v>217</v>
      </c>
      <c r="Z8" s="15" t="s">
        <v>84</v>
      </c>
      <c r="AA8" s="15" t="s">
        <v>225</v>
      </c>
      <c r="AB8" s="15"/>
      <c r="AC8" s="15"/>
      <c r="AD8" s="15"/>
      <c r="AE8" s="15"/>
      <c r="AF8" s="15"/>
      <c r="AG8" s="15" t="s">
        <v>169</v>
      </c>
      <c r="AH8" s="18"/>
      <c r="AI8" s="18"/>
      <c r="AJ8" s="18" t="s">
        <v>368</v>
      </c>
      <c r="AK8" s="18" t="s">
        <v>355</v>
      </c>
      <c r="AL8" s="18" t="s">
        <v>369</v>
      </c>
      <c r="AM8" s="18" t="s">
        <v>162</v>
      </c>
      <c r="AN8" s="18" t="s">
        <v>370</v>
      </c>
      <c r="AO8" s="19" t="s">
        <v>371</v>
      </c>
      <c r="AP8" s="18" t="s">
        <v>372</v>
      </c>
      <c r="AQ8" s="18" t="s">
        <v>373</v>
      </c>
      <c r="AR8" s="18" t="s">
        <v>374</v>
      </c>
      <c r="AS8" s="18"/>
      <c r="AT8" s="18" t="s">
        <v>348</v>
      </c>
      <c r="AU8" s="18" t="s">
        <v>360</v>
      </c>
      <c r="AV8" s="18" t="s">
        <v>316</v>
      </c>
      <c r="AW8" s="18" t="s">
        <v>314</v>
      </c>
      <c r="AX8" s="18" t="s">
        <v>314</v>
      </c>
      <c r="AY8" s="18" t="s">
        <v>314</v>
      </c>
      <c r="AZ8" s="18"/>
      <c r="BA8" s="18"/>
      <c r="BB8" s="18" t="s">
        <v>225</v>
      </c>
      <c r="BC8" s="18" t="s">
        <v>280</v>
      </c>
      <c r="BD8" s="18" t="s">
        <v>375</v>
      </c>
      <c r="BE8" s="18"/>
      <c r="BF8" s="18"/>
      <c r="BG8" s="18"/>
      <c r="BH8" s="18"/>
      <c r="BI8" s="18"/>
      <c r="BJ8" s="18"/>
      <c r="BK8" s="18">
        <v>212010</v>
      </c>
      <c r="BL8" s="18" t="s">
        <v>376</v>
      </c>
      <c r="BM8" s="18" t="s">
        <v>377</v>
      </c>
      <c r="BN8" s="18" t="s">
        <v>377</v>
      </c>
      <c r="BO8"/>
      <c r="BP8"/>
      <c r="BQ8" s="18" t="s">
        <v>378</v>
      </c>
      <c r="BR8"/>
      <c r="BS8" s="15"/>
      <c r="BT8" s="15"/>
      <c r="BU8" s="15"/>
      <c r="BV8"/>
      <c r="BW8" s="1" t="s">
        <v>657</v>
      </c>
    </row>
    <row r="9" spans="1:76" ht="12" customHeight="1" x14ac:dyDescent="0.25">
      <c r="A9" s="15" t="s">
        <v>262</v>
      </c>
      <c r="B9" s="15" t="s">
        <v>154</v>
      </c>
      <c r="C9" s="15" t="s">
        <v>120</v>
      </c>
      <c r="D9" t="s">
        <v>71</v>
      </c>
      <c r="E9"/>
      <c r="F9"/>
      <c r="G9"/>
      <c r="H9"/>
      <c r="I9"/>
      <c r="J9"/>
      <c r="K9"/>
      <c r="L9"/>
      <c r="M9"/>
      <c r="N9"/>
      <c r="O9">
        <f>VLOOKUP(Q9,[1]Sheet2!$Q$2:$Q$35,1,0)</f>
        <v>175</v>
      </c>
      <c r="P9" s="16">
        <v>1390</v>
      </c>
      <c r="Q9" s="15">
        <v>175</v>
      </c>
      <c r="R9" s="15">
        <v>218577</v>
      </c>
      <c r="S9" s="17" t="s">
        <v>157</v>
      </c>
      <c r="T9" s="15" t="s">
        <v>250</v>
      </c>
      <c r="U9" s="15" t="s">
        <v>138</v>
      </c>
      <c r="V9" s="15" t="s">
        <v>172</v>
      </c>
      <c r="W9" s="15" t="s">
        <v>162</v>
      </c>
      <c r="X9" s="15" t="s">
        <v>87</v>
      </c>
      <c r="Y9" s="15" t="s">
        <v>186</v>
      </c>
      <c r="Z9" s="15" t="s">
        <v>18</v>
      </c>
      <c r="AA9" s="15" t="s">
        <v>31</v>
      </c>
      <c r="AB9" s="15"/>
      <c r="AC9" s="15"/>
      <c r="AD9" s="15"/>
      <c r="AE9" s="15"/>
      <c r="AF9" s="15"/>
      <c r="AG9" s="15" t="s">
        <v>169</v>
      </c>
      <c r="AH9" s="18" t="s">
        <v>379</v>
      </c>
      <c r="AI9" s="18" t="s">
        <v>18</v>
      </c>
      <c r="AJ9" s="18" t="s">
        <v>380</v>
      </c>
      <c r="AK9" s="18" t="s">
        <v>381</v>
      </c>
      <c r="AL9" s="18" t="s">
        <v>138</v>
      </c>
      <c r="AM9" s="18" t="s">
        <v>162</v>
      </c>
      <c r="AN9" s="18" t="s">
        <v>382</v>
      </c>
      <c r="AO9" s="19" t="s">
        <v>383</v>
      </c>
      <c r="AP9" s="18"/>
      <c r="AQ9" s="18" t="s">
        <v>384</v>
      </c>
      <c r="AR9" s="18" t="s">
        <v>385</v>
      </c>
      <c r="AS9" s="18"/>
      <c r="AT9" s="18" t="s">
        <v>360</v>
      </c>
      <c r="AU9" s="18" t="s">
        <v>360</v>
      </c>
      <c r="AV9" s="18" t="s">
        <v>333</v>
      </c>
      <c r="AW9" s="18" t="s">
        <v>360</v>
      </c>
      <c r="AX9" s="18" t="s">
        <v>333</v>
      </c>
      <c r="AY9" s="18" t="s">
        <v>333</v>
      </c>
      <c r="AZ9" s="18"/>
      <c r="BA9" s="18"/>
      <c r="BB9" s="18" t="s">
        <v>386</v>
      </c>
      <c r="BC9" s="18" t="s">
        <v>280</v>
      </c>
      <c r="BD9" s="18" t="s">
        <v>281</v>
      </c>
      <c r="BE9" s="18"/>
      <c r="BF9" s="18" t="s">
        <v>282</v>
      </c>
      <c r="BG9" s="18"/>
      <c r="BH9" s="18"/>
      <c r="BI9" s="18"/>
      <c r="BJ9" s="18"/>
      <c r="BK9" s="18">
        <v>218577</v>
      </c>
      <c r="BL9" s="18" t="s">
        <v>387</v>
      </c>
      <c r="BM9" s="18" t="s">
        <v>388</v>
      </c>
      <c r="BN9" s="18" t="s">
        <v>389</v>
      </c>
      <c r="BO9"/>
      <c r="BP9"/>
      <c r="BQ9" s="18" t="s">
        <v>390</v>
      </c>
      <c r="BR9"/>
      <c r="BS9" s="15"/>
      <c r="BT9" s="15"/>
      <c r="BU9" s="15"/>
      <c r="BV9"/>
      <c r="BW9" s="1" t="s">
        <v>657</v>
      </c>
    </row>
    <row r="10" spans="1:76" ht="12" customHeight="1" x14ac:dyDescent="0.25">
      <c r="A10" s="15" t="s">
        <v>262</v>
      </c>
      <c r="B10" s="15" t="s">
        <v>154</v>
      </c>
      <c r="C10" s="15" t="s">
        <v>120</v>
      </c>
      <c r="D10" t="s">
        <v>71</v>
      </c>
      <c r="E10"/>
      <c r="F10"/>
      <c r="G10"/>
      <c r="H10"/>
      <c r="I10"/>
      <c r="J10"/>
      <c r="K10"/>
      <c r="L10"/>
      <c r="M10"/>
      <c r="N10"/>
      <c r="O10">
        <f>VLOOKUP(Q10,[1]Sheet2!$Q$2:$Q$35,1,0)</f>
        <v>93</v>
      </c>
      <c r="P10" s="16">
        <v>1308</v>
      </c>
      <c r="Q10" s="15">
        <v>93</v>
      </c>
      <c r="R10" s="15">
        <v>212066</v>
      </c>
      <c r="S10" s="17" t="s">
        <v>5</v>
      </c>
      <c r="T10" s="15" t="s">
        <v>205</v>
      </c>
      <c r="U10" s="15" t="s">
        <v>12</v>
      </c>
      <c r="V10" s="15" t="s">
        <v>247</v>
      </c>
      <c r="W10" s="15" t="s">
        <v>162</v>
      </c>
      <c r="X10" s="15" t="s">
        <v>194</v>
      </c>
      <c r="Y10" s="15" t="s">
        <v>246</v>
      </c>
      <c r="Z10" s="15" t="s">
        <v>84</v>
      </c>
      <c r="AA10" s="15" t="s">
        <v>223</v>
      </c>
      <c r="AB10" s="15"/>
      <c r="AC10" s="15"/>
      <c r="AD10" s="15"/>
      <c r="AE10" s="15"/>
      <c r="AF10" s="15"/>
      <c r="AG10" s="15" t="s">
        <v>169</v>
      </c>
      <c r="AH10" s="18"/>
      <c r="AI10" s="18" t="s">
        <v>391</v>
      </c>
      <c r="AJ10" s="18" t="s">
        <v>392</v>
      </c>
      <c r="AK10" s="18" t="s">
        <v>393</v>
      </c>
      <c r="AL10" s="18" t="s">
        <v>394</v>
      </c>
      <c r="AM10" s="18" t="s">
        <v>247</v>
      </c>
      <c r="AN10" s="18" t="s">
        <v>395</v>
      </c>
      <c r="AO10" s="19" t="s">
        <v>396</v>
      </c>
      <c r="AP10" s="18"/>
      <c r="AQ10" s="18" t="s">
        <v>397</v>
      </c>
      <c r="AR10" s="18" t="s">
        <v>398</v>
      </c>
      <c r="AS10" s="18"/>
      <c r="AT10" s="18" t="s">
        <v>360</v>
      </c>
      <c r="AU10" s="18" t="s">
        <v>333</v>
      </c>
      <c r="AV10" s="18" t="s">
        <v>333</v>
      </c>
      <c r="AW10" s="18"/>
      <c r="AX10" s="18" t="s">
        <v>333</v>
      </c>
      <c r="AY10" s="18" t="s">
        <v>333</v>
      </c>
      <c r="AZ10" s="18" t="s">
        <v>399</v>
      </c>
      <c r="BA10" s="18"/>
      <c r="BB10" s="18" t="s">
        <v>223</v>
      </c>
      <c r="BC10" s="18" t="s">
        <v>280</v>
      </c>
      <c r="BD10" s="18"/>
      <c r="BE10" s="18"/>
      <c r="BF10" s="18" t="s">
        <v>282</v>
      </c>
      <c r="BG10" s="18" t="s">
        <v>400</v>
      </c>
      <c r="BH10" s="18"/>
      <c r="BI10" s="18" t="s">
        <v>320</v>
      </c>
      <c r="BJ10" s="18" t="s">
        <v>401</v>
      </c>
      <c r="BK10" s="18">
        <v>212066</v>
      </c>
      <c r="BL10" s="18" t="s">
        <v>402</v>
      </c>
      <c r="BM10" s="18" t="s">
        <v>403</v>
      </c>
      <c r="BN10" s="18" t="s">
        <v>401</v>
      </c>
      <c r="BO10"/>
      <c r="BP10"/>
      <c r="BQ10" s="21" t="s">
        <v>404</v>
      </c>
      <c r="BR10"/>
      <c r="BS10" s="15"/>
      <c r="BT10" s="15"/>
      <c r="BU10" s="15"/>
      <c r="BV10"/>
      <c r="BW10" s="1" t="s">
        <v>657</v>
      </c>
    </row>
    <row r="11" spans="1:76" ht="12" customHeight="1" x14ac:dyDescent="0.25">
      <c r="A11" s="15" t="s">
        <v>262</v>
      </c>
      <c r="B11" s="15" t="s">
        <v>154</v>
      </c>
      <c r="C11" s="15" t="s">
        <v>120</v>
      </c>
      <c r="D11" t="s">
        <v>71</v>
      </c>
      <c r="E11"/>
      <c r="F11"/>
      <c r="G11"/>
      <c r="H11"/>
      <c r="I11"/>
      <c r="J11"/>
      <c r="K11"/>
      <c r="L11"/>
      <c r="M11"/>
      <c r="N11"/>
      <c r="O11">
        <f>VLOOKUP(Q11,[1]Sheet2!$Q$2:$Q$35,1,0)</f>
        <v>166</v>
      </c>
      <c r="P11" s="16">
        <v>1381</v>
      </c>
      <c r="Q11" s="15">
        <v>166</v>
      </c>
      <c r="R11" s="15">
        <v>212136</v>
      </c>
      <c r="S11" s="17" t="s">
        <v>171</v>
      </c>
      <c r="T11" s="15" t="s">
        <v>190</v>
      </c>
      <c r="U11" s="15" t="s">
        <v>39</v>
      </c>
      <c r="V11" s="15" t="s">
        <v>11</v>
      </c>
      <c r="W11" s="15" t="s">
        <v>162</v>
      </c>
      <c r="X11" s="15" t="s">
        <v>254</v>
      </c>
      <c r="Y11" s="15" t="s">
        <v>4</v>
      </c>
      <c r="Z11" s="15" t="s">
        <v>18</v>
      </c>
      <c r="AA11" s="15" t="s">
        <v>78</v>
      </c>
      <c r="AB11" s="15"/>
      <c r="AC11" s="15"/>
      <c r="AD11" s="15"/>
      <c r="AE11" s="15"/>
      <c r="AF11" s="15"/>
      <c r="AG11" s="15" t="s">
        <v>169</v>
      </c>
      <c r="AH11" s="18" t="s">
        <v>264</v>
      </c>
      <c r="AI11" s="18" t="s">
        <v>18</v>
      </c>
      <c r="AJ11" s="18" t="s">
        <v>405</v>
      </c>
      <c r="AK11" s="18" t="s">
        <v>406</v>
      </c>
      <c r="AL11" s="18" t="s">
        <v>39</v>
      </c>
      <c r="AM11" s="18" t="s">
        <v>11</v>
      </c>
      <c r="AN11" s="18" t="s">
        <v>254</v>
      </c>
      <c r="AO11" s="19" t="s">
        <v>407</v>
      </c>
      <c r="AP11" s="18" t="s">
        <v>408</v>
      </c>
      <c r="AQ11" s="18" t="s">
        <v>409</v>
      </c>
      <c r="AR11" s="18" t="s">
        <v>410</v>
      </c>
      <c r="AS11" s="18"/>
      <c r="AT11" s="18" t="s">
        <v>333</v>
      </c>
      <c r="AU11" s="18" t="s">
        <v>411</v>
      </c>
      <c r="AV11" s="18" t="s">
        <v>411</v>
      </c>
      <c r="AW11" s="18" t="s">
        <v>360</v>
      </c>
      <c r="AX11" s="18" t="s">
        <v>333</v>
      </c>
      <c r="AY11" s="18" t="s">
        <v>411</v>
      </c>
      <c r="AZ11" s="18"/>
      <c r="BA11" s="18"/>
      <c r="BB11" s="18" t="s">
        <v>412</v>
      </c>
      <c r="BC11" s="18" t="s">
        <v>280</v>
      </c>
      <c r="BD11" s="18" t="s">
        <v>281</v>
      </c>
      <c r="BE11" s="18"/>
      <c r="BF11" s="18" t="s">
        <v>282</v>
      </c>
      <c r="BG11" s="18" t="s">
        <v>283</v>
      </c>
      <c r="BH11" s="18"/>
      <c r="BI11" s="18" t="s">
        <v>284</v>
      </c>
      <c r="BJ11" s="18" t="s">
        <v>413</v>
      </c>
      <c r="BK11" s="18">
        <v>212136</v>
      </c>
      <c r="BL11" s="18" t="s">
        <v>414</v>
      </c>
      <c r="BM11" s="18" t="s">
        <v>415</v>
      </c>
      <c r="BN11" s="18" t="s">
        <v>415</v>
      </c>
      <c r="BO11"/>
      <c r="BP11"/>
      <c r="BQ11" s="21" t="s">
        <v>416</v>
      </c>
      <c r="BR11"/>
      <c r="BS11" s="15"/>
      <c r="BT11" s="15"/>
      <c r="BU11" s="15"/>
      <c r="BV11"/>
      <c r="BW11" s="1" t="s">
        <v>657</v>
      </c>
    </row>
    <row r="12" spans="1:76" ht="12" customHeight="1" x14ac:dyDescent="0.25">
      <c r="A12" s="15" t="s">
        <v>262</v>
      </c>
      <c r="B12" s="15" t="s">
        <v>154</v>
      </c>
      <c r="C12" s="15" t="s">
        <v>120</v>
      </c>
      <c r="D12" t="s">
        <v>71</v>
      </c>
      <c r="E12"/>
      <c r="F12"/>
      <c r="G12"/>
      <c r="H12"/>
      <c r="I12"/>
      <c r="J12"/>
      <c r="K12"/>
      <c r="L12"/>
      <c r="M12"/>
      <c r="N12"/>
      <c r="O12">
        <f>VLOOKUP(Q12,[1]Sheet2!$Q$2:$Q$35,1,0)</f>
        <v>441</v>
      </c>
      <c r="P12" s="16">
        <v>1656</v>
      </c>
      <c r="Q12" s="15">
        <v>441</v>
      </c>
      <c r="R12" s="15">
        <v>212137</v>
      </c>
      <c r="S12" s="17" t="s">
        <v>62</v>
      </c>
      <c r="T12" s="15" t="s">
        <v>64</v>
      </c>
      <c r="U12" s="15" t="s">
        <v>39</v>
      </c>
      <c r="V12" s="15" t="s">
        <v>11</v>
      </c>
      <c r="W12" s="15" t="s">
        <v>162</v>
      </c>
      <c r="X12" s="15" t="s">
        <v>122</v>
      </c>
      <c r="Y12" s="15" t="s">
        <v>135</v>
      </c>
      <c r="Z12" s="15" t="s">
        <v>148</v>
      </c>
      <c r="AA12" s="15" t="s">
        <v>78</v>
      </c>
      <c r="AB12" s="15"/>
      <c r="AC12" s="15"/>
      <c r="AD12" s="15"/>
      <c r="AE12" s="15"/>
      <c r="AF12" s="15"/>
      <c r="AG12" s="15" t="s">
        <v>169</v>
      </c>
      <c r="AH12" s="18" t="s">
        <v>264</v>
      </c>
      <c r="AI12" s="18" t="s">
        <v>18</v>
      </c>
      <c r="AJ12" s="18" t="s">
        <v>417</v>
      </c>
      <c r="AK12" s="18" t="s">
        <v>418</v>
      </c>
      <c r="AL12" s="18" t="s">
        <v>39</v>
      </c>
      <c r="AM12" s="18" t="s">
        <v>11</v>
      </c>
      <c r="AN12" s="18" t="s">
        <v>419</v>
      </c>
      <c r="AO12" s="19" t="s">
        <v>420</v>
      </c>
      <c r="AP12" s="18" t="s">
        <v>421</v>
      </c>
      <c r="AQ12" s="18" t="s">
        <v>422</v>
      </c>
      <c r="AR12" s="18" t="s">
        <v>423</v>
      </c>
      <c r="AS12" s="18"/>
      <c r="AT12" s="18" t="s">
        <v>360</v>
      </c>
      <c r="AU12" s="18" t="s">
        <v>333</v>
      </c>
      <c r="AV12" s="18" t="s">
        <v>411</v>
      </c>
      <c r="AW12" s="18" t="s">
        <v>360</v>
      </c>
      <c r="AX12" s="18" t="s">
        <v>333</v>
      </c>
      <c r="AY12" s="18" t="s">
        <v>333</v>
      </c>
      <c r="AZ12" s="18"/>
      <c r="BA12" s="18"/>
      <c r="BB12" s="18" t="s">
        <v>363</v>
      </c>
      <c r="BC12" s="18" t="s">
        <v>280</v>
      </c>
      <c r="BD12" s="18" t="s">
        <v>281</v>
      </c>
      <c r="BE12" s="18"/>
      <c r="BF12" s="18" t="s">
        <v>282</v>
      </c>
      <c r="BG12" s="18" t="s">
        <v>283</v>
      </c>
      <c r="BH12" s="18"/>
      <c r="BI12" s="18" t="s">
        <v>284</v>
      </c>
      <c r="BJ12" s="18" t="s">
        <v>424</v>
      </c>
      <c r="BK12" s="18">
        <v>212137</v>
      </c>
      <c r="BL12" s="18" t="s">
        <v>425</v>
      </c>
      <c r="BM12" s="18" t="s">
        <v>426</v>
      </c>
      <c r="BN12" s="18" t="s">
        <v>426</v>
      </c>
      <c r="BO12"/>
      <c r="BP12"/>
      <c r="BQ12" s="22" t="s">
        <v>427</v>
      </c>
      <c r="BR12"/>
      <c r="BS12" s="15"/>
      <c r="BT12" s="15"/>
      <c r="BU12" s="15"/>
      <c r="BV12"/>
      <c r="BW12" s="1" t="s">
        <v>657</v>
      </c>
    </row>
    <row r="13" spans="1:76" ht="12" customHeight="1" x14ac:dyDescent="0.25">
      <c r="A13" s="15" t="s">
        <v>262</v>
      </c>
      <c r="B13" s="15" t="s">
        <v>154</v>
      </c>
      <c r="C13" s="15" t="s">
        <v>120</v>
      </c>
      <c r="D13" t="s">
        <v>71</v>
      </c>
      <c r="E13"/>
      <c r="F13"/>
      <c r="G13"/>
      <c r="H13"/>
      <c r="I13"/>
      <c r="J13"/>
      <c r="K13"/>
      <c r="L13"/>
      <c r="M13"/>
      <c r="N13"/>
      <c r="O13">
        <f>VLOOKUP(Q13,[1]Sheet2!$Q$2:$Q$35,1,0)</f>
        <v>102</v>
      </c>
      <c r="P13" s="16">
        <v>1317</v>
      </c>
      <c r="Q13" s="15">
        <v>102</v>
      </c>
      <c r="R13" s="15">
        <v>214910</v>
      </c>
      <c r="S13" s="17" t="s">
        <v>95</v>
      </c>
      <c r="T13" s="15" t="s">
        <v>52</v>
      </c>
      <c r="U13" s="15" t="s">
        <v>138</v>
      </c>
      <c r="V13" s="15" t="s">
        <v>74</v>
      </c>
      <c r="W13" s="15" t="s">
        <v>162</v>
      </c>
      <c r="X13" s="15" t="s">
        <v>230</v>
      </c>
      <c r="Y13" s="15" t="s">
        <v>237</v>
      </c>
      <c r="Z13" s="15" t="s">
        <v>84</v>
      </c>
      <c r="AA13" s="15" t="s">
        <v>137</v>
      </c>
      <c r="AB13" s="15"/>
      <c r="AC13" s="15"/>
      <c r="AD13" s="15"/>
      <c r="AE13" s="15"/>
      <c r="AF13" s="15"/>
      <c r="AG13" s="15" t="s">
        <v>169</v>
      </c>
      <c r="AH13" s="18" t="s">
        <v>264</v>
      </c>
      <c r="AI13" s="18" t="s">
        <v>18</v>
      </c>
      <c r="AJ13" s="18" t="s">
        <v>428</v>
      </c>
      <c r="AK13" s="18" t="s">
        <v>429</v>
      </c>
      <c r="AL13" s="18" t="s">
        <v>138</v>
      </c>
      <c r="AM13" s="18" t="s">
        <v>74</v>
      </c>
      <c r="AN13" s="18" t="s">
        <v>230</v>
      </c>
      <c r="AO13" s="19" t="s">
        <v>430</v>
      </c>
      <c r="AP13" s="18" t="s">
        <v>431</v>
      </c>
      <c r="AQ13" s="18" t="s">
        <v>432</v>
      </c>
      <c r="AR13" s="18" t="s">
        <v>433</v>
      </c>
      <c r="AS13" s="18"/>
      <c r="AT13" s="18" t="s">
        <v>333</v>
      </c>
      <c r="AU13" s="18" t="s">
        <v>360</v>
      </c>
      <c r="AV13" s="18" t="s">
        <v>360</v>
      </c>
      <c r="AW13" s="18" t="s">
        <v>360</v>
      </c>
      <c r="AX13" s="18" t="s">
        <v>360</v>
      </c>
      <c r="AY13" s="18" t="s">
        <v>333</v>
      </c>
      <c r="AZ13" s="18"/>
      <c r="BA13" s="18"/>
      <c r="BB13" s="18" t="s">
        <v>434</v>
      </c>
      <c r="BC13" s="18" t="s">
        <v>280</v>
      </c>
      <c r="BD13" s="18" t="s">
        <v>281</v>
      </c>
      <c r="BE13" s="18"/>
      <c r="BF13" s="18" t="s">
        <v>282</v>
      </c>
      <c r="BG13" s="18" t="s">
        <v>283</v>
      </c>
      <c r="BH13" s="18"/>
      <c r="BI13" s="18" t="s">
        <v>284</v>
      </c>
      <c r="BJ13" s="18" t="s">
        <v>435</v>
      </c>
      <c r="BK13" s="18">
        <v>214910</v>
      </c>
      <c r="BL13" s="18" t="s">
        <v>436</v>
      </c>
      <c r="BM13" s="18" t="s">
        <v>437</v>
      </c>
      <c r="BN13" s="18" t="s">
        <v>437</v>
      </c>
      <c r="BO13"/>
      <c r="BP13"/>
      <c r="BQ13" s="21" t="s">
        <v>438</v>
      </c>
      <c r="BR13"/>
      <c r="BS13" s="15"/>
      <c r="BT13" s="15"/>
      <c r="BU13" s="15"/>
      <c r="BV13"/>
      <c r="BW13" s="1" t="s">
        <v>657</v>
      </c>
    </row>
    <row r="14" spans="1:76" ht="12" customHeight="1" x14ac:dyDescent="0.25">
      <c r="A14" s="15" t="s">
        <v>262</v>
      </c>
      <c r="B14" s="15" t="s">
        <v>154</v>
      </c>
      <c r="C14" s="15" t="s">
        <v>120</v>
      </c>
      <c r="D14" t="s">
        <v>71</v>
      </c>
      <c r="E14"/>
      <c r="F14"/>
      <c r="G14"/>
      <c r="H14"/>
      <c r="I14"/>
      <c r="J14"/>
      <c r="K14"/>
      <c r="L14"/>
      <c r="M14"/>
      <c r="N14"/>
      <c r="O14">
        <f>VLOOKUP(Q14,[1]Sheet2!$Q$2:$Q$35,1,0)</f>
        <v>9</v>
      </c>
      <c r="P14" s="16">
        <v>1224</v>
      </c>
      <c r="Q14" s="15">
        <v>9</v>
      </c>
      <c r="R14" s="15">
        <v>102466</v>
      </c>
      <c r="S14" s="17" t="s">
        <v>206</v>
      </c>
      <c r="T14" s="15" t="s">
        <v>26</v>
      </c>
      <c r="U14" s="15" t="s">
        <v>138</v>
      </c>
      <c r="V14" s="15" t="s">
        <v>74</v>
      </c>
      <c r="W14" s="15" t="s">
        <v>59</v>
      </c>
      <c r="X14" s="15" t="s">
        <v>143</v>
      </c>
      <c r="Y14" s="15" t="s">
        <v>249</v>
      </c>
      <c r="Z14" s="15" t="s">
        <v>84</v>
      </c>
      <c r="AA14" s="15" t="s">
        <v>137</v>
      </c>
      <c r="AB14" s="15"/>
      <c r="AC14" s="15"/>
      <c r="AD14" s="15"/>
      <c r="AE14" s="15"/>
      <c r="AF14" s="15"/>
      <c r="AG14" s="15" t="s">
        <v>169</v>
      </c>
      <c r="AH14" s="18" t="s">
        <v>264</v>
      </c>
      <c r="AI14" s="18" t="s">
        <v>18</v>
      </c>
      <c r="AJ14" s="18" t="s">
        <v>428</v>
      </c>
      <c r="AK14" s="18" t="s">
        <v>439</v>
      </c>
      <c r="AL14" s="18" t="s">
        <v>138</v>
      </c>
      <c r="AM14" s="18" t="s">
        <v>74</v>
      </c>
      <c r="AN14" s="18" t="s">
        <v>230</v>
      </c>
      <c r="AO14" s="19" t="s">
        <v>440</v>
      </c>
      <c r="AP14" s="18" t="s">
        <v>441</v>
      </c>
      <c r="AQ14" s="18" t="s">
        <v>442</v>
      </c>
      <c r="AR14" s="18" t="s">
        <v>433</v>
      </c>
      <c r="AS14" s="18"/>
      <c r="AT14" s="18" t="s">
        <v>333</v>
      </c>
      <c r="AU14" s="18" t="s">
        <v>360</v>
      </c>
      <c r="AV14" s="18" t="s">
        <v>443</v>
      </c>
      <c r="AW14" s="18" t="s">
        <v>360</v>
      </c>
      <c r="AX14" s="18" t="s">
        <v>360</v>
      </c>
      <c r="AY14" s="18" t="s">
        <v>360</v>
      </c>
      <c r="AZ14" s="18"/>
      <c r="BA14" s="18"/>
      <c r="BB14" s="18" t="s">
        <v>434</v>
      </c>
      <c r="BC14" s="18" t="s">
        <v>280</v>
      </c>
      <c r="BD14" s="18" t="s">
        <v>281</v>
      </c>
      <c r="BE14" s="18"/>
      <c r="BF14" s="18" t="s">
        <v>282</v>
      </c>
      <c r="BG14" s="18" t="s">
        <v>283</v>
      </c>
      <c r="BH14" s="18"/>
      <c r="BI14" s="18" t="s">
        <v>284</v>
      </c>
      <c r="BJ14" s="18" t="s">
        <v>444</v>
      </c>
      <c r="BK14" s="18">
        <v>102466</v>
      </c>
      <c r="BL14" s="18" t="s">
        <v>445</v>
      </c>
      <c r="BM14" s="18" t="s">
        <v>446</v>
      </c>
      <c r="BN14" s="18" t="s">
        <v>446</v>
      </c>
      <c r="BO14"/>
      <c r="BP14"/>
      <c r="BQ14" s="21" t="s">
        <v>447</v>
      </c>
      <c r="BR14"/>
      <c r="BS14" s="15"/>
      <c r="BT14" s="15"/>
      <c r="BU14" s="15"/>
      <c r="BV14"/>
      <c r="BW14" s="1" t="s">
        <v>657</v>
      </c>
    </row>
    <row r="15" spans="1:76" ht="12" customHeight="1" x14ac:dyDescent="0.25">
      <c r="A15" s="15" t="s">
        <v>262</v>
      </c>
      <c r="B15" s="15" t="s">
        <v>154</v>
      </c>
      <c r="C15" s="15" t="s">
        <v>120</v>
      </c>
      <c r="D15" t="s">
        <v>71</v>
      </c>
      <c r="E15"/>
      <c r="F15"/>
      <c r="G15"/>
      <c r="H15"/>
      <c r="I15"/>
      <c r="J15"/>
      <c r="K15"/>
      <c r="L15"/>
      <c r="M15"/>
      <c r="N15"/>
      <c r="O15">
        <f>VLOOKUP(Q15,[1]Sheet2!$Q$2:$Q$35,1,0)</f>
        <v>185</v>
      </c>
      <c r="P15" s="16">
        <v>1400</v>
      </c>
      <c r="Q15" s="15">
        <v>185</v>
      </c>
      <c r="R15" s="15">
        <v>222319</v>
      </c>
      <c r="S15" s="17" t="s">
        <v>43</v>
      </c>
      <c r="T15" s="15" t="s">
        <v>0</v>
      </c>
      <c r="U15" s="15" t="s">
        <v>39</v>
      </c>
      <c r="V15" s="15" t="s">
        <v>90</v>
      </c>
      <c r="W15" s="15" t="s">
        <v>162</v>
      </c>
      <c r="X15" s="15" t="s">
        <v>242</v>
      </c>
      <c r="Y15" s="15" t="s">
        <v>227</v>
      </c>
      <c r="Z15" s="15" t="s">
        <v>18</v>
      </c>
      <c r="AA15" s="15" t="s">
        <v>96</v>
      </c>
      <c r="AB15" s="15"/>
      <c r="AC15" s="15"/>
      <c r="AD15" s="15"/>
      <c r="AE15" s="15"/>
      <c r="AF15" s="15"/>
      <c r="AG15" s="15" t="s">
        <v>169</v>
      </c>
      <c r="AH15" s="18"/>
      <c r="AI15" s="18" t="s">
        <v>18</v>
      </c>
      <c r="AJ15" s="18" t="s">
        <v>448</v>
      </c>
      <c r="AK15" s="18" t="s">
        <v>418</v>
      </c>
      <c r="AL15" s="18" t="s">
        <v>39</v>
      </c>
      <c r="AM15" s="18" t="s">
        <v>90</v>
      </c>
      <c r="AN15" s="18" t="s">
        <v>242</v>
      </c>
      <c r="AO15" s="19" t="s">
        <v>449</v>
      </c>
      <c r="AP15" s="18" t="s">
        <v>450</v>
      </c>
      <c r="AQ15" s="18" t="s">
        <v>451</v>
      </c>
      <c r="AR15" s="18" t="s">
        <v>452</v>
      </c>
      <c r="AS15" s="18"/>
      <c r="AT15" s="18" t="s">
        <v>360</v>
      </c>
      <c r="AU15" s="18" t="s">
        <v>443</v>
      </c>
      <c r="AV15" s="18" t="s">
        <v>443</v>
      </c>
      <c r="AW15" s="18" t="s">
        <v>360</v>
      </c>
      <c r="AX15" s="18" t="s">
        <v>333</v>
      </c>
      <c r="AY15" s="18" t="s">
        <v>411</v>
      </c>
      <c r="AZ15" s="18"/>
      <c r="BA15" s="18"/>
      <c r="BB15" s="18" t="s">
        <v>453</v>
      </c>
      <c r="BC15" s="18" t="s">
        <v>280</v>
      </c>
      <c r="BD15" s="18" t="s">
        <v>281</v>
      </c>
      <c r="BE15" s="18"/>
      <c r="BF15" s="18" t="s">
        <v>282</v>
      </c>
      <c r="BG15" s="18"/>
      <c r="BH15" s="18"/>
      <c r="BI15" s="18"/>
      <c r="BJ15" s="18"/>
      <c r="BK15" s="18">
        <v>222319</v>
      </c>
      <c r="BL15" s="18" t="s">
        <v>454</v>
      </c>
      <c r="BM15" s="18" t="s">
        <v>455</v>
      </c>
      <c r="BN15" s="18" t="s">
        <v>455</v>
      </c>
      <c r="BO15"/>
      <c r="BP15"/>
      <c r="BQ15" s="21" t="s">
        <v>456</v>
      </c>
      <c r="BR15"/>
      <c r="BS15" s="15"/>
      <c r="BT15" s="15"/>
      <c r="BU15" s="15"/>
      <c r="BV15"/>
      <c r="BW15" s="1" t="s">
        <v>657</v>
      </c>
    </row>
    <row r="16" spans="1:76" ht="12" customHeight="1" x14ac:dyDescent="0.25">
      <c r="A16" s="15" t="s">
        <v>262</v>
      </c>
      <c r="B16" s="15" t="s">
        <v>154</v>
      </c>
      <c r="C16" s="15" t="s">
        <v>120</v>
      </c>
      <c r="D16" t="s">
        <v>71</v>
      </c>
      <c r="E16"/>
      <c r="F16"/>
      <c r="G16"/>
      <c r="H16"/>
      <c r="I16"/>
      <c r="J16"/>
      <c r="K16"/>
      <c r="L16"/>
      <c r="M16"/>
      <c r="N16"/>
      <c r="O16">
        <f>VLOOKUP(Q16,[1]Sheet2!$Q$2:$Q$35,1,0)</f>
        <v>509</v>
      </c>
      <c r="P16" s="16">
        <v>1724</v>
      </c>
      <c r="Q16" s="15">
        <v>509</v>
      </c>
      <c r="R16" s="15">
        <v>212414</v>
      </c>
      <c r="S16" s="17" t="s">
        <v>178</v>
      </c>
      <c r="T16" s="15" t="s">
        <v>32</v>
      </c>
      <c r="U16" s="15" t="s">
        <v>39</v>
      </c>
      <c r="V16" s="15" t="s">
        <v>125</v>
      </c>
      <c r="W16" s="15" t="s">
        <v>59</v>
      </c>
      <c r="X16" s="15" t="s">
        <v>94</v>
      </c>
      <c r="Y16" s="15" t="s">
        <v>54</v>
      </c>
      <c r="Z16" s="15" t="s">
        <v>148</v>
      </c>
      <c r="AA16" s="15" t="s">
        <v>98</v>
      </c>
      <c r="AB16" s="15"/>
      <c r="AC16" s="15"/>
      <c r="AD16" s="15"/>
      <c r="AE16" s="15"/>
      <c r="AF16" s="15"/>
      <c r="AG16" s="15" t="s">
        <v>169</v>
      </c>
      <c r="AH16" s="18" t="s">
        <v>264</v>
      </c>
      <c r="AI16" s="18" t="s">
        <v>18</v>
      </c>
      <c r="AJ16" s="18" t="s">
        <v>457</v>
      </c>
      <c r="AK16" s="18" t="s">
        <v>458</v>
      </c>
      <c r="AL16" s="18" t="s">
        <v>39</v>
      </c>
      <c r="AM16" s="18" t="s">
        <v>125</v>
      </c>
      <c r="AN16" s="18" t="s">
        <v>459</v>
      </c>
      <c r="AO16" s="19" t="s">
        <v>460</v>
      </c>
      <c r="AP16" s="18" t="s">
        <v>461</v>
      </c>
      <c r="AQ16" s="18" t="s">
        <v>462</v>
      </c>
      <c r="AR16" s="18" t="s">
        <v>463</v>
      </c>
      <c r="AS16" s="18"/>
      <c r="AT16" s="18" t="s">
        <v>360</v>
      </c>
      <c r="AU16" s="18" t="s">
        <v>411</v>
      </c>
      <c r="AV16" s="18" t="s">
        <v>411</v>
      </c>
      <c r="AW16" s="18" t="s">
        <v>360</v>
      </c>
      <c r="AX16" s="18" t="s">
        <v>333</v>
      </c>
      <c r="AY16" s="18" t="s">
        <v>333</v>
      </c>
      <c r="AZ16" s="18"/>
      <c r="BA16" s="18"/>
      <c r="BB16" s="18" t="s">
        <v>464</v>
      </c>
      <c r="BC16" s="18" t="s">
        <v>280</v>
      </c>
      <c r="BD16" s="18" t="s">
        <v>281</v>
      </c>
      <c r="BE16" s="18"/>
      <c r="BF16" s="18" t="s">
        <v>282</v>
      </c>
      <c r="BG16" s="18" t="s">
        <v>283</v>
      </c>
      <c r="BH16" s="18"/>
      <c r="BI16" s="18" t="s">
        <v>284</v>
      </c>
      <c r="BJ16" s="18" t="s">
        <v>465</v>
      </c>
      <c r="BK16" s="18">
        <v>212414</v>
      </c>
      <c r="BL16" s="18" t="s">
        <v>466</v>
      </c>
      <c r="BM16" s="18" t="s">
        <v>467</v>
      </c>
      <c r="BN16" s="18" t="s">
        <v>467</v>
      </c>
      <c r="BO16"/>
      <c r="BP16"/>
      <c r="BQ16" s="21" t="s">
        <v>468</v>
      </c>
      <c r="BR16"/>
      <c r="BS16" s="15"/>
      <c r="BT16" s="15"/>
      <c r="BU16" s="15"/>
      <c r="BV16"/>
      <c r="BW16" s="1" t="s">
        <v>657</v>
      </c>
    </row>
    <row r="17" spans="1:75" ht="12" customHeight="1" x14ac:dyDescent="0.25">
      <c r="A17" s="15" t="s">
        <v>262</v>
      </c>
      <c r="B17" s="15" t="s">
        <v>154</v>
      </c>
      <c r="C17" s="15" t="s">
        <v>120</v>
      </c>
      <c r="D17" t="s">
        <v>71</v>
      </c>
      <c r="E17"/>
      <c r="F17"/>
      <c r="G17"/>
      <c r="H17"/>
      <c r="I17"/>
      <c r="J17"/>
      <c r="K17"/>
      <c r="L17"/>
      <c r="M17"/>
      <c r="N17"/>
      <c r="O17">
        <f>VLOOKUP(Q17,[1]Sheet2!$Q$2:$Q$35,1,0)</f>
        <v>119</v>
      </c>
      <c r="P17" s="16">
        <v>1334</v>
      </c>
      <c r="Q17" s="15">
        <v>119</v>
      </c>
      <c r="R17" s="15">
        <v>217365</v>
      </c>
      <c r="S17" s="17" t="s">
        <v>44</v>
      </c>
      <c r="T17" s="15" t="s">
        <v>110</v>
      </c>
      <c r="U17" s="15" t="s">
        <v>85</v>
      </c>
      <c r="V17" s="15" t="s">
        <v>20</v>
      </c>
      <c r="W17" s="15" t="s">
        <v>162</v>
      </c>
      <c r="X17" s="15" t="s">
        <v>139</v>
      </c>
      <c r="Y17" s="15" t="s">
        <v>53</v>
      </c>
      <c r="Z17" s="15" t="s">
        <v>84</v>
      </c>
      <c r="AA17" s="15" t="s">
        <v>146</v>
      </c>
      <c r="AB17" s="15"/>
      <c r="AC17" s="15"/>
      <c r="AD17" s="15"/>
      <c r="AE17" s="15"/>
      <c r="AF17" s="15"/>
      <c r="AG17" s="15" t="s">
        <v>169</v>
      </c>
      <c r="AH17" s="18"/>
      <c r="AI17" s="18" t="s">
        <v>391</v>
      </c>
      <c r="AJ17" s="18" t="s">
        <v>469</v>
      </c>
      <c r="AK17" s="18" t="s">
        <v>470</v>
      </c>
      <c r="AL17" s="18" t="s">
        <v>471</v>
      </c>
      <c r="AM17" s="18" t="s">
        <v>20</v>
      </c>
      <c r="AN17" s="18" t="s">
        <v>472</v>
      </c>
      <c r="AO17" s="19" t="s">
        <v>473</v>
      </c>
      <c r="AP17" s="18" t="s">
        <v>474</v>
      </c>
      <c r="AQ17" s="18" t="s">
        <v>475</v>
      </c>
      <c r="AR17" s="18" t="s">
        <v>476</v>
      </c>
      <c r="AS17" s="18"/>
      <c r="AT17" s="18" t="s">
        <v>314</v>
      </c>
      <c r="AU17" s="18" t="s">
        <v>477</v>
      </c>
      <c r="AV17" s="18" t="s">
        <v>477</v>
      </c>
      <c r="AW17" s="18" t="s">
        <v>360</v>
      </c>
      <c r="AX17" s="18" t="s">
        <v>314</v>
      </c>
      <c r="AY17" s="18" t="s">
        <v>314</v>
      </c>
      <c r="AZ17" s="18"/>
      <c r="BA17" s="18"/>
      <c r="BB17" s="18" t="s">
        <v>478</v>
      </c>
      <c r="BC17" s="18" t="s">
        <v>280</v>
      </c>
      <c r="BD17" s="18" t="s">
        <v>281</v>
      </c>
      <c r="BE17" s="18"/>
      <c r="BF17" s="18"/>
      <c r="BG17" s="18" t="s">
        <v>400</v>
      </c>
      <c r="BH17" s="18"/>
      <c r="BI17" s="18" t="s">
        <v>320</v>
      </c>
      <c r="BJ17" s="18" t="s">
        <v>479</v>
      </c>
      <c r="BK17" s="18">
        <v>217365</v>
      </c>
      <c r="BL17" s="18" t="s">
        <v>480</v>
      </c>
      <c r="BM17" s="18" t="s">
        <v>481</v>
      </c>
      <c r="BN17" s="18" t="s">
        <v>481</v>
      </c>
      <c r="BO17"/>
      <c r="BP17"/>
      <c r="BQ17" s="21" t="s">
        <v>482</v>
      </c>
      <c r="BR17"/>
      <c r="BS17" s="15"/>
      <c r="BT17" s="15"/>
      <c r="BU17" s="15"/>
      <c r="BV17"/>
      <c r="BW17" s="1" t="s">
        <v>657</v>
      </c>
    </row>
    <row r="18" spans="1:75" ht="12" customHeight="1" x14ac:dyDescent="0.25">
      <c r="A18" s="15" t="s">
        <v>262</v>
      </c>
      <c r="B18" s="15" t="s">
        <v>154</v>
      </c>
      <c r="C18" s="15" t="s">
        <v>120</v>
      </c>
      <c r="D18" t="s">
        <v>71</v>
      </c>
      <c r="E18"/>
      <c r="F18"/>
      <c r="G18"/>
      <c r="H18"/>
      <c r="I18"/>
      <c r="J18"/>
      <c r="K18"/>
      <c r="L18"/>
      <c r="M18"/>
      <c r="N18"/>
      <c r="O18">
        <f>VLOOKUP(Q18,[1]Sheet2!$Q$2:$Q$35,1,0)</f>
        <v>547</v>
      </c>
      <c r="P18" s="16">
        <v>1762</v>
      </c>
      <c r="Q18" s="15">
        <v>547</v>
      </c>
      <c r="R18" s="15">
        <v>212615</v>
      </c>
      <c r="S18" s="17" t="s">
        <v>81</v>
      </c>
      <c r="T18" s="15" t="s">
        <v>245</v>
      </c>
      <c r="U18" s="15" t="s">
        <v>138</v>
      </c>
      <c r="V18" s="15" t="s">
        <v>125</v>
      </c>
      <c r="W18" s="15" t="s">
        <v>59</v>
      </c>
      <c r="X18" s="15" t="s">
        <v>24</v>
      </c>
      <c r="Y18" s="15" t="s">
        <v>229</v>
      </c>
      <c r="Z18" s="15" t="s">
        <v>134</v>
      </c>
      <c r="AA18" s="15" t="s">
        <v>225</v>
      </c>
      <c r="AB18" s="15"/>
      <c r="AC18" s="15"/>
      <c r="AD18" s="15"/>
      <c r="AE18" s="15"/>
      <c r="AF18" s="15"/>
      <c r="AG18" s="15" t="s">
        <v>169</v>
      </c>
      <c r="AH18" s="18" t="s">
        <v>483</v>
      </c>
      <c r="AI18" s="18" t="s">
        <v>18</v>
      </c>
      <c r="AJ18" s="18" t="s">
        <v>484</v>
      </c>
      <c r="AK18" s="18" t="s">
        <v>485</v>
      </c>
      <c r="AL18" s="18" t="s">
        <v>138</v>
      </c>
      <c r="AM18" s="18" t="s">
        <v>125</v>
      </c>
      <c r="AN18" s="18" t="s">
        <v>486</v>
      </c>
      <c r="AO18" s="19" t="s">
        <v>487</v>
      </c>
      <c r="AP18" s="18" t="s">
        <v>488</v>
      </c>
      <c r="AQ18" s="18" t="s">
        <v>489</v>
      </c>
      <c r="AR18" s="18" t="s">
        <v>490</v>
      </c>
      <c r="AS18" s="18" t="s">
        <v>491</v>
      </c>
      <c r="AT18" s="18" t="s">
        <v>360</v>
      </c>
      <c r="AU18" s="18" t="s">
        <v>360</v>
      </c>
      <c r="AV18" s="18" t="s">
        <v>360</v>
      </c>
      <c r="AW18" s="18" t="s">
        <v>360</v>
      </c>
      <c r="AX18" s="18"/>
      <c r="AY18" s="18"/>
      <c r="AZ18" s="18"/>
      <c r="BA18" s="18"/>
      <c r="BB18" s="18" t="s">
        <v>225</v>
      </c>
      <c r="BC18" s="18" t="s">
        <v>280</v>
      </c>
      <c r="BD18" s="18"/>
      <c r="BE18" s="18"/>
      <c r="BF18" s="18" t="s">
        <v>282</v>
      </c>
      <c r="BG18" s="18"/>
      <c r="BH18" s="18"/>
      <c r="BI18" s="18"/>
      <c r="BJ18" s="18"/>
      <c r="BK18" s="18">
        <v>212615</v>
      </c>
      <c r="BL18" s="18" t="s">
        <v>492</v>
      </c>
      <c r="BM18" s="18" t="s">
        <v>493</v>
      </c>
      <c r="BN18" s="18" t="s">
        <v>494</v>
      </c>
      <c r="BO18"/>
      <c r="BP18"/>
      <c r="BQ18" s="21" t="s">
        <v>495</v>
      </c>
      <c r="BR18"/>
      <c r="BS18" s="15"/>
      <c r="BT18" s="15"/>
      <c r="BU18" s="15"/>
      <c r="BV18"/>
      <c r="BW18" s="1" t="s">
        <v>657</v>
      </c>
    </row>
    <row r="19" spans="1:75" ht="12" customHeight="1" x14ac:dyDescent="0.25">
      <c r="A19" s="15" t="s">
        <v>262</v>
      </c>
      <c r="B19" s="15" t="s">
        <v>154</v>
      </c>
      <c r="C19" s="15" t="s">
        <v>120</v>
      </c>
      <c r="D19" t="s">
        <v>71</v>
      </c>
      <c r="E19"/>
      <c r="F19"/>
      <c r="G19"/>
      <c r="H19"/>
      <c r="I19"/>
      <c r="J19"/>
      <c r="K19"/>
      <c r="L19"/>
      <c r="M19"/>
      <c r="N19"/>
      <c r="O19">
        <f>VLOOKUP(Q19,[1]Sheet2!$Q$2:$Q$35,1,0)</f>
        <v>548</v>
      </c>
      <c r="P19" s="16">
        <v>1763</v>
      </c>
      <c r="Q19" s="15">
        <v>548</v>
      </c>
      <c r="R19" s="15">
        <v>212617</v>
      </c>
      <c r="S19" s="17" t="s">
        <v>234</v>
      </c>
      <c r="T19" s="15" t="s">
        <v>155</v>
      </c>
      <c r="U19" s="15" t="s">
        <v>39</v>
      </c>
      <c r="V19" s="15" t="s">
        <v>125</v>
      </c>
      <c r="W19" s="15" t="s">
        <v>59</v>
      </c>
      <c r="X19" s="15" t="s">
        <v>15</v>
      </c>
      <c r="Y19" s="15" t="s">
        <v>248</v>
      </c>
      <c r="Z19" s="15" t="s">
        <v>134</v>
      </c>
      <c r="AA19" s="15" t="s">
        <v>225</v>
      </c>
      <c r="AB19" s="15"/>
      <c r="AC19" s="15"/>
      <c r="AD19" s="15"/>
      <c r="AE19" s="15"/>
      <c r="AF19" s="15"/>
      <c r="AG19" s="15" t="s">
        <v>169</v>
      </c>
      <c r="AH19" s="18" t="s">
        <v>379</v>
      </c>
      <c r="AI19" s="18" t="s">
        <v>18</v>
      </c>
      <c r="AJ19" s="18" t="s">
        <v>496</v>
      </c>
      <c r="AK19" s="18" t="s">
        <v>248</v>
      </c>
      <c r="AL19" s="18" t="s">
        <v>138</v>
      </c>
      <c r="AM19" s="18" t="s">
        <v>125</v>
      </c>
      <c r="AN19" s="18" t="s">
        <v>497</v>
      </c>
      <c r="AO19" s="19" t="s">
        <v>498</v>
      </c>
      <c r="AP19" s="18" t="s">
        <v>499</v>
      </c>
      <c r="AQ19" s="18" t="s">
        <v>500</v>
      </c>
      <c r="AR19" s="18" t="s">
        <v>501</v>
      </c>
      <c r="AS19" s="18"/>
      <c r="AT19" s="18" t="s">
        <v>502</v>
      </c>
      <c r="AU19" s="18" t="s">
        <v>503</v>
      </c>
      <c r="AV19" s="18" t="s">
        <v>504</v>
      </c>
      <c r="AW19" s="18"/>
      <c r="AX19" s="18" t="s">
        <v>505</v>
      </c>
      <c r="AY19" s="18" t="s">
        <v>506</v>
      </c>
      <c r="AZ19" s="18" t="s">
        <v>507</v>
      </c>
      <c r="BA19" s="18"/>
      <c r="BB19" s="18" t="s">
        <v>225</v>
      </c>
      <c r="BC19" s="18" t="s">
        <v>280</v>
      </c>
      <c r="BD19" s="18"/>
      <c r="BE19" s="18"/>
      <c r="BF19" s="18" t="s">
        <v>282</v>
      </c>
      <c r="BG19" s="18" t="s">
        <v>283</v>
      </c>
      <c r="BH19" s="18"/>
      <c r="BI19" s="18" t="s">
        <v>284</v>
      </c>
      <c r="BJ19" s="18" t="s">
        <v>508</v>
      </c>
      <c r="BK19" s="18">
        <v>212617</v>
      </c>
      <c r="BL19" s="18" t="s">
        <v>509</v>
      </c>
      <c r="BM19" s="18" t="s">
        <v>510</v>
      </c>
      <c r="BN19" s="18" t="s">
        <v>510</v>
      </c>
      <c r="BO19"/>
      <c r="BP19"/>
      <c r="BQ19" s="21" t="s">
        <v>511</v>
      </c>
      <c r="BR19"/>
      <c r="BS19" s="15"/>
      <c r="BT19" s="15"/>
      <c r="BU19" s="15"/>
      <c r="BV19"/>
      <c r="BW19" s="1" t="s">
        <v>657</v>
      </c>
    </row>
    <row r="20" spans="1:75" ht="12" customHeight="1" x14ac:dyDescent="0.25">
      <c r="A20" s="15" t="s">
        <v>262</v>
      </c>
      <c r="B20" s="15" t="s">
        <v>154</v>
      </c>
      <c r="C20" s="15" t="s">
        <v>120</v>
      </c>
      <c r="D20" t="s">
        <v>71</v>
      </c>
      <c r="E20"/>
      <c r="F20"/>
      <c r="G20"/>
      <c r="H20"/>
      <c r="I20"/>
      <c r="J20"/>
      <c r="K20"/>
      <c r="L20"/>
      <c r="M20"/>
      <c r="N20"/>
      <c r="O20">
        <f>VLOOKUP(Q20,[1]Sheet2!$Q$2:$Q$35,1,0)</f>
        <v>559</v>
      </c>
      <c r="P20" s="16">
        <v>1774</v>
      </c>
      <c r="Q20" s="15">
        <v>559</v>
      </c>
      <c r="R20" s="15">
        <v>212872</v>
      </c>
      <c r="S20" s="17" t="s">
        <v>244</v>
      </c>
      <c r="T20" s="15" t="s">
        <v>188</v>
      </c>
      <c r="U20" s="15" t="s">
        <v>39</v>
      </c>
      <c r="V20" s="15" t="s">
        <v>214</v>
      </c>
      <c r="W20" s="15" t="s">
        <v>59</v>
      </c>
      <c r="X20" s="15" t="s">
        <v>124</v>
      </c>
      <c r="Y20" s="15" t="s">
        <v>187</v>
      </c>
      <c r="Z20" s="15" t="s">
        <v>66</v>
      </c>
      <c r="AA20" s="15" t="s">
        <v>103</v>
      </c>
      <c r="AB20" s="15"/>
      <c r="AC20" s="15"/>
      <c r="AD20" s="15"/>
      <c r="AE20" s="15"/>
      <c r="AF20" s="15"/>
      <c r="AG20" s="15" t="s">
        <v>169</v>
      </c>
      <c r="AH20" s="18" t="s">
        <v>264</v>
      </c>
      <c r="AI20" s="18" t="s">
        <v>18</v>
      </c>
      <c r="AJ20" s="18" t="s">
        <v>512</v>
      </c>
      <c r="AK20" s="18" t="s">
        <v>513</v>
      </c>
      <c r="AL20" s="18" t="s">
        <v>39</v>
      </c>
      <c r="AM20" s="18" t="s">
        <v>214</v>
      </c>
      <c r="AN20" s="18" t="s">
        <v>514</v>
      </c>
      <c r="AO20" s="19" t="s">
        <v>515</v>
      </c>
      <c r="AP20" s="18"/>
      <c r="AQ20" s="18"/>
      <c r="AR20" s="18" t="s">
        <v>516</v>
      </c>
      <c r="AS20" s="18"/>
      <c r="AT20" s="18"/>
      <c r="AU20" s="18" t="s">
        <v>517</v>
      </c>
      <c r="AV20" s="18" t="s">
        <v>518</v>
      </c>
      <c r="AW20" s="18" t="s">
        <v>360</v>
      </c>
      <c r="AX20" s="18"/>
      <c r="AY20" s="18"/>
      <c r="AZ20" s="18"/>
      <c r="BA20" s="18"/>
      <c r="BB20" s="18" t="s">
        <v>279</v>
      </c>
      <c r="BC20" s="18" t="s">
        <v>280</v>
      </c>
      <c r="BD20" s="18"/>
      <c r="BE20" s="18"/>
      <c r="BF20" s="18" t="s">
        <v>282</v>
      </c>
      <c r="BG20" s="18" t="s">
        <v>283</v>
      </c>
      <c r="BH20" s="18"/>
      <c r="BI20" s="18" t="s">
        <v>284</v>
      </c>
      <c r="BJ20" s="18" t="s">
        <v>519</v>
      </c>
      <c r="BK20" s="18">
        <v>212872</v>
      </c>
      <c r="BL20" s="18" t="s">
        <v>520</v>
      </c>
      <c r="BM20" s="18" t="s">
        <v>521</v>
      </c>
      <c r="BN20" s="18" t="s">
        <v>521</v>
      </c>
      <c r="BO20"/>
      <c r="BP20"/>
      <c r="BQ20" s="21" t="s">
        <v>522</v>
      </c>
      <c r="BR20"/>
      <c r="BS20" s="15"/>
      <c r="BT20" s="15"/>
      <c r="BU20" s="15"/>
      <c r="BV20"/>
      <c r="BW20" s="1" t="s">
        <v>657</v>
      </c>
    </row>
    <row r="21" spans="1:75" ht="12" customHeight="1" x14ac:dyDescent="0.25">
      <c r="A21" s="15" t="s">
        <v>262</v>
      </c>
      <c r="B21" s="15" t="s">
        <v>154</v>
      </c>
      <c r="C21" s="15" t="s">
        <v>120</v>
      </c>
      <c r="D21" t="s">
        <v>71</v>
      </c>
      <c r="E21"/>
      <c r="F21"/>
      <c r="G21"/>
      <c r="H21"/>
      <c r="I21"/>
      <c r="J21"/>
      <c r="K21"/>
      <c r="L21"/>
      <c r="M21"/>
      <c r="N21"/>
      <c r="O21">
        <f>VLOOKUP(Q21,[1]Sheet2!$Q$2:$Q$35,1,0)</f>
        <v>183</v>
      </c>
      <c r="P21" s="16">
        <v>1398</v>
      </c>
      <c r="Q21" s="15">
        <v>183</v>
      </c>
      <c r="R21" s="15">
        <v>221404</v>
      </c>
      <c r="S21" s="17" t="s">
        <v>252</v>
      </c>
      <c r="T21" s="15" t="s">
        <v>29</v>
      </c>
      <c r="U21" s="15" t="s">
        <v>39</v>
      </c>
      <c r="V21" s="15" t="s">
        <v>220</v>
      </c>
      <c r="W21" s="15" t="s">
        <v>162</v>
      </c>
      <c r="X21" s="15" t="s">
        <v>19</v>
      </c>
      <c r="Y21" s="15" t="s">
        <v>54</v>
      </c>
      <c r="Z21" s="15" t="s">
        <v>18</v>
      </c>
      <c r="AA21" s="15" t="s">
        <v>38</v>
      </c>
      <c r="AB21" s="15"/>
      <c r="AC21" s="15"/>
      <c r="AD21" s="15"/>
      <c r="AE21" s="15"/>
      <c r="AF21" s="15"/>
      <c r="AG21" s="15" t="s">
        <v>169</v>
      </c>
      <c r="AH21" s="18" t="s">
        <v>289</v>
      </c>
      <c r="AI21" s="18" t="s">
        <v>18</v>
      </c>
      <c r="AJ21" s="18" t="s">
        <v>523</v>
      </c>
      <c r="AK21" s="18" t="s">
        <v>458</v>
      </c>
      <c r="AL21" s="18" t="s">
        <v>39</v>
      </c>
      <c r="AM21" s="18" t="s">
        <v>220</v>
      </c>
      <c r="AN21" s="18" t="s">
        <v>19</v>
      </c>
      <c r="AO21" s="19" t="s">
        <v>524</v>
      </c>
      <c r="AP21" s="18" t="s">
        <v>525</v>
      </c>
      <c r="AQ21" s="18" t="s">
        <v>526</v>
      </c>
      <c r="AR21" s="18" t="s">
        <v>527</v>
      </c>
      <c r="AS21" s="18"/>
      <c r="AT21" s="18" t="s">
        <v>477</v>
      </c>
      <c r="AU21" s="18" t="s">
        <v>360</v>
      </c>
      <c r="AV21" s="18" t="s">
        <v>477</v>
      </c>
      <c r="AW21" s="18" t="s">
        <v>477</v>
      </c>
      <c r="AX21" s="18" t="s">
        <v>411</v>
      </c>
      <c r="AY21" s="18" t="s">
        <v>411</v>
      </c>
      <c r="AZ21" s="18"/>
      <c r="BA21" s="18"/>
      <c r="BB21" s="18" t="s">
        <v>528</v>
      </c>
      <c r="BC21" s="18" t="s">
        <v>280</v>
      </c>
      <c r="BD21" s="18"/>
      <c r="BE21" s="18"/>
      <c r="BF21" s="18" t="s">
        <v>282</v>
      </c>
      <c r="BG21" s="18" t="s">
        <v>283</v>
      </c>
      <c r="BH21" s="18"/>
      <c r="BI21" s="18" t="s">
        <v>284</v>
      </c>
      <c r="BJ21" s="18" t="s">
        <v>529</v>
      </c>
      <c r="BK21" s="18">
        <v>221404</v>
      </c>
      <c r="BL21" s="18" t="s">
        <v>530</v>
      </c>
      <c r="BM21" s="18" t="s">
        <v>531</v>
      </c>
      <c r="BN21" s="18" t="s">
        <v>531</v>
      </c>
      <c r="BO21"/>
      <c r="BP21"/>
      <c r="BQ21" s="21" t="s">
        <v>532</v>
      </c>
      <c r="BR21"/>
      <c r="BS21" s="15"/>
      <c r="BT21" s="15"/>
      <c r="BU21" s="15"/>
      <c r="BV21"/>
      <c r="BW21" s="1" t="s">
        <v>657</v>
      </c>
    </row>
    <row r="22" spans="1:75" ht="12" customHeight="1" x14ac:dyDescent="0.25">
      <c r="A22" s="15" t="s">
        <v>262</v>
      </c>
      <c r="B22" s="15" t="s">
        <v>154</v>
      </c>
      <c r="C22" s="15" t="s">
        <v>120</v>
      </c>
      <c r="D22" t="s">
        <v>71</v>
      </c>
      <c r="E22"/>
      <c r="F22"/>
      <c r="G22"/>
      <c r="H22"/>
      <c r="I22"/>
      <c r="J22"/>
      <c r="K22"/>
      <c r="L22"/>
      <c r="M22"/>
      <c r="N22"/>
      <c r="O22">
        <f>VLOOKUP(Q22,[1]Sheet2!$Q$2:$Q$35,1,0)</f>
        <v>167</v>
      </c>
      <c r="P22" s="16">
        <v>1382</v>
      </c>
      <c r="Q22" s="15">
        <v>167</v>
      </c>
      <c r="R22" s="15">
        <v>212883</v>
      </c>
      <c r="S22" s="17" t="s">
        <v>115</v>
      </c>
      <c r="T22" s="15" t="s">
        <v>144</v>
      </c>
      <c r="U22" s="15" t="s">
        <v>39</v>
      </c>
      <c r="V22" s="15" t="s">
        <v>116</v>
      </c>
      <c r="W22" s="15" t="s">
        <v>162</v>
      </c>
      <c r="X22" s="15" t="s">
        <v>149</v>
      </c>
      <c r="Y22" s="15" t="s">
        <v>185</v>
      </c>
      <c r="Z22" s="15" t="s">
        <v>18</v>
      </c>
      <c r="AA22" s="15" t="s">
        <v>195</v>
      </c>
      <c r="AB22" s="15"/>
      <c r="AC22" s="15"/>
      <c r="AD22" s="15"/>
      <c r="AE22" s="15"/>
      <c r="AF22" s="15"/>
      <c r="AG22" s="15" t="s">
        <v>169</v>
      </c>
      <c r="AH22" s="18" t="s">
        <v>379</v>
      </c>
      <c r="AI22" s="18" t="s">
        <v>18</v>
      </c>
      <c r="AJ22" s="18" t="s">
        <v>533</v>
      </c>
      <c r="AK22" s="18" t="s">
        <v>534</v>
      </c>
      <c r="AL22" s="18" t="s">
        <v>39</v>
      </c>
      <c r="AM22" s="18" t="s">
        <v>116</v>
      </c>
      <c r="AN22" s="18" t="s">
        <v>535</v>
      </c>
      <c r="AO22" s="19" t="s">
        <v>536</v>
      </c>
      <c r="AP22" s="18" t="s">
        <v>537</v>
      </c>
      <c r="AQ22" s="18" t="s">
        <v>538</v>
      </c>
      <c r="AR22" s="18" t="s">
        <v>539</v>
      </c>
      <c r="AS22" s="18"/>
      <c r="AT22" s="18" t="s">
        <v>348</v>
      </c>
      <c r="AU22" s="18" t="s">
        <v>443</v>
      </c>
      <c r="AV22" s="18" t="s">
        <v>443</v>
      </c>
      <c r="AW22" s="18" t="s">
        <v>348</v>
      </c>
      <c r="AX22" s="18" t="s">
        <v>347</v>
      </c>
      <c r="AY22" s="18" t="s">
        <v>411</v>
      </c>
      <c r="AZ22" s="18"/>
      <c r="BA22" s="18"/>
      <c r="BB22" s="18" t="s">
        <v>540</v>
      </c>
      <c r="BC22" s="18" t="s">
        <v>280</v>
      </c>
      <c r="BD22" s="18" t="s">
        <v>281</v>
      </c>
      <c r="BE22" s="18"/>
      <c r="BF22" s="18" t="s">
        <v>282</v>
      </c>
      <c r="BG22" s="18" t="s">
        <v>283</v>
      </c>
      <c r="BH22" s="18"/>
      <c r="BI22" s="18" t="s">
        <v>284</v>
      </c>
      <c r="BJ22" s="18" t="s">
        <v>541</v>
      </c>
      <c r="BK22" s="18">
        <v>212883</v>
      </c>
      <c r="BL22" s="18" t="s">
        <v>542</v>
      </c>
      <c r="BM22" s="18" t="s">
        <v>543</v>
      </c>
      <c r="BN22" s="18" t="s">
        <v>543</v>
      </c>
      <c r="BO22"/>
      <c r="BP22"/>
      <c r="BQ22" s="21" t="s">
        <v>544</v>
      </c>
      <c r="BR22"/>
      <c r="BS22" s="15"/>
      <c r="BT22" s="15"/>
      <c r="BU22" s="15"/>
      <c r="BV22"/>
      <c r="BW22" s="1" t="s">
        <v>657</v>
      </c>
    </row>
    <row r="23" spans="1:75" ht="12" customHeight="1" x14ac:dyDescent="0.25">
      <c r="A23" s="15" t="s">
        <v>262</v>
      </c>
      <c r="B23" s="15" t="s">
        <v>154</v>
      </c>
      <c r="C23" s="15" t="s">
        <v>120</v>
      </c>
      <c r="D23" t="s">
        <v>71</v>
      </c>
      <c r="E23"/>
      <c r="F23"/>
      <c r="G23"/>
      <c r="H23"/>
      <c r="I23"/>
      <c r="J23"/>
      <c r="K23"/>
      <c r="L23"/>
      <c r="M23"/>
      <c r="N23"/>
      <c r="O23">
        <f>VLOOKUP(Q23,[1]Sheet2!$Q$2:$Q$35,1,0)</f>
        <v>464</v>
      </c>
      <c r="P23" s="16">
        <v>1679</v>
      </c>
      <c r="Q23" s="15">
        <v>464</v>
      </c>
      <c r="R23" s="15">
        <v>222336</v>
      </c>
      <c r="S23" s="17" t="s">
        <v>199</v>
      </c>
      <c r="T23" s="15" t="s">
        <v>33</v>
      </c>
      <c r="U23" s="15" t="s">
        <v>39</v>
      </c>
      <c r="V23" s="15" t="s">
        <v>106</v>
      </c>
      <c r="W23" s="15" t="s">
        <v>162</v>
      </c>
      <c r="X23" s="15" t="s">
        <v>167</v>
      </c>
      <c r="Y23" s="15" t="s">
        <v>158</v>
      </c>
      <c r="Z23" s="15" t="s">
        <v>148</v>
      </c>
      <c r="AA23" s="15" t="s">
        <v>103</v>
      </c>
      <c r="AB23" s="15"/>
      <c r="AC23" s="15"/>
      <c r="AD23" s="15"/>
      <c r="AE23" s="15"/>
      <c r="AF23" s="15"/>
      <c r="AG23" s="15" t="s">
        <v>169</v>
      </c>
      <c r="AH23" s="18" t="s">
        <v>264</v>
      </c>
      <c r="AI23" s="18" t="s">
        <v>18</v>
      </c>
      <c r="AJ23" s="18" t="s">
        <v>545</v>
      </c>
      <c r="AK23" s="18" t="s">
        <v>546</v>
      </c>
      <c r="AL23" s="18" t="s">
        <v>39</v>
      </c>
      <c r="AM23" s="18" t="s">
        <v>106</v>
      </c>
      <c r="AN23" s="18" t="s">
        <v>547</v>
      </c>
      <c r="AO23" s="19" t="s">
        <v>548</v>
      </c>
      <c r="AP23" s="18" t="s">
        <v>537</v>
      </c>
      <c r="AQ23" s="18" t="s">
        <v>538</v>
      </c>
      <c r="AR23" s="18" t="s">
        <v>539</v>
      </c>
      <c r="AS23" s="18"/>
      <c r="AT23" s="18" t="s">
        <v>348</v>
      </c>
      <c r="AU23" s="18" t="s">
        <v>443</v>
      </c>
      <c r="AV23" s="18" t="s">
        <v>443</v>
      </c>
      <c r="AW23" s="18" t="s">
        <v>348</v>
      </c>
      <c r="AX23" s="18" t="s">
        <v>347</v>
      </c>
      <c r="AY23" s="18" t="s">
        <v>411</v>
      </c>
      <c r="AZ23" s="18"/>
      <c r="BA23" s="18"/>
      <c r="BB23" s="18" t="s">
        <v>279</v>
      </c>
      <c r="BC23" s="18" t="s">
        <v>280</v>
      </c>
      <c r="BD23" s="18" t="s">
        <v>281</v>
      </c>
      <c r="BE23" s="18"/>
      <c r="BF23" s="18" t="s">
        <v>282</v>
      </c>
      <c r="BG23" s="18" t="s">
        <v>283</v>
      </c>
      <c r="BH23" s="18"/>
      <c r="BI23" s="18" t="s">
        <v>284</v>
      </c>
      <c r="BJ23" s="18" t="s">
        <v>549</v>
      </c>
      <c r="BK23" s="18">
        <v>222336</v>
      </c>
      <c r="BL23" s="18" t="s">
        <v>550</v>
      </c>
      <c r="BM23" s="18" t="s">
        <v>551</v>
      </c>
      <c r="BN23" s="18" t="s">
        <v>551</v>
      </c>
      <c r="BO23"/>
      <c r="BP23"/>
      <c r="BQ23" s="21" t="s">
        <v>552</v>
      </c>
      <c r="BR23"/>
      <c r="BS23" s="15"/>
      <c r="BT23" s="15"/>
      <c r="BU23" s="15"/>
      <c r="BV23"/>
      <c r="BW23" s="1" t="s">
        <v>657</v>
      </c>
    </row>
    <row r="24" spans="1:75" ht="12" customHeight="1" x14ac:dyDescent="0.25">
      <c r="A24" s="15" t="s">
        <v>262</v>
      </c>
      <c r="B24" s="15" t="s">
        <v>154</v>
      </c>
      <c r="C24" s="15" t="s">
        <v>120</v>
      </c>
      <c r="D24" t="s">
        <v>71</v>
      </c>
      <c r="E24"/>
      <c r="F24"/>
      <c r="G24"/>
      <c r="H24"/>
      <c r="I24"/>
      <c r="J24"/>
      <c r="K24"/>
      <c r="L24"/>
      <c r="M24"/>
      <c r="N24"/>
      <c r="O24">
        <f>VLOOKUP(Q24,[1]Sheet2!$Q$2:$Q$35,1,0)</f>
        <v>463</v>
      </c>
      <c r="P24" s="16">
        <v>1678</v>
      </c>
      <c r="Q24" s="15">
        <v>463</v>
      </c>
      <c r="R24" s="15">
        <v>222335</v>
      </c>
      <c r="S24" s="17" t="s">
        <v>253</v>
      </c>
      <c r="T24" s="15" t="s">
        <v>179</v>
      </c>
      <c r="U24" s="15" t="s">
        <v>39</v>
      </c>
      <c r="V24" s="15" t="s">
        <v>106</v>
      </c>
      <c r="W24" s="15" t="s">
        <v>162</v>
      </c>
      <c r="X24" s="15" t="s">
        <v>167</v>
      </c>
      <c r="Y24" s="15" t="s">
        <v>76</v>
      </c>
      <c r="Z24" s="15" t="s">
        <v>148</v>
      </c>
      <c r="AA24" s="15" t="s">
        <v>103</v>
      </c>
      <c r="AB24" s="15"/>
      <c r="AC24" s="15"/>
      <c r="AD24" s="15"/>
      <c r="AE24" s="15"/>
      <c r="AF24" s="15"/>
      <c r="AG24" s="15" t="s">
        <v>169</v>
      </c>
      <c r="AH24" s="18" t="s">
        <v>379</v>
      </c>
      <c r="AI24" s="18" t="s">
        <v>18</v>
      </c>
      <c r="AJ24" s="18" t="s">
        <v>545</v>
      </c>
      <c r="AK24" s="18" t="s">
        <v>553</v>
      </c>
      <c r="AL24" s="18" t="s">
        <v>39</v>
      </c>
      <c r="AM24" s="18" t="s">
        <v>106</v>
      </c>
      <c r="AN24" s="18" t="s">
        <v>547</v>
      </c>
      <c r="AO24" s="19" t="s">
        <v>554</v>
      </c>
      <c r="AP24" s="18" t="s">
        <v>537</v>
      </c>
      <c r="AQ24" s="18" t="s">
        <v>538</v>
      </c>
      <c r="AR24" s="18" t="s">
        <v>539</v>
      </c>
      <c r="AS24" s="18"/>
      <c r="AT24" s="18" t="s">
        <v>348</v>
      </c>
      <c r="AU24" s="18" t="s">
        <v>443</v>
      </c>
      <c r="AV24" s="18" t="s">
        <v>443</v>
      </c>
      <c r="AW24" s="18" t="s">
        <v>348</v>
      </c>
      <c r="AX24" s="18" t="s">
        <v>347</v>
      </c>
      <c r="AY24" s="18" t="s">
        <v>411</v>
      </c>
      <c r="AZ24" s="18"/>
      <c r="BA24" s="18"/>
      <c r="BB24" s="18" t="s">
        <v>279</v>
      </c>
      <c r="BC24" s="18" t="s">
        <v>280</v>
      </c>
      <c r="BD24" s="18" t="s">
        <v>281</v>
      </c>
      <c r="BE24" s="18"/>
      <c r="BF24" s="18" t="s">
        <v>282</v>
      </c>
      <c r="BG24" s="18" t="s">
        <v>283</v>
      </c>
      <c r="BH24" s="18"/>
      <c r="BI24" s="18" t="s">
        <v>284</v>
      </c>
      <c r="BJ24" s="18" t="s">
        <v>555</v>
      </c>
      <c r="BK24" s="18">
        <v>222335</v>
      </c>
      <c r="BL24" s="18" t="s">
        <v>556</v>
      </c>
      <c r="BM24" s="18" t="s">
        <v>557</v>
      </c>
      <c r="BN24" s="18" t="s">
        <v>557</v>
      </c>
      <c r="BO24"/>
      <c r="BP24"/>
      <c r="BQ24" s="21" t="s">
        <v>558</v>
      </c>
      <c r="BR24"/>
      <c r="BS24" s="15"/>
      <c r="BT24" s="15"/>
      <c r="BU24" s="15"/>
      <c r="BV24"/>
      <c r="BW24" s="1" t="s">
        <v>657</v>
      </c>
    </row>
    <row r="25" spans="1:75" ht="12" customHeight="1" x14ac:dyDescent="0.25">
      <c r="A25" s="15" t="s">
        <v>262</v>
      </c>
      <c r="B25" s="15" t="s">
        <v>154</v>
      </c>
      <c r="C25" s="15" t="s">
        <v>120</v>
      </c>
      <c r="D25" t="s">
        <v>71</v>
      </c>
      <c r="E25"/>
      <c r="F25"/>
      <c r="G25"/>
      <c r="H25"/>
      <c r="I25"/>
      <c r="J25"/>
      <c r="K25"/>
      <c r="L25"/>
      <c r="M25"/>
      <c r="N25"/>
      <c r="O25">
        <f>VLOOKUP(Q25,[1]Sheet2!$Q$2:$Q$35,1,0)</f>
        <v>556</v>
      </c>
      <c r="P25" s="16">
        <v>1771</v>
      </c>
      <c r="Q25" s="15">
        <v>556</v>
      </c>
      <c r="R25" s="15">
        <v>212942</v>
      </c>
      <c r="S25" s="17" t="s">
        <v>10</v>
      </c>
      <c r="T25" s="15" t="s">
        <v>34</v>
      </c>
      <c r="U25" s="15" t="s">
        <v>39</v>
      </c>
      <c r="V25" s="15" t="s">
        <v>119</v>
      </c>
      <c r="W25" s="15" t="s">
        <v>165</v>
      </c>
      <c r="X25" s="15" t="s">
        <v>107</v>
      </c>
      <c r="Y25" s="15" t="s">
        <v>170</v>
      </c>
      <c r="Z25" s="15" t="s">
        <v>134</v>
      </c>
      <c r="AA25" s="15" t="s">
        <v>225</v>
      </c>
      <c r="AB25" s="15"/>
      <c r="AC25" s="15"/>
      <c r="AD25" s="15"/>
      <c r="AE25" s="15"/>
      <c r="AF25" s="15"/>
      <c r="AG25" s="15" t="s">
        <v>169</v>
      </c>
      <c r="AH25" s="18" t="s">
        <v>559</v>
      </c>
      <c r="AI25" s="18" t="s">
        <v>391</v>
      </c>
      <c r="AJ25" s="18" t="s">
        <v>560</v>
      </c>
      <c r="AK25" s="18" t="s">
        <v>170</v>
      </c>
      <c r="AL25" s="18" t="s">
        <v>39</v>
      </c>
      <c r="AM25" s="18" t="s">
        <v>119</v>
      </c>
      <c r="AN25" s="18" t="s">
        <v>561</v>
      </c>
      <c r="AO25" s="19" t="s">
        <v>562</v>
      </c>
      <c r="AP25" s="18"/>
      <c r="AQ25" s="18"/>
      <c r="AR25" s="18"/>
      <c r="AS25" s="18"/>
      <c r="AT25" s="18" t="s">
        <v>563</v>
      </c>
      <c r="AU25" s="18" t="s">
        <v>564</v>
      </c>
      <c r="AV25" s="18" t="s">
        <v>565</v>
      </c>
      <c r="AW25" s="18" t="s">
        <v>566</v>
      </c>
      <c r="AX25" s="18" t="s">
        <v>567</v>
      </c>
      <c r="AY25" s="18" t="s">
        <v>568</v>
      </c>
      <c r="AZ25" s="18" t="s">
        <v>569</v>
      </c>
      <c r="BA25" s="18"/>
      <c r="BB25" s="18" t="s">
        <v>225</v>
      </c>
      <c r="BC25" s="18" t="s">
        <v>280</v>
      </c>
      <c r="BD25" s="18"/>
      <c r="BE25" s="18"/>
      <c r="BF25" s="18" t="s">
        <v>282</v>
      </c>
      <c r="BG25" s="18" t="s">
        <v>319</v>
      </c>
      <c r="BH25" s="18"/>
      <c r="BI25" s="18" t="s">
        <v>284</v>
      </c>
      <c r="BJ25" s="18" t="s">
        <v>570</v>
      </c>
      <c r="BK25" s="18">
        <v>212942</v>
      </c>
      <c r="BL25" s="18" t="s">
        <v>571</v>
      </c>
      <c r="BM25" s="18" t="s">
        <v>572</v>
      </c>
      <c r="BN25" s="18" t="s">
        <v>573</v>
      </c>
      <c r="BO25"/>
      <c r="BP25"/>
      <c r="BQ25" s="21" t="s">
        <v>574</v>
      </c>
      <c r="BR25"/>
      <c r="BS25" s="15"/>
      <c r="BT25" s="15"/>
      <c r="BU25" s="15"/>
      <c r="BV25"/>
      <c r="BW25" s="1" t="s">
        <v>657</v>
      </c>
    </row>
    <row r="26" spans="1:75" ht="12" customHeight="1" x14ac:dyDescent="0.25">
      <c r="A26" s="15" t="s">
        <v>262</v>
      </c>
      <c r="B26" s="15" t="s">
        <v>154</v>
      </c>
      <c r="C26" s="15" t="s">
        <v>120</v>
      </c>
      <c r="D26" t="s">
        <v>71</v>
      </c>
      <c r="E26"/>
      <c r="F26"/>
      <c r="G26"/>
      <c r="H26"/>
      <c r="I26"/>
      <c r="J26"/>
      <c r="K26"/>
      <c r="L26"/>
      <c r="M26"/>
      <c r="N26"/>
      <c r="O26">
        <f>VLOOKUP(Q26,[1]Sheet2!$Q$2:$Q$35,1,0)</f>
        <v>545</v>
      </c>
      <c r="P26" s="16">
        <v>1760</v>
      </c>
      <c r="Q26" s="15">
        <v>545</v>
      </c>
      <c r="R26" s="15">
        <v>218730</v>
      </c>
      <c r="S26" s="17" t="s">
        <v>131</v>
      </c>
      <c r="T26" s="15" t="s">
        <v>82</v>
      </c>
      <c r="U26" s="15" t="s">
        <v>39</v>
      </c>
      <c r="V26" s="15" t="s">
        <v>119</v>
      </c>
      <c r="W26" s="15" t="s">
        <v>165</v>
      </c>
      <c r="X26" s="15" t="s">
        <v>147</v>
      </c>
      <c r="Y26" s="15" t="s">
        <v>86</v>
      </c>
      <c r="Z26" s="15" t="s">
        <v>198</v>
      </c>
      <c r="AA26" s="15" t="s">
        <v>68</v>
      </c>
      <c r="AB26" s="15"/>
      <c r="AC26" s="15"/>
      <c r="AD26" s="15"/>
      <c r="AE26" s="15"/>
      <c r="AF26" s="15"/>
      <c r="AG26" s="15" t="s">
        <v>169</v>
      </c>
      <c r="AH26" s="18" t="s">
        <v>264</v>
      </c>
      <c r="AI26" s="18" t="s">
        <v>18</v>
      </c>
      <c r="AJ26" s="18" t="s">
        <v>575</v>
      </c>
      <c r="AK26" s="18" t="s">
        <v>576</v>
      </c>
      <c r="AL26" s="18" t="s">
        <v>39</v>
      </c>
      <c r="AM26" s="18" t="s">
        <v>119</v>
      </c>
      <c r="AN26" s="18" t="s">
        <v>577</v>
      </c>
      <c r="AO26" s="19" t="s">
        <v>578</v>
      </c>
      <c r="AP26" s="18" t="s">
        <v>579</v>
      </c>
      <c r="AQ26" s="18" t="s">
        <v>580</v>
      </c>
      <c r="AR26" s="18" t="s">
        <v>581</v>
      </c>
      <c r="AS26" s="18"/>
      <c r="AT26" s="18" t="s">
        <v>477</v>
      </c>
      <c r="AU26" s="18" t="s">
        <v>477</v>
      </c>
      <c r="AV26" s="18" t="s">
        <v>477</v>
      </c>
      <c r="AW26" s="18" t="s">
        <v>360</v>
      </c>
      <c r="AX26" s="18" t="s">
        <v>411</v>
      </c>
      <c r="AY26" s="18" t="s">
        <v>582</v>
      </c>
      <c r="AZ26" s="18"/>
      <c r="BA26" s="18"/>
      <c r="BB26" s="18" t="s">
        <v>412</v>
      </c>
      <c r="BC26" s="18" t="s">
        <v>280</v>
      </c>
      <c r="BD26" s="18" t="s">
        <v>281</v>
      </c>
      <c r="BE26" s="18"/>
      <c r="BF26" s="18" t="s">
        <v>282</v>
      </c>
      <c r="BG26" s="18" t="s">
        <v>583</v>
      </c>
      <c r="BH26" s="18"/>
      <c r="BI26" s="18" t="s">
        <v>284</v>
      </c>
      <c r="BJ26" s="18" t="s">
        <v>584</v>
      </c>
      <c r="BK26" s="18">
        <v>218730</v>
      </c>
      <c r="BL26" s="18" t="s">
        <v>585</v>
      </c>
      <c r="BM26" s="18" t="s">
        <v>586</v>
      </c>
      <c r="BN26" s="18" t="s">
        <v>586</v>
      </c>
      <c r="BO26"/>
      <c r="BP26"/>
      <c r="BQ26" s="21" t="s">
        <v>587</v>
      </c>
      <c r="BR26"/>
      <c r="BS26" s="15"/>
      <c r="BT26" s="15"/>
      <c r="BU26" s="15"/>
      <c r="BV26"/>
      <c r="BW26" s="1" t="s">
        <v>657</v>
      </c>
    </row>
    <row r="27" spans="1:75" ht="12" customHeight="1" x14ac:dyDescent="0.25">
      <c r="A27" s="15" t="s">
        <v>262</v>
      </c>
      <c r="B27" s="15" t="s">
        <v>154</v>
      </c>
      <c r="C27" s="15" t="s">
        <v>120</v>
      </c>
      <c r="D27" t="s">
        <v>71</v>
      </c>
      <c r="E27"/>
      <c r="F27"/>
      <c r="G27"/>
      <c r="H27"/>
      <c r="I27"/>
      <c r="J27"/>
      <c r="K27"/>
      <c r="L27"/>
      <c r="M27"/>
      <c r="N27"/>
      <c r="O27">
        <f>VLOOKUP(Q27,[1]Sheet2!$Q$2:$Q$35,1,0)</f>
        <v>94</v>
      </c>
      <c r="P27" s="16">
        <v>1309</v>
      </c>
      <c r="Q27" s="15">
        <v>94</v>
      </c>
      <c r="R27" s="15">
        <v>213023</v>
      </c>
      <c r="S27" s="17" t="s">
        <v>92</v>
      </c>
      <c r="T27" s="15" t="s">
        <v>132</v>
      </c>
      <c r="U27" s="15" t="s">
        <v>39</v>
      </c>
      <c r="V27" s="15" t="s">
        <v>162</v>
      </c>
      <c r="W27" s="15" t="s">
        <v>162</v>
      </c>
      <c r="X27" s="15" t="s">
        <v>213</v>
      </c>
      <c r="Y27" s="15" t="s">
        <v>229</v>
      </c>
      <c r="Z27" s="15" t="s">
        <v>84</v>
      </c>
      <c r="AA27" s="15" t="s">
        <v>98</v>
      </c>
      <c r="AB27" s="15"/>
      <c r="AC27" s="15"/>
      <c r="AD27" s="15"/>
      <c r="AE27" s="15"/>
      <c r="AF27" s="15"/>
      <c r="AG27" s="15" t="s">
        <v>169</v>
      </c>
      <c r="AH27" s="18" t="s">
        <v>264</v>
      </c>
      <c r="AI27" s="18" t="s">
        <v>18</v>
      </c>
      <c r="AJ27" s="18" t="s">
        <v>588</v>
      </c>
      <c r="AK27" s="18" t="s">
        <v>485</v>
      </c>
      <c r="AL27" s="18" t="s">
        <v>39</v>
      </c>
      <c r="AM27" s="18" t="s">
        <v>162</v>
      </c>
      <c r="AN27" s="18" t="s">
        <v>213</v>
      </c>
      <c r="AO27" s="19" t="s">
        <v>589</v>
      </c>
      <c r="AP27" s="18" t="s">
        <v>590</v>
      </c>
      <c r="AQ27" s="18" t="s">
        <v>591</v>
      </c>
      <c r="AR27" s="18" t="s">
        <v>592</v>
      </c>
      <c r="AS27" s="18"/>
      <c r="AT27" s="18" t="s">
        <v>360</v>
      </c>
      <c r="AU27" s="18" t="s">
        <v>411</v>
      </c>
      <c r="AV27" s="18" t="s">
        <v>411</v>
      </c>
      <c r="AW27" s="18" t="s">
        <v>348</v>
      </c>
      <c r="AX27" s="18" t="s">
        <v>567</v>
      </c>
      <c r="AY27" s="18" t="s">
        <v>582</v>
      </c>
      <c r="AZ27" s="18"/>
      <c r="BA27" s="18"/>
      <c r="BB27" s="18" t="s">
        <v>464</v>
      </c>
      <c r="BC27" s="18" t="s">
        <v>280</v>
      </c>
      <c r="BD27" s="18" t="s">
        <v>281</v>
      </c>
      <c r="BE27" s="18"/>
      <c r="BF27" s="18" t="s">
        <v>282</v>
      </c>
      <c r="BG27" s="18" t="s">
        <v>283</v>
      </c>
      <c r="BH27" s="18"/>
      <c r="BI27" s="18" t="s">
        <v>284</v>
      </c>
      <c r="BJ27" s="18" t="s">
        <v>593</v>
      </c>
      <c r="BK27" s="18">
        <v>213023</v>
      </c>
      <c r="BL27" s="18" t="s">
        <v>594</v>
      </c>
      <c r="BM27" s="18" t="s">
        <v>595</v>
      </c>
      <c r="BN27" s="18" t="s">
        <v>595</v>
      </c>
      <c r="BO27"/>
      <c r="BP27"/>
      <c r="BQ27" s="21" t="s">
        <v>596</v>
      </c>
      <c r="BR27"/>
      <c r="BS27" s="15"/>
      <c r="BT27" s="15"/>
      <c r="BU27" s="15"/>
      <c r="BV27"/>
      <c r="BW27" s="1" t="s">
        <v>657</v>
      </c>
    </row>
    <row r="28" spans="1:75" ht="12" customHeight="1" x14ac:dyDescent="0.25">
      <c r="A28" s="15" t="s">
        <v>262</v>
      </c>
      <c r="B28" s="15" t="s">
        <v>154</v>
      </c>
      <c r="C28" s="15" t="s">
        <v>120</v>
      </c>
      <c r="D28" t="s">
        <v>71</v>
      </c>
      <c r="E28"/>
      <c r="F28"/>
      <c r="G28"/>
      <c r="H28"/>
      <c r="I28"/>
      <c r="J28"/>
      <c r="K28"/>
      <c r="L28"/>
      <c r="M28"/>
      <c r="N28"/>
      <c r="O28">
        <f>VLOOKUP(Q28,[1]Sheet2!$Q$2:$Q$35,1,0)</f>
        <v>95</v>
      </c>
      <c r="P28" s="16">
        <v>1310</v>
      </c>
      <c r="Q28" s="15">
        <v>95</v>
      </c>
      <c r="R28" s="15">
        <v>213024</v>
      </c>
      <c r="S28" s="17" t="s">
        <v>164</v>
      </c>
      <c r="T28" s="15" t="s">
        <v>239</v>
      </c>
      <c r="U28" s="15" t="s">
        <v>39</v>
      </c>
      <c r="V28" s="15" t="s">
        <v>162</v>
      </c>
      <c r="W28" s="15" t="s">
        <v>162</v>
      </c>
      <c r="X28" s="15" t="s">
        <v>213</v>
      </c>
      <c r="Y28" s="15" t="s">
        <v>256</v>
      </c>
      <c r="Z28" s="15" t="s">
        <v>84</v>
      </c>
      <c r="AA28" s="15" t="s">
        <v>98</v>
      </c>
      <c r="AB28" s="15"/>
      <c r="AC28" s="15"/>
      <c r="AD28" s="15"/>
      <c r="AE28" s="15"/>
      <c r="AF28" s="15"/>
      <c r="AG28" s="15" t="s">
        <v>169</v>
      </c>
      <c r="AH28" s="18" t="s">
        <v>264</v>
      </c>
      <c r="AI28" s="18" t="s">
        <v>18</v>
      </c>
      <c r="AJ28" s="18" t="s">
        <v>588</v>
      </c>
      <c r="AK28" s="18" t="s">
        <v>597</v>
      </c>
      <c r="AL28" s="18" t="s">
        <v>39</v>
      </c>
      <c r="AM28" s="18" t="s">
        <v>162</v>
      </c>
      <c r="AN28" s="18" t="s">
        <v>213</v>
      </c>
      <c r="AO28" s="19" t="s">
        <v>598</v>
      </c>
      <c r="AP28" s="18" t="s">
        <v>590</v>
      </c>
      <c r="AQ28" s="18" t="s">
        <v>591</v>
      </c>
      <c r="AR28" s="18" t="s">
        <v>592</v>
      </c>
      <c r="AS28" s="18"/>
      <c r="AT28" s="18"/>
      <c r="AU28" s="18"/>
      <c r="AV28" s="18"/>
      <c r="AW28" s="18"/>
      <c r="AX28" s="18"/>
      <c r="AY28" s="18"/>
      <c r="AZ28" s="18"/>
      <c r="BA28" s="18"/>
      <c r="BB28" s="18" t="s">
        <v>464</v>
      </c>
      <c r="BC28" s="18" t="s">
        <v>280</v>
      </c>
      <c r="BD28" s="18" t="s">
        <v>281</v>
      </c>
      <c r="BE28" s="18"/>
      <c r="BF28" s="18" t="s">
        <v>282</v>
      </c>
      <c r="BG28" s="18" t="s">
        <v>283</v>
      </c>
      <c r="BH28" s="18"/>
      <c r="BI28" s="18" t="s">
        <v>284</v>
      </c>
      <c r="BJ28" s="18" t="s">
        <v>599</v>
      </c>
      <c r="BK28" s="18">
        <v>213024</v>
      </c>
      <c r="BL28" s="18" t="s">
        <v>600</v>
      </c>
      <c r="BM28" s="18" t="s">
        <v>601</v>
      </c>
      <c r="BN28" s="18" t="s">
        <v>601</v>
      </c>
      <c r="BO28"/>
      <c r="BP28"/>
      <c r="BQ28" s="21" t="s">
        <v>602</v>
      </c>
      <c r="BR28"/>
      <c r="BS28" s="15"/>
      <c r="BT28" s="15"/>
      <c r="BU28" s="15"/>
      <c r="BV28"/>
      <c r="BW28" s="1" t="s">
        <v>657</v>
      </c>
    </row>
    <row r="29" spans="1:75" ht="12" customHeight="1" x14ac:dyDescent="0.25">
      <c r="A29" s="15" t="s">
        <v>262</v>
      </c>
      <c r="B29" s="15" t="s">
        <v>154</v>
      </c>
      <c r="C29" s="15" t="s">
        <v>120</v>
      </c>
      <c r="D29" t="s">
        <v>71</v>
      </c>
      <c r="E29"/>
      <c r="F29"/>
      <c r="G29"/>
      <c r="H29"/>
      <c r="I29"/>
      <c r="J29"/>
      <c r="K29"/>
      <c r="L29"/>
      <c r="M29"/>
      <c r="N29"/>
      <c r="O29">
        <f>VLOOKUP(Q29,[1]Sheet2!$Q$2:$Q$35,1,0)</f>
        <v>549</v>
      </c>
      <c r="P29" s="16">
        <v>1764</v>
      </c>
      <c r="Q29" s="15">
        <v>549</v>
      </c>
      <c r="R29" s="15">
        <v>213117</v>
      </c>
      <c r="S29" s="17" t="s">
        <v>133</v>
      </c>
      <c r="T29" s="15" t="s">
        <v>61</v>
      </c>
      <c r="U29" s="15" t="s">
        <v>39</v>
      </c>
      <c r="V29" s="15" t="s">
        <v>172</v>
      </c>
      <c r="W29" s="15" t="s">
        <v>89</v>
      </c>
      <c r="X29" s="15" t="s">
        <v>257</v>
      </c>
      <c r="Y29" s="15" t="s">
        <v>159</v>
      </c>
      <c r="Z29" s="15" t="s">
        <v>134</v>
      </c>
      <c r="AA29" s="15" t="s">
        <v>225</v>
      </c>
      <c r="AB29" s="15"/>
      <c r="AC29" s="15"/>
      <c r="AD29" s="15"/>
      <c r="AE29" s="15"/>
      <c r="AF29" s="15"/>
      <c r="AG29" s="15" t="s">
        <v>169</v>
      </c>
      <c r="AH29" s="18" t="s">
        <v>483</v>
      </c>
      <c r="AI29" s="18" t="s">
        <v>18</v>
      </c>
      <c r="AJ29" s="18" t="s">
        <v>603</v>
      </c>
      <c r="AK29" s="18" t="s">
        <v>604</v>
      </c>
      <c r="AL29" s="18" t="s">
        <v>39</v>
      </c>
      <c r="AM29" s="18" t="s">
        <v>172</v>
      </c>
      <c r="AN29" s="18" t="s">
        <v>257</v>
      </c>
      <c r="AO29" s="19" t="s">
        <v>605</v>
      </c>
      <c r="AP29" s="18"/>
      <c r="AQ29" s="18" t="s">
        <v>606</v>
      </c>
      <c r="AR29" s="18" t="s">
        <v>607</v>
      </c>
      <c r="AS29" s="18"/>
      <c r="AT29" s="18" t="s">
        <v>360</v>
      </c>
      <c r="AU29" s="18" t="s">
        <v>360</v>
      </c>
      <c r="AV29" s="18" t="s">
        <v>411</v>
      </c>
      <c r="AW29" s="18" t="s">
        <v>360</v>
      </c>
      <c r="AX29" s="18" t="s">
        <v>277</v>
      </c>
      <c r="AY29" s="18" t="s">
        <v>411</v>
      </c>
      <c r="AZ29" s="18"/>
      <c r="BA29" s="18"/>
      <c r="BB29" s="18" t="s">
        <v>225</v>
      </c>
      <c r="BC29" s="18" t="s">
        <v>280</v>
      </c>
      <c r="BD29" s="18" t="s">
        <v>281</v>
      </c>
      <c r="BE29" s="18"/>
      <c r="BF29" s="18" t="s">
        <v>282</v>
      </c>
      <c r="BG29" s="18" t="s">
        <v>283</v>
      </c>
      <c r="BH29" s="18"/>
      <c r="BI29" s="18" t="s">
        <v>284</v>
      </c>
      <c r="BJ29" s="18" t="s">
        <v>608</v>
      </c>
      <c r="BK29" s="18">
        <v>213117</v>
      </c>
      <c r="BL29" s="18" t="s">
        <v>609</v>
      </c>
      <c r="BM29" s="18" t="s">
        <v>610</v>
      </c>
      <c r="BN29" s="18" t="s">
        <v>610</v>
      </c>
      <c r="BO29"/>
      <c r="BP29"/>
      <c r="BQ29" s="21" t="s">
        <v>611</v>
      </c>
      <c r="BR29"/>
      <c r="BS29" s="15"/>
      <c r="BT29" s="15"/>
      <c r="BU29" s="15"/>
      <c r="BV29"/>
      <c r="BW29" s="1" t="s">
        <v>657</v>
      </c>
    </row>
    <row r="30" spans="1:75" ht="12" customHeight="1" x14ac:dyDescent="0.25">
      <c r="A30" s="15" t="s">
        <v>262</v>
      </c>
      <c r="B30" s="15" t="s">
        <v>154</v>
      </c>
      <c r="C30" s="15" t="s">
        <v>120</v>
      </c>
      <c r="D30" t="s">
        <v>71</v>
      </c>
      <c r="E30"/>
      <c r="F30"/>
      <c r="G30"/>
      <c r="H30"/>
      <c r="I30"/>
      <c r="J30"/>
      <c r="K30"/>
      <c r="L30"/>
      <c r="M30"/>
      <c r="N30"/>
      <c r="O30">
        <f>VLOOKUP(Q30,[1]Sheet2!$Q$2:$Q$35,1,0)</f>
        <v>550</v>
      </c>
      <c r="P30" s="16">
        <v>1765</v>
      </c>
      <c r="Q30" s="15">
        <v>550</v>
      </c>
      <c r="R30" s="15">
        <v>213118</v>
      </c>
      <c r="S30" s="17" t="s">
        <v>58</v>
      </c>
      <c r="T30" s="15" t="s">
        <v>73</v>
      </c>
      <c r="U30" s="15" t="s">
        <v>39</v>
      </c>
      <c r="V30" s="15" t="s">
        <v>172</v>
      </c>
      <c r="W30" s="15" t="s">
        <v>89</v>
      </c>
      <c r="X30" s="15" t="s">
        <v>257</v>
      </c>
      <c r="Y30" s="15" t="s">
        <v>236</v>
      </c>
      <c r="Z30" s="15" t="s">
        <v>134</v>
      </c>
      <c r="AA30" s="15" t="s">
        <v>225</v>
      </c>
      <c r="AB30" s="15"/>
      <c r="AC30" s="15"/>
      <c r="AD30" s="15"/>
      <c r="AE30" s="15"/>
      <c r="AF30" s="15"/>
      <c r="AG30" s="15" t="s">
        <v>169</v>
      </c>
      <c r="AH30" s="18" t="s">
        <v>483</v>
      </c>
      <c r="AI30" s="18" t="s">
        <v>18</v>
      </c>
      <c r="AJ30" s="18" t="s">
        <v>603</v>
      </c>
      <c r="AK30" s="18" t="s">
        <v>612</v>
      </c>
      <c r="AL30" s="18" t="s">
        <v>39</v>
      </c>
      <c r="AM30" s="18" t="s">
        <v>172</v>
      </c>
      <c r="AN30" s="18" t="s">
        <v>257</v>
      </c>
      <c r="AO30" s="19" t="s">
        <v>613</v>
      </c>
      <c r="AP30" s="18"/>
      <c r="AQ30" s="18" t="s">
        <v>606</v>
      </c>
      <c r="AR30" s="18" t="s">
        <v>607</v>
      </c>
      <c r="AS30" s="18"/>
      <c r="AT30" s="18" t="s">
        <v>360</v>
      </c>
      <c r="AU30" s="18" t="s">
        <v>360</v>
      </c>
      <c r="AV30" s="18" t="s">
        <v>411</v>
      </c>
      <c r="AW30" s="18" t="s">
        <v>360</v>
      </c>
      <c r="AX30" s="18" t="s">
        <v>277</v>
      </c>
      <c r="AY30" s="18" t="s">
        <v>411</v>
      </c>
      <c r="AZ30" s="18"/>
      <c r="BA30" s="18"/>
      <c r="BB30" s="18" t="s">
        <v>225</v>
      </c>
      <c r="BC30" s="18" t="s">
        <v>280</v>
      </c>
      <c r="BD30" s="18" t="s">
        <v>281</v>
      </c>
      <c r="BE30" s="18"/>
      <c r="BF30" s="18" t="s">
        <v>282</v>
      </c>
      <c r="BG30" s="18" t="s">
        <v>283</v>
      </c>
      <c r="BH30" s="18"/>
      <c r="BI30" s="18" t="s">
        <v>284</v>
      </c>
      <c r="BJ30" s="18" t="s">
        <v>614</v>
      </c>
      <c r="BK30" s="18">
        <v>213118</v>
      </c>
      <c r="BL30" s="18" t="s">
        <v>615</v>
      </c>
      <c r="BM30" s="18" t="s">
        <v>616</v>
      </c>
      <c r="BN30" s="18" t="s">
        <v>616</v>
      </c>
      <c r="BO30"/>
      <c r="BP30"/>
      <c r="BQ30" s="21" t="s">
        <v>617</v>
      </c>
      <c r="BR30"/>
      <c r="BS30" s="15"/>
      <c r="BT30" s="15"/>
      <c r="BU30" s="15"/>
      <c r="BV30"/>
      <c r="BW30" s="1" t="s">
        <v>657</v>
      </c>
    </row>
    <row r="31" spans="1:75" ht="12" customHeight="1" x14ac:dyDescent="0.25">
      <c r="A31" s="15" t="s">
        <v>262</v>
      </c>
      <c r="B31" s="15" t="s">
        <v>154</v>
      </c>
      <c r="C31" s="15" t="s">
        <v>120</v>
      </c>
      <c r="D31" t="s">
        <v>71</v>
      </c>
      <c r="E31"/>
      <c r="F31"/>
      <c r="G31"/>
      <c r="H31"/>
      <c r="I31"/>
      <c r="J31"/>
      <c r="K31"/>
      <c r="L31"/>
      <c r="M31"/>
      <c r="N31"/>
      <c r="O31">
        <f>VLOOKUP(Q31,[1]Sheet2!$Q$2:$Q$35,1,0)</f>
        <v>551</v>
      </c>
      <c r="P31" s="16">
        <v>1766</v>
      </c>
      <c r="Q31" s="15">
        <v>551</v>
      </c>
      <c r="R31" s="15">
        <v>213119</v>
      </c>
      <c r="S31" s="17" t="s">
        <v>23</v>
      </c>
      <c r="T31" s="15" t="s">
        <v>55</v>
      </c>
      <c r="U31" s="15" t="s">
        <v>39</v>
      </c>
      <c r="V31" s="15" t="s">
        <v>172</v>
      </c>
      <c r="W31" s="15" t="s">
        <v>89</v>
      </c>
      <c r="X31" s="15" t="s">
        <v>257</v>
      </c>
      <c r="Y31" s="15" t="s">
        <v>173</v>
      </c>
      <c r="Z31" s="15" t="s">
        <v>134</v>
      </c>
      <c r="AA31" s="15" t="s">
        <v>225</v>
      </c>
      <c r="AB31" s="15"/>
      <c r="AC31" s="15"/>
      <c r="AD31" s="15"/>
      <c r="AE31" s="15"/>
      <c r="AF31" s="15"/>
      <c r="AG31" s="15" t="s">
        <v>169</v>
      </c>
      <c r="AH31" s="18" t="s">
        <v>483</v>
      </c>
      <c r="AI31" s="18" t="s">
        <v>18</v>
      </c>
      <c r="AJ31" s="18" t="s">
        <v>603</v>
      </c>
      <c r="AK31" s="18" t="s">
        <v>618</v>
      </c>
      <c r="AL31" s="18" t="s">
        <v>39</v>
      </c>
      <c r="AM31" s="18" t="s">
        <v>172</v>
      </c>
      <c r="AN31" s="18" t="s">
        <v>257</v>
      </c>
      <c r="AO31" s="19" t="s">
        <v>619</v>
      </c>
      <c r="AP31" s="18"/>
      <c r="AQ31" s="18" t="s">
        <v>606</v>
      </c>
      <c r="AR31" s="18" t="s">
        <v>607</v>
      </c>
      <c r="AS31" s="18"/>
      <c r="AT31" s="18" t="s">
        <v>360</v>
      </c>
      <c r="AU31" s="18" t="s">
        <v>360</v>
      </c>
      <c r="AV31" s="18" t="s">
        <v>411</v>
      </c>
      <c r="AW31" s="18" t="s">
        <v>360</v>
      </c>
      <c r="AX31" s="18" t="s">
        <v>277</v>
      </c>
      <c r="AY31" s="18" t="s">
        <v>411</v>
      </c>
      <c r="AZ31" s="18"/>
      <c r="BA31" s="18"/>
      <c r="BB31" s="18" t="s">
        <v>225</v>
      </c>
      <c r="BC31" s="18" t="s">
        <v>280</v>
      </c>
      <c r="BD31" s="18" t="s">
        <v>281</v>
      </c>
      <c r="BE31" s="18"/>
      <c r="BF31" s="18" t="s">
        <v>282</v>
      </c>
      <c r="BG31" s="18" t="s">
        <v>283</v>
      </c>
      <c r="BH31" s="18"/>
      <c r="BI31" s="18" t="s">
        <v>284</v>
      </c>
      <c r="BJ31" s="18" t="s">
        <v>620</v>
      </c>
      <c r="BK31" s="18">
        <v>213119</v>
      </c>
      <c r="BL31" s="18" t="s">
        <v>621</v>
      </c>
      <c r="BM31" s="18" t="s">
        <v>622</v>
      </c>
      <c r="BN31" s="18" t="s">
        <v>622</v>
      </c>
      <c r="BO31"/>
      <c r="BP31"/>
      <c r="BQ31" s="21" t="s">
        <v>623</v>
      </c>
      <c r="BR31"/>
      <c r="BS31" s="15"/>
      <c r="BT31" s="15"/>
      <c r="BU31" s="15"/>
      <c r="BV31"/>
      <c r="BW31" s="1" t="s">
        <v>657</v>
      </c>
    </row>
    <row r="32" spans="1:75" ht="12" customHeight="1" x14ac:dyDescent="0.25">
      <c r="A32" s="15" t="s">
        <v>262</v>
      </c>
      <c r="B32" s="15" t="s">
        <v>154</v>
      </c>
      <c r="C32" s="15" t="s">
        <v>120</v>
      </c>
      <c r="D32" t="s">
        <v>71</v>
      </c>
      <c r="E32"/>
      <c r="F32"/>
      <c r="G32"/>
      <c r="H32"/>
      <c r="I32"/>
      <c r="J32"/>
      <c r="K32"/>
      <c r="L32"/>
      <c r="M32"/>
      <c r="N32"/>
      <c r="O32">
        <f>VLOOKUP(Q32,[1]Sheet2!$Q$2:$Q$35,1,0)</f>
        <v>3</v>
      </c>
      <c r="P32" s="16">
        <v>1218</v>
      </c>
      <c r="Q32" s="15">
        <v>3</v>
      </c>
      <c r="R32" s="15">
        <v>101844</v>
      </c>
      <c r="S32" s="17" t="s">
        <v>113</v>
      </c>
      <c r="T32" s="15" t="s">
        <v>126</v>
      </c>
      <c r="U32" s="15" t="s">
        <v>39</v>
      </c>
      <c r="V32" s="15" t="s">
        <v>48</v>
      </c>
      <c r="W32" s="15" t="s">
        <v>59</v>
      </c>
      <c r="X32" s="15" t="s">
        <v>221</v>
      </c>
      <c r="Y32" s="15" t="s">
        <v>227</v>
      </c>
      <c r="Z32" s="15" t="s">
        <v>84</v>
      </c>
      <c r="AA32" s="15" t="s">
        <v>68</v>
      </c>
      <c r="AB32" s="15"/>
      <c r="AC32" s="15"/>
      <c r="AD32" s="15"/>
      <c r="AE32" s="15"/>
      <c r="AF32" s="15"/>
      <c r="AG32" s="15" t="s">
        <v>169</v>
      </c>
      <c r="AH32" s="18"/>
      <c r="AI32" s="18" t="s">
        <v>84</v>
      </c>
      <c r="AJ32" s="18" t="s">
        <v>624</v>
      </c>
      <c r="AK32" s="18" t="s">
        <v>418</v>
      </c>
      <c r="AL32" s="18" t="s">
        <v>39</v>
      </c>
      <c r="AM32" s="18" t="s">
        <v>48</v>
      </c>
      <c r="AN32" s="18" t="s">
        <v>625</v>
      </c>
      <c r="AO32" s="19" t="s">
        <v>626</v>
      </c>
      <c r="AP32" s="18" t="s">
        <v>627</v>
      </c>
      <c r="AQ32" s="18" t="s">
        <v>628</v>
      </c>
      <c r="AR32" s="18" t="s">
        <v>629</v>
      </c>
      <c r="AS32" s="18"/>
      <c r="AT32" s="18" t="s">
        <v>333</v>
      </c>
      <c r="AU32" s="18" t="s">
        <v>333</v>
      </c>
      <c r="AV32" s="18" t="s">
        <v>333</v>
      </c>
      <c r="AW32" s="18" t="s">
        <v>360</v>
      </c>
      <c r="AX32" s="18" t="s">
        <v>277</v>
      </c>
      <c r="AY32" s="18" t="s">
        <v>411</v>
      </c>
      <c r="AZ32" s="18"/>
      <c r="BA32" s="18"/>
      <c r="BB32" s="18" t="s">
        <v>412</v>
      </c>
      <c r="BC32" s="18" t="s">
        <v>280</v>
      </c>
      <c r="BD32" s="18" t="s">
        <v>281</v>
      </c>
      <c r="BE32" s="18"/>
      <c r="BF32" s="18" t="s">
        <v>282</v>
      </c>
      <c r="BG32" s="18"/>
      <c r="BH32" s="18"/>
      <c r="BI32" s="18"/>
      <c r="BJ32" s="18"/>
      <c r="BK32" s="18">
        <v>101844</v>
      </c>
      <c r="BL32" s="18" t="s">
        <v>630</v>
      </c>
      <c r="BM32" s="18" t="s">
        <v>631</v>
      </c>
      <c r="BN32" s="18" t="s">
        <v>632</v>
      </c>
      <c r="BO32"/>
      <c r="BP32"/>
      <c r="BQ32" s="21" t="s">
        <v>633</v>
      </c>
      <c r="BR32"/>
      <c r="BS32" s="15"/>
      <c r="BT32" s="15"/>
      <c r="BU32" s="15"/>
      <c r="BV32"/>
      <c r="BW32" s="1" t="s">
        <v>657</v>
      </c>
    </row>
    <row r="33" spans="1:75" ht="12" customHeight="1" x14ac:dyDescent="0.25">
      <c r="A33" s="15" t="s">
        <v>262</v>
      </c>
      <c r="B33" s="15" t="s">
        <v>154</v>
      </c>
      <c r="C33" s="15" t="s">
        <v>120</v>
      </c>
      <c r="D33" t="s">
        <v>71</v>
      </c>
      <c r="E33"/>
      <c r="F33"/>
      <c r="G33"/>
      <c r="H33"/>
      <c r="I33"/>
      <c r="J33"/>
      <c r="K33"/>
      <c r="L33"/>
      <c r="M33"/>
      <c r="N33"/>
      <c r="O33">
        <f>VLOOKUP(Q33,[1]Sheet2!$Q$2:$Q$35,1,0)</f>
        <v>96</v>
      </c>
      <c r="P33" s="16">
        <v>1311</v>
      </c>
      <c r="Q33" s="15">
        <v>96</v>
      </c>
      <c r="R33" s="15">
        <v>213392</v>
      </c>
      <c r="S33" s="17" t="s">
        <v>27</v>
      </c>
      <c r="T33" s="15" t="s">
        <v>42</v>
      </c>
      <c r="U33" s="15" t="s">
        <v>12</v>
      </c>
      <c r="V33" s="15" t="s">
        <v>6</v>
      </c>
      <c r="W33" s="15" t="s">
        <v>162</v>
      </c>
      <c r="X33" s="15" t="s">
        <v>231</v>
      </c>
      <c r="Y33" s="15" t="s">
        <v>180</v>
      </c>
      <c r="Z33" s="15" t="s">
        <v>84</v>
      </c>
      <c r="AA33" s="15" t="s">
        <v>259</v>
      </c>
      <c r="AB33" s="15"/>
      <c r="AC33" s="15"/>
      <c r="AD33" s="15"/>
      <c r="AE33" s="15"/>
      <c r="AF33" s="15"/>
      <c r="AG33" s="15" t="s">
        <v>169</v>
      </c>
      <c r="AH33" s="18"/>
      <c r="AI33" s="18" t="s">
        <v>391</v>
      </c>
      <c r="AJ33" s="18" t="s">
        <v>634</v>
      </c>
      <c r="AK33" s="18" t="s">
        <v>635</v>
      </c>
      <c r="AL33" s="18" t="s">
        <v>394</v>
      </c>
      <c r="AM33" s="18" t="s">
        <v>6</v>
      </c>
      <c r="AN33" s="18" t="s">
        <v>636</v>
      </c>
      <c r="AO33" s="19" t="s">
        <v>637</v>
      </c>
      <c r="AP33" s="18"/>
      <c r="AQ33" s="18"/>
      <c r="AR33" s="18"/>
      <c r="AS33" s="18"/>
      <c r="AT33" s="18" t="s">
        <v>360</v>
      </c>
      <c r="AU33" s="18" t="s">
        <v>638</v>
      </c>
      <c r="AV33" s="18" t="s">
        <v>639</v>
      </c>
      <c r="AW33" s="18" t="s">
        <v>360</v>
      </c>
      <c r="AX33" s="18" t="s">
        <v>640</v>
      </c>
      <c r="AY33" s="18" t="s">
        <v>640</v>
      </c>
      <c r="AZ33" s="18" t="s">
        <v>641</v>
      </c>
      <c r="BA33" s="18"/>
      <c r="BB33" s="18" t="s">
        <v>642</v>
      </c>
      <c r="BC33" s="18" t="s">
        <v>280</v>
      </c>
      <c r="BD33" s="18"/>
      <c r="BE33" s="18"/>
      <c r="BF33" s="18"/>
      <c r="BG33" s="18"/>
      <c r="BH33" s="18"/>
      <c r="BI33" s="18"/>
      <c r="BJ33" s="18"/>
      <c r="BK33" s="18">
        <v>213392</v>
      </c>
      <c r="BL33" s="18" t="s">
        <v>643</v>
      </c>
      <c r="BM33" s="18" t="s">
        <v>644</v>
      </c>
      <c r="BN33" s="18" t="s">
        <v>645</v>
      </c>
      <c r="BO33"/>
      <c r="BP33"/>
      <c r="BQ33" s="21" t="s">
        <v>646</v>
      </c>
      <c r="BR33"/>
      <c r="BS33" s="15"/>
      <c r="BT33" s="15"/>
      <c r="BU33" s="15"/>
      <c r="BV33"/>
      <c r="BW33" s="1" t="s">
        <v>657</v>
      </c>
    </row>
    <row r="34" spans="1:75" ht="12" customHeight="1" x14ac:dyDescent="0.25">
      <c r="A34" s="15" t="s">
        <v>262</v>
      </c>
      <c r="B34" s="15" t="s">
        <v>154</v>
      </c>
      <c r="C34" s="15" t="s">
        <v>120</v>
      </c>
      <c r="D34" t="s">
        <v>71</v>
      </c>
      <c r="E34"/>
      <c r="F34"/>
      <c r="G34"/>
      <c r="H34"/>
      <c r="I34"/>
      <c r="J34"/>
      <c r="K34"/>
      <c r="L34"/>
      <c r="M34"/>
      <c r="N34"/>
      <c r="O34">
        <f>VLOOKUP(Q34,[1]Sheet2!$Q$2:$Q$35,1,0)</f>
        <v>455</v>
      </c>
      <c r="P34" s="16">
        <v>1670</v>
      </c>
      <c r="Q34" s="15">
        <v>455</v>
      </c>
      <c r="R34" s="15">
        <v>222184</v>
      </c>
      <c r="S34" s="17" t="s">
        <v>201</v>
      </c>
      <c r="T34" s="15" t="s">
        <v>129</v>
      </c>
      <c r="U34" s="15" t="s">
        <v>138</v>
      </c>
      <c r="V34" s="15" t="s">
        <v>207</v>
      </c>
      <c r="W34" s="15" t="s">
        <v>162</v>
      </c>
      <c r="X34" s="15" t="s">
        <v>88</v>
      </c>
      <c r="Y34" s="15" t="s">
        <v>243</v>
      </c>
      <c r="Z34" s="15" t="s">
        <v>148</v>
      </c>
      <c r="AA34" s="15" t="s">
        <v>152</v>
      </c>
      <c r="AB34" s="15"/>
      <c r="AC34" s="15"/>
      <c r="AD34" s="15"/>
      <c r="AE34" s="15"/>
      <c r="AF34" s="15"/>
      <c r="AG34" s="15" t="s">
        <v>169</v>
      </c>
      <c r="AH34" s="18"/>
      <c r="AI34" s="18" t="s">
        <v>18</v>
      </c>
      <c r="AJ34" s="18"/>
      <c r="AK34" s="18"/>
      <c r="AL34" s="18"/>
      <c r="AM34" s="18" t="s">
        <v>207</v>
      </c>
      <c r="AN34" s="18" t="s">
        <v>647</v>
      </c>
      <c r="AO34" s="18"/>
      <c r="AP34" s="18"/>
      <c r="AQ34" s="18"/>
      <c r="AR34" s="18"/>
      <c r="AS34" s="18"/>
      <c r="AT34" s="18"/>
      <c r="AU34" s="18"/>
      <c r="AV34" s="18"/>
      <c r="AW34" s="18"/>
      <c r="AX34" s="18"/>
      <c r="AY34" s="18"/>
      <c r="AZ34" s="18"/>
      <c r="BA34" s="18"/>
      <c r="BB34" s="18"/>
      <c r="BC34" s="18"/>
      <c r="BD34" s="18"/>
      <c r="BE34" s="18"/>
      <c r="BF34" s="18"/>
      <c r="BG34" s="18"/>
      <c r="BH34" s="18"/>
      <c r="BI34" s="18"/>
      <c r="BJ34" s="18"/>
      <c r="BK34" s="18">
        <v>222184</v>
      </c>
      <c r="BL34" s="18" t="s">
        <v>648</v>
      </c>
      <c r="BM34" s="18"/>
      <c r="BN34" s="18"/>
      <c r="BO34"/>
      <c r="BP34"/>
      <c r="BQ34"/>
      <c r="BR34"/>
      <c r="BS34" s="15"/>
      <c r="BT34" s="15"/>
      <c r="BU34" s="15"/>
      <c r="BV34"/>
      <c r="BW34" s="1" t="s">
        <v>657</v>
      </c>
    </row>
    <row r="35" spans="1:75" ht="12" customHeight="1" x14ac:dyDescent="0.25">
      <c r="A35" s="15" t="s">
        <v>262</v>
      </c>
      <c r="B35" s="15" t="s">
        <v>154</v>
      </c>
      <c r="C35" s="15" t="s">
        <v>120</v>
      </c>
      <c r="D35" t="s">
        <v>71</v>
      </c>
      <c r="E35"/>
      <c r="F35"/>
      <c r="G35"/>
      <c r="H35"/>
      <c r="I35"/>
      <c r="J35"/>
      <c r="K35"/>
      <c r="L35"/>
      <c r="M35"/>
      <c r="N35"/>
      <c r="O35">
        <f>VLOOKUP(Q35,[1]Sheet2!$Q$2:$Q$35,1,0)</f>
        <v>510</v>
      </c>
      <c r="P35" s="16">
        <v>1725</v>
      </c>
      <c r="Q35" s="15">
        <v>510</v>
      </c>
      <c r="R35" s="15">
        <v>213846</v>
      </c>
      <c r="S35" s="17" t="s">
        <v>222</v>
      </c>
      <c r="T35" s="15" t="s">
        <v>251</v>
      </c>
      <c r="U35" s="15" t="s">
        <v>39</v>
      </c>
      <c r="V35" s="15" t="s">
        <v>11</v>
      </c>
      <c r="W35" s="15" t="s">
        <v>59</v>
      </c>
      <c r="X35" s="15" t="s">
        <v>235</v>
      </c>
      <c r="Y35" s="15" t="s">
        <v>54</v>
      </c>
      <c r="Z35" s="15" t="s">
        <v>148</v>
      </c>
      <c r="AA35" s="15" t="s">
        <v>78</v>
      </c>
      <c r="AB35" s="15"/>
      <c r="AC35" s="15"/>
      <c r="AD35" s="15"/>
      <c r="AE35" s="15"/>
      <c r="AF35" s="15"/>
      <c r="AG35" s="15" t="s">
        <v>169</v>
      </c>
      <c r="AH35" s="18" t="s">
        <v>264</v>
      </c>
      <c r="AI35" s="18" t="s">
        <v>18</v>
      </c>
      <c r="AJ35" s="18" t="s">
        <v>649</v>
      </c>
      <c r="AK35" s="18" t="s">
        <v>458</v>
      </c>
      <c r="AL35" s="18" t="s">
        <v>39</v>
      </c>
      <c r="AM35" s="18" t="s">
        <v>11</v>
      </c>
      <c r="AN35" s="18" t="s">
        <v>235</v>
      </c>
      <c r="AO35" s="19" t="s">
        <v>650</v>
      </c>
      <c r="AP35" s="18" t="s">
        <v>651</v>
      </c>
      <c r="AQ35" s="18" t="s">
        <v>652</v>
      </c>
      <c r="AR35" s="18" t="s">
        <v>653</v>
      </c>
      <c r="AS35" s="18"/>
      <c r="AT35" s="18" t="s">
        <v>360</v>
      </c>
      <c r="AU35" s="18" t="s">
        <v>411</v>
      </c>
      <c r="AV35" s="18" t="s">
        <v>411</v>
      </c>
      <c r="AW35" s="18" t="s">
        <v>360</v>
      </c>
      <c r="AX35" s="18" t="s">
        <v>347</v>
      </c>
      <c r="AY35" s="18" t="s">
        <v>411</v>
      </c>
      <c r="AZ35" s="18"/>
      <c r="BA35" s="18"/>
      <c r="BB35" s="18" t="s">
        <v>412</v>
      </c>
      <c r="BC35" s="18" t="s">
        <v>280</v>
      </c>
      <c r="BD35" s="18"/>
      <c r="BE35" s="18"/>
      <c r="BF35" s="18" t="s">
        <v>282</v>
      </c>
      <c r="BG35" s="18"/>
      <c r="BH35" s="18"/>
      <c r="BI35" s="18"/>
      <c r="BJ35" s="18"/>
      <c r="BK35" s="18">
        <v>213846</v>
      </c>
      <c r="BL35" s="18" t="s">
        <v>654</v>
      </c>
      <c r="BM35" s="18" t="s">
        <v>655</v>
      </c>
      <c r="BN35" s="18" t="s">
        <v>655</v>
      </c>
      <c r="BO35"/>
      <c r="BP35"/>
      <c r="BQ35" s="21" t="s">
        <v>656</v>
      </c>
      <c r="BR35"/>
      <c r="BS35" s="15"/>
      <c r="BT35" s="15"/>
      <c r="BU35" s="15"/>
      <c r="BV35"/>
      <c r="BW35" s="1" t="s">
        <v>657</v>
      </c>
    </row>
  </sheetData>
  <autoFilter ref="A1:BX35"/>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Shiny</cp:lastModifiedBy>
  <dcterms:created xsi:type="dcterms:W3CDTF">2013-06-26T05:33:36Z</dcterms:created>
  <dcterms:modified xsi:type="dcterms:W3CDTF">2023-12-19T14:26:15Z</dcterms:modified>
  <cp:category/>
</cp:coreProperties>
</file>