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calcChain.xml><?xml version="1.0" encoding="utf-8"?>
<calcChain xmlns="http://schemas.openxmlformats.org/spreadsheetml/2006/main">
  <c r="C2" i="2"/>
  <c r="B8"/>
  <c r="B7"/>
  <c r="B6"/>
  <c r="B5"/>
  <c r="B4"/>
  <c r="B3"/>
  <c r="B2"/>
</calcChain>
</file>

<file path=xl/sharedStrings.xml><?xml version="1.0" encoding="utf-8"?>
<sst xmlns="http://schemas.openxmlformats.org/spreadsheetml/2006/main" count="2819" uniqueCount="906">
  <si>
    <t>ERLEM FLASK. ESMER MOUTH. 500ML 201-1339</t>
  </si>
  <si>
    <t>BASE PLATE CETOP 5, TYPE E-10</t>
  </si>
  <si>
    <t>ENLACE MIXTO HEMBRA JIMTEN H J62 25-3/4"</t>
  </si>
  <si>
    <t>ESCOBILLON 300X90X60MM</t>
  </si>
  <si>
    <t>CARBON BRUSH EG-97 REF.DE</t>
  </si>
  <si>
    <t>SAFETY PLUG 8mm RBE 08.1102/IA/OD</t>
  </si>
  <si>
    <t>HOSCH FD-B BlOQUE DE SELLADO FINAL</t>
  </si>
  <si>
    <t>1675</t>
  </si>
  <si>
    <t>1432793</t>
  </si>
  <si>
    <t>1432223</t>
  </si>
  <si>
    <t>000000000000004581AZSAPRD</t>
  </si>
  <si>
    <t>PLACA BASE 1/2 REF.FESTO NAVW-1/2-3-ISO</t>
  </si>
  <si>
    <t>ENLACE REDUCIDO JIMTEN J-68 50-40MM</t>
  </si>
  <si>
    <t>000000000000063308AZSAPRD</t>
  </si>
  <si>
    <t>000000000000063872AZSAPRD</t>
  </si>
  <si>
    <t>SAW BLADE BOSCH T-744-D</t>
  </si>
  <si>
    <t>1600</t>
  </si>
  <si>
    <t>1432745</t>
  </si>
  <si>
    <t>000000000000051308AZSAPRD</t>
  </si>
  <si>
    <t>REF.SOFACEL 262/10-TREN HB28 AMPLIDINA 4-N/REF.19/04/37H4</t>
  </si>
  <si>
    <t>Unused Text</t>
  </si>
  <si>
    <t>1442423</t>
  </si>
  <si>
    <t>PTNO 1</t>
  </si>
  <si>
    <t>Project</t>
  </si>
  <si>
    <t>MNFR 2</t>
  </si>
  <si>
    <t>000000000000021785AZSAPRD</t>
  </si>
  <si>
    <t>000000000000007665AZSAPRD</t>
  </si>
  <si>
    <t>1441118</t>
  </si>
  <si>
    <t>MATRAZ ERLEMMEYER 250MLC/BOCA ESMER.2932</t>
  </si>
  <si>
    <t>000000000000032745AZSAPRD</t>
  </si>
  <si>
    <t>MNFR 1</t>
  </si>
  <si>
    <t>ESCOBILLA PALMA DE BLANQUEO.</t>
  </si>
  <si>
    <t>Enriched/Cleansed</t>
  </si>
  <si>
    <t>VFL-362-33-4, PL.33016/005 FROM SCHUNK IBERICA -MULT.OF 24-</t>
  </si>
  <si>
    <t>STAINLESS STEEL REF.RBE-06.1102</t>
  </si>
  <si>
    <t>CETOP 3 BASE PLATE, TYPE E-06</t>
  </si>
  <si>
    <t>NBR MAT REF 11724 FOR TURBO III CONTROL PRESSURE PUMP</t>
  </si>
  <si>
    <t>UNSPSC Ver.23.07</t>
  </si>
  <si>
    <t>SAW BLADE BOSCH T-244-D</t>
  </si>
  <si>
    <t>KRON BIMETAL SAW BLADE 12''</t>
  </si>
  <si>
    <t>000000000000055009AZSAPRD</t>
  </si>
  <si>
    <t>RBE 11.1103/IA/OD FOR COMPRESSED AIR</t>
  </si>
  <si>
    <t>600 3380X25X0.6MM DIST.DIENTES 8MM RF.TIL.NRO.0909000416</t>
  </si>
  <si>
    <t>Attribute Name 18</t>
  </si>
  <si>
    <t>HOJAS SIERRA DE MANO ACERO RA-</t>
  </si>
  <si>
    <t>DISPLAY TRANSMISOR NIVEL ULTRASONICO E&amp;H</t>
  </si>
  <si>
    <t>BAND SAW</t>
  </si>
  <si>
    <t xml:space="preserve">DWG </t>
  </si>
  <si>
    <t>HOJA SIERRA CINTA 528 2460X27X0,90 6/10</t>
  </si>
  <si>
    <t>000000000000055498AZSAPRD</t>
  </si>
  <si>
    <t>Production Comments</t>
  </si>
  <si>
    <t>MATKL</t>
  </si>
  <si>
    <t>1432465</t>
  </si>
  <si>
    <t>1430632</t>
  </si>
  <si>
    <t>MIXED LINK JIMTEN J-61 Ø25-3/4"</t>
  </si>
  <si>
    <t>000000000000054765AZSAPRD</t>
  </si>
  <si>
    <t>000000000000021787AZSAPRD</t>
  </si>
  <si>
    <t>HOSCH FD-C BLOQUE DE SELLADO FINAL</t>
  </si>
  <si>
    <t>Griha ID</t>
  </si>
  <si>
    <t>Remarks</t>
  </si>
  <si>
    <t>000000000000068866AZSAPRD</t>
  </si>
  <si>
    <t>FINALS</t>
  </si>
  <si>
    <t>1439416</t>
  </si>
  <si>
    <t>1439412</t>
  </si>
  <si>
    <t>1439413</t>
  </si>
  <si>
    <t>Reference URL1</t>
  </si>
  <si>
    <t>Data Enrichment</t>
  </si>
  <si>
    <t>000000000000049812AZSAPRD</t>
  </si>
  <si>
    <t>EJECUCIÃ“N IZQUIERDA</t>
  </si>
  <si>
    <t>AEROQUIP-ELECTROLISIS-II</t>
  </si>
  <si>
    <t>WIKUS FOR ELECTROLYSIS WORKSHOP SAW</t>
  </si>
  <si>
    <t>1430352</t>
  </si>
  <si>
    <t>https://www.jimten.com/en/producto/3000/male-threaded-coupling/</t>
  </si>
  <si>
    <t>Attribute Value 13</t>
  </si>
  <si>
    <t>1429683</t>
  </si>
  <si>
    <t>JIG SAW</t>
  </si>
  <si>
    <t>REF 4010-28+4050-28 INSTALACION COLADA JUMBOS Y STRIPS</t>
  </si>
  <si>
    <t>1439134</t>
  </si>
  <si>
    <t>000000000000006210AZSAPRD</t>
  </si>
  <si>
    <t>DOSIFICADOR KIPP (CABEZA) 10ML</t>
  </si>
  <si>
    <t>DISPLAY TOTALIZADOR WEIGEL MESSGERATE</t>
  </si>
  <si>
    <t>000000000000056484AZSAPRD</t>
  </si>
  <si>
    <t>ESCOBILLAS PARA EXCITRATIZ TI-</t>
  </si>
  <si>
    <t>MATRAZ AFORADO 100 ML CLASE B</t>
  </si>
  <si>
    <t>SAW BLADE ELEKTRA-BECKUM BANDSAGE BAS-</t>
  </si>
  <si>
    <t>DISPLAY DITEL PICA P6 24Vca</t>
  </si>
  <si>
    <t>1442425</t>
  </si>
  <si>
    <t>ERSA</t>
  </si>
  <si>
    <t>HOJA SIERRA BOSCH T-744-D</t>
  </si>
  <si>
    <t>PS2 REF C73451-A430-D81</t>
  </si>
  <si>
    <t>X-200 PNEUMATIC TRANSPORT ROASTING III PART NUMBER 014206-01</t>
  </si>
  <si>
    <t>M</t>
  </si>
  <si>
    <t>1439409</t>
  </si>
  <si>
    <t>CARBON</t>
  </si>
  <si>
    <t>1439402</t>
  </si>
  <si>
    <t>1439403</t>
  </si>
  <si>
    <t>MIXED LINK JIMTEN J-61 Ø20-1/2"</t>
  </si>
  <si>
    <t>SOFACEL 262/7 DE 20X20X40 MM. PARA DINAMO GRUPO LEONARD LAM.</t>
  </si>
  <si>
    <t>MAKTX_FR</t>
  </si>
  <si>
    <t>BRUSHES -SET OF FOUR --</t>
  </si>
  <si>
    <t>1430424</t>
  </si>
  <si>
    <t>POS/TAG</t>
  </si>
  <si>
    <t>DKUN 20 REFERENCE 83816033 (INCLUDES REF: 83817844)</t>
  </si>
  <si>
    <t>PLACA BASE 1/4 REF.FESTO NAVW-1/4-1-ISO</t>
  </si>
  <si>
    <t>ERLEMMEYER FLASK 250ML EFNG-250-010</t>
  </si>
  <si>
    <t>REF 942037-0000</t>
  </si>
  <si>
    <t>CENTRO CERRADO NG6 PARKER P/INSTALACION STRIPS, ASTUGAL Y ACERALIA FUSION I</t>
  </si>
  <si>
    <t>ESCOBILLA CALIDAD EG-97 REF.</t>
  </si>
  <si>
    <t>ENLACE MIXTO HEMBRA JIMTEN H J62 32-1"</t>
  </si>
  <si>
    <t>PLACA BASE GUIA DE CADENA DK2</t>
  </si>
  <si>
    <t>JIMTEN MALE LINK J-61 Ø50x1 1/2"</t>
  </si>
  <si>
    <t>PLACA BASE GUIA DE CADENA DK5</t>
  </si>
  <si>
    <t>PTNO 2</t>
  </si>
  <si>
    <t>NG6,10FACH,PTAB-G1/2&amp; R996021622</t>
  </si>
  <si>
    <t>REF. KUNZ R996021622 932987</t>
  </si>
  <si>
    <t>STP_009 - Lot3</t>
  </si>
  <si>
    <t>HOSCH FD-X KIT PLATE FIXING BLOCKS</t>
  </si>
  <si>
    <t>EYEWASH DISPENSER COD 190136</t>
  </si>
  <si>
    <t>ANULAR CUANDO STOCK=0.IGUAL A COD.52754</t>
  </si>
  <si>
    <t>MICROSYST DISPLAY ON PROFIBUS DP</t>
  </si>
  <si>
    <t>000000000000068870AZSAPRD</t>
  </si>
  <si>
    <t>MIGAN-FI-PROFIBUS-4X100-SS-24-AA- T"KG"</t>
  </si>
  <si>
    <t>LVORM</t>
  </si>
  <si>
    <t>Attribute Name 35</t>
  </si>
  <si>
    <t>MATNR</t>
  </si>
  <si>
    <t>000000000000052913AZSAPRD</t>
  </si>
  <si>
    <t>SAW BLADE BOSCH T-141 HM</t>
  </si>
  <si>
    <t>BRUSHES FOR EXCITRATING TI-</t>
  </si>
  <si>
    <t>DISTRIBUIDOR MANUAL REF D1VL001NN4J 4/3</t>
  </si>
  <si>
    <t>MAKTX_ES</t>
  </si>
  <si>
    <t>1439090</t>
  </si>
  <si>
    <t>HOSCH FD-C SEALING BLOCK 150x300mm</t>
  </si>
  <si>
    <t>HOJA SIERRA MAQUINA DE CALAR BOSCH T-244</t>
  </si>
  <si>
    <t>000000000000063496AZSAPRD</t>
  </si>
  <si>
    <t>NG6 PARKER CLOSED CENTER FOR STRIPS, ASTUGAL AND ACERALIA FUSION I INSTALLATION</t>
  </si>
  <si>
    <t>HORNOS TOSTACIONES AISI 316, DN13, ROSCA 1/2'' BSP MACHO, REF. Z800108 Y HEMBRA Z800208.</t>
  </si>
  <si>
    <t>000000000000006458AZSAPRD</t>
  </si>
  <si>
    <t>MAKTX_EN</t>
  </si>
  <si>
    <t>000000000000066806AZSAPRD</t>
  </si>
  <si>
    <t>000000000000040718AZSAPRD</t>
  </si>
  <si>
    <t>ST</t>
  </si>
  <si>
    <t>ULTRASONIC LEVEL TRANSMITTER DISPLAY E&amp;H</t>
  </si>
  <si>
    <t>Attribute Value 9</t>
  </si>
  <si>
    <t>DHW MAT-PAN-A</t>
  </si>
  <si>
    <t>MTART</t>
  </si>
  <si>
    <t>DKUN 10 REFERENCIA 83729433 (INCLUYE REF:83717844)</t>
  </si>
  <si>
    <t>HOSCH FD-C BLOQUE DE SELLADO 150x300mm</t>
  </si>
  <si>
    <t>000000000000008053AZSAPRD</t>
  </si>
  <si>
    <t>1439398</t>
  </si>
  <si>
    <t>1439397</t>
  </si>
  <si>
    <t>DISPLAY FOR ULTRASOUND LEVEL TRANSMITTER</t>
  </si>
  <si>
    <t>ESCOBILLA CARBON EG-97 REF.DE</t>
  </si>
  <si>
    <t>000000000000006293AZSAPRD</t>
  </si>
  <si>
    <t>000000000000051090AZSAPRD</t>
  </si>
  <si>
    <t>LEFT EXECUTION</t>
  </si>
  <si>
    <t>SPRAS</t>
  </si>
  <si>
    <t>000000000000008052AZSAPRD</t>
  </si>
  <si>
    <t>262/8 PLANO 19/04/37-H1 TREN HB-28 LAMINACION ARNAO.</t>
  </si>
  <si>
    <t>1439088</t>
  </si>
  <si>
    <t>1439089</t>
  </si>
  <si>
    <t>000000000000063198AZSAPRD</t>
  </si>
  <si>
    <t>WIKUS P/SIERRA DE TALLER DE ELECTROLISIS</t>
  </si>
  <si>
    <t>QUALITY BRUSH EG-97 REF.</t>
  </si>
  <si>
    <t>CHAIN GUIDE BASE PLATE DK5</t>
  </si>
  <si>
    <t>000000000000050000AZSAPRD</t>
  </si>
  <si>
    <t>MULTIFUNCTION DISPLAY REF 520055 E&amp;H</t>
  </si>
  <si>
    <t>HOSCH FD-B BLOQUE DE SELLADO 150x200mm</t>
  </si>
  <si>
    <t>PLACA BASE HID. NG6 10FACH,PTAB-G1/2&amp;</t>
  </si>
  <si>
    <t>AEROQUIP-ELECTROLYSIS-II</t>
  </si>
  <si>
    <t>QUICK PLUG FOR NATURAL GAS 3/8" FEMALE</t>
  </si>
  <si>
    <t>BASE PLATE</t>
  </si>
  <si>
    <t>MATRAZ AFORADO DE 1000 ML.</t>
  </si>
  <si>
    <t>Noun</t>
  </si>
  <si>
    <t>000000000000071376AZSAPRD</t>
  </si>
  <si>
    <t>MNFR</t>
  </si>
  <si>
    <t>1437970</t>
  </si>
  <si>
    <t>1442429</t>
  </si>
  <si>
    <t>1442422</t>
  </si>
  <si>
    <t>1442421</t>
  </si>
  <si>
    <t>1442426</t>
  </si>
  <si>
    <t>DISPLAY P/TRANSMISOR NIVEL ULTRASONIDOS</t>
  </si>
  <si>
    <t>1442424</t>
  </si>
  <si>
    <t>000000000000066800AZSAPRD</t>
  </si>
  <si>
    <t>HOJA SIERRA ELEKTRA-BECKUM BANDSAGE BAS-</t>
  </si>
  <si>
    <t>BASE PLATE HID. NG6 10FACH,PTAB-G1/2&amp;</t>
  </si>
  <si>
    <t>000000000000007482AZSAPRD</t>
  </si>
  <si>
    <t>5100</t>
  </si>
  <si>
    <t>CANCEL WHEN STOCK=0. EQUAL TO COD.52754</t>
  </si>
  <si>
    <t>Item Number</t>
  </si>
  <si>
    <t>Start Date</t>
  </si>
  <si>
    <t>DPA14-31A10R RECTIFIERS</t>
  </si>
  <si>
    <t>1428566</t>
  </si>
  <si>
    <t>000000000000068873AZSAPRD</t>
  </si>
  <si>
    <t>2800</t>
  </si>
  <si>
    <t>MIXED LINK JIMTEN J-61 Ø32-1"</t>
  </si>
  <si>
    <t>Attribute Value 18</t>
  </si>
  <si>
    <t>Attribute Value 28</t>
  </si>
  <si>
    <t>DISPENSER</t>
  </si>
  <si>
    <t>Attribute Name 8</t>
  </si>
  <si>
    <t>1435303</t>
  </si>
  <si>
    <t>MFRNR DES</t>
  </si>
  <si>
    <t>DISPENSET 5-50 ML REF: 4600160</t>
  </si>
  <si>
    <t>CHAIN GUIDE BASE PLATE DK2</t>
  </si>
  <si>
    <t>ESCOBILLAS P/ALTERNADOR TIPO</t>
  </si>
  <si>
    <t>PO G194-18-4, PL.33016/001 OF SCHUNK IBERICA SIEMENS TURBOALTERNATOR -MINIMUM 48 UNITS-</t>
  </si>
  <si>
    <t>ENLACE MIXTO MACHO JIMTEN J-61 Ø25-3/4"</t>
  </si>
  <si>
    <t>REF 4010-28+4050-28 JUMBOS AND STRIPS CAST INSTALLATION</t>
  </si>
  <si>
    <t>1439103</t>
  </si>
  <si>
    <t>000000000000022945AZSAPRD</t>
  </si>
  <si>
    <t>Attribute Value 17</t>
  </si>
  <si>
    <t>000000000000060285AZSAPRD</t>
  </si>
  <si>
    <t>000000000000006058AZSAPRD</t>
  </si>
  <si>
    <t>000000000000055855AZSAPRD</t>
  </si>
  <si>
    <t>000000000000055011AZSAPRD</t>
  </si>
  <si>
    <t>Attribute Name 7</t>
  </si>
  <si>
    <t>QUALITY CARBON BRUSH EG-97</t>
  </si>
  <si>
    <t>DISPLAY</t>
  </si>
  <si>
    <t>1440294</t>
  </si>
  <si>
    <t>DOSIFICADOR CERAMIC.S/P AZ-12-11-144Rev1</t>
  </si>
  <si>
    <t>Attribute Value 12</t>
  </si>
  <si>
    <t>Attribute Value 32</t>
  </si>
  <si>
    <t>Attribute Value 22</t>
  </si>
  <si>
    <t>Attribute Name 2</t>
  </si>
  <si>
    <t>BRUSHES FOR ALTERNATOR TYPE</t>
  </si>
  <si>
    <t>BISMT</t>
  </si>
  <si>
    <t>000000000000067050AZSAPRD</t>
  </si>
  <si>
    <t>000000000000007663AZSAPRD</t>
  </si>
  <si>
    <t>REF.FESTO NAVW-1/4-1-ISO</t>
  </si>
  <si>
    <t>QUICK PLUG 3/4".REF.5600-12-10S</t>
  </si>
  <si>
    <t>000000000000045194AZSAPRD</t>
  </si>
  <si>
    <t>DKUN 10 REFERENCE 83729433 (INCLUDES REF: 83717844)</t>
  </si>
  <si>
    <t>ACCORDING TO DIN 24340 - KUNZ CRANES.</t>
  </si>
  <si>
    <t>262/8 PLAN 04/19/37-H1 TRAIN HB-28 ARNAO ROLLING.</t>
  </si>
  <si>
    <t>Attribute Value 19</t>
  </si>
  <si>
    <t>Attribute Value 29</t>
  </si>
  <si>
    <t>MIXED LINK MALE JIMTEN M J-61 63-2"</t>
  </si>
  <si>
    <t>Attribute Name 9</t>
  </si>
  <si>
    <t>BRUSH</t>
  </si>
  <si>
    <t>Attribute Name 6</t>
  </si>
  <si>
    <t>WITHOUT PURGE VALVE</t>
  </si>
  <si>
    <t>ROASTING FURNACES AISI 316, DN13, 1/2'' BSP MALE THREAD, REF. Z800108 AND FEMALE Z800208.</t>
  </si>
  <si>
    <t>ENCHUFE RAPIDO P/GAS NATURAL 3/8" HEMBRA</t>
  </si>
  <si>
    <t>1431179</t>
  </si>
  <si>
    <t>1431178</t>
  </si>
  <si>
    <t>DISTRIBUIDOR MANUAL VICKERS</t>
  </si>
  <si>
    <t>1442419</t>
  </si>
  <si>
    <t>Attribute Value 14</t>
  </si>
  <si>
    <t>Attribute Value 34</t>
  </si>
  <si>
    <t>Attribute Value 24</t>
  </si>
  <si>
    <t>1442417</t>
  </si>
  <si>
    <t>PC</t>
  </si>
  <si>
    <t>BHJ</t>
  </si>
  <si>
    <t>MATRAZ ERLEMMEYER 250ML EFNG-250-010</t>
  </si>
  <si>
    <t>1442519</t>
  </si>
  <si>
    <t>REF.SOFACEL 262/10-TRAIN HB28 AMPLIDINA 4-N/REF.19/04/37H4</t>
  </si>
  <si>
    <t>DISTRIBUIDOR AIRE P/POSICIONADOR SIPART</t>
  </si>
  <si>
    <t>1428985</t>
  </si>
  <si>
    <t>ERLEMMEYER FLASK 250MLC/ESMER MOUTH.2932</t>
  </si>
  <si>
    <t>SIN VALVULA DE PURGA</t>
  </si>
  <si>
    <t>Attribute Value 33</t>
  </si>
  <si>
    <t>Attribute Value 23</t>
  </si>
  <si>
    <t>600 3380X25X0.6MM TEETH DIST 8MM RF.TIL.NRO.0909000416</t>
  </si>
  <si>
    <t>Attribute Name 3</t>
  </si>
  <si>
    <t>DISPLAY MICROSYST EN PROFIBUS DP</t>
  </si>
  <si>
    <t>ENCHUFE SEGURIDAD 8mm RBE 08.1102/IA/OD</t>
  </si>
  <si>
    <t>000000000000066804AZSAPRD</t>
  </si>
  <si>
    <t>000000000000068871AZSAPRD</t>
  </si>
  <si>
    <t>DKUN 20 REFERENCIA 83816033 (INCLUYE REF:83817844)</t>
  </si>
  <si>
    <t>DISPERSER 120 MARK 41 S/P 31272</t>
  </si>
  <si>
    <t>000000000000050001AZSAPRD</t>
  </si>
  <si>
    <t>QUICK COUPLING DIESEL LANCES</t>
  </si>
  <si>
    <t>Attribute Value 16</t>
  </si>
  <si>
    <t>Attribute Value 36</t>
  </si>
  <si>
    <t>Attribute Value 26</t>
  </si>
  <si>
    <t>SET. DKUN 5 REFERENCIA 83629433 (INCLUYE REF:83617844)</t>
  </si>
  <si>
    <t>000000000000064607AZSAPRD</t>
  </si>
  <si>
    <t>HOSCH FD-CB SKIRT SUPPORT 1180mm, INOX</t>
  </si>
  <si>
    <t>DITEL PICA P6 DISPLAY 24Vac</t>
  </si>
  <si>
    <t>MEINS</t>
  </si>
  <si>
    <t>Reference URL</t>
  </si>
  <si>
    <t>1438959</t>
  </si>
  <si>
    <t>BAND SAW BLADE 528 2460X27X0,90 6/10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</si>
  <si>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</si>
  <si>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</si>
  <si>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</si>
  <si>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</si>
  <si>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</si>
  <si>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</si>
  <si>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Attribute Name 5</t>
  </si>
  <si>
    <t>https://mall.industry.siemens.com/mall/en/se/Catalog/Product/C73451-A430-D81</t>
  </si>
  <si>
    <t>JIMTEN J-68 REDUCED LINK 50-40MM</t>
  </si>
  <si>
    <t>TECNAUTOMAT</t>
  </si>
  <si>
    <t>PLACA BASE GUIA DE CADENA DK10</t>
  </si>
  <si>
    <t>000000000000037231AZSAPRD</t>
  </si>
  <si>
    <t>JIMTEN H J62 32-1" FEMALE MIXED LINK</t>
  </si>
  <si>
    <t>1428180</t>
  </si>
  <si>
    <t>Attribute Value 10</t>
  </si>
  <si>
    <t>Attribute Value 30</t>
  </si>
  <si>
    <t>Attribute Value 20</t>
  </si>
  <si>
    <t>HOSCH FD-B SEALING BLOCK 150x200mm</t>
  </si>
  <si>
    <t>DISPLAY SIWAREX SIEMENS 7NJ30-S70-S102</t>
  </si>
  <si>
    <t>HOJA SIERRA KRON BIMETAL 12''</t>
  </si>
  <si>
    <t>000000000000068872AZSAPRD</t>
  </si>
  <si>
    <t>1440710</t>
  </si>
  <si>
    <t>Verified MNFR from web</t>
  </si>
  <si>
    <t>DRAWING VERSION</t>
  </si>
  <si>
    <t>MBRSH</t>
  </si>
  <si>
    <t>1431052</t>
  </si>
  <si>
    <t>1431188</t>
  </si>
  <si>
    <t>BASE PLATE 1/2 REF.FESTO NAVW-1/2-3-ISO</t>
  </si>
  <si>
    <t>Attribute Value 8</t>
  </si>
  <si>
    <t>1431187</t>
  </si>
  <si>
    <t>1431186</t>
  </si>
  <si>
    <t>Attribute Value 1</t>
  </si>
  <si>
    <t>Attribute Value 3</t>
  </si>
  <si>
    <t>Attribute Value 2</t>
  </si>
  <si>
    <t>Attribute Value 5</t>
  </si>
  <si>
    <t>Attribute Value 4</t>
  </si>
  <si>
    <t>Attribute Value 6</t>
  </si>
  <si>
    <t>ENCHUFE SEGURIDAD 11mm ROSCA MACHO 1/2"</t>
  </si>
  <si>
    <t>NO MODIFIER</t>
  </si>
  <si>
    <t>1440295</t>
  </si>
  <si>
    <t>1433737</t>
  </si>
  <si>
    <t>1431305</t>
  </si>
  <si>
    <t>UNITS- FOR EXCITRATING TYPE G492-4,N. PL.33016/004 DE SCHUNK IBERICA SIEMENS TURBOALTERNATOR -TOSTAC.</t>
  </si>
  <si>
    <t>1000 ML VOLUMED FLASK.</t>
  </si>
  <si>
    <t>https://www.jimten.com/en/producto/2811/female-threaded-coupling-without-metal-reinforcement/</t>
  </si>
  <si>
    <t>000000000000004582AZSAPRD</t>
  </si>
  <si>
    <t>AIR DISTRIBUTOR FOR SIPART POSITIONER</t>
  </si>
  <si>
    <t>ESCOBILLA CARBON CALIDAD EG-97</t>
  </si>
  <si>
    <t>1433128</t>
  </si>
  <si>
    <t>I ASK STARRET 12 1/2''</t>
  </si>
  <si>
    <t>MANUAL DISPENSER REF D1VL001NN4J 4/3</t>
  </si>
  <si>
    <t>1438915</t>
  </si>
  <si>
    <t>FLASK</t>
  </si>
  <si>
    <t>Attribute Value 11</t>
  </si>
  <si>
    <t>HOJA SIERRA BOSCH T-141 HM</t>
  </si>
  <si>
    <t>Attribute Value 31</t>
  </si>
  <si>
    <t>Attribute Value 21</t>
  </si>
  <si>
    <t>MATNR_LONG</t>
  </si>
  <si>
    <t>RA-STEEL HANDSAW BLADES</t>
  </si>
  <si>
    <t>Attribute Name 1</t>
  </si>
  <si>
    <t>1431329</t>
  </si>
  <si>
    <t>1438762</t>
  </si>
  <si>
    <t>1431323</t>
  </si>
  <si>
    <t>000000000000052751AZSAPRD</t>
  </si>
  <si>
    <t>Equipment Serial</t>
  </si>
  <si>
    <t>PLACA BASE CETOP 5, TIPO E-10</t>
  </si>
  <si>
    <t>000000000000038989AZSAPRD</t>
  </si>
  <si>
    <t>X-200 TRANSPORTE NEUMATICO TOSTACION III PART NUMBER 014206-01</t>
  </si>
  <si>
    <t>000000000000006457AZSAPRD</t>
  </si>
  <si>
    <t>LOVEJOY ELASTOMER SOLID CENTER L110</t>
  </si>
  <si>
    <t>000000000000063001AZSAPRD</t>
  </si>
  <si>
    <t>FOR COMPRESSED AIR W/METALLIC DISCONNECTION RING IN 2 PHASES FOR GRAY ZINC GUNS</t>
  </si>
  <si>
    <t>000000000000021786AZSAPRD</t>
  </si>
  <si>
    <t>Attribute Value 7</t>
  </si>
  <si>
    <t>MAKTX_ES to EN Translated</t>
  </si>
  <si>
    <t>P/AIRE COMPRIMIDO C/ANILLO DESCONEXION METALICO EN 2 FASES P/TOLVINES GRIS DE ZINC</t>
  </si>
  <si>
    <t>MAKTX_MARA</t>
  </si>
  <si>
    <t>1438378</t>
  </si>
  <si>
    <t>HOSCH FD-X BLOCK FIXING PLATE KIT</t>
  </si>
  <si>
    <t>Class_Char_Values</t>
  </si>
  <si>
    <t>CERAMIC.S/P DISPENSER AZ-12-11-144Rev1</t>
  </si>
  <si>
    <t>ACS 400 ABB DRIVE DISPLAY</t>
  </si>
  <si>
    <t>DISPLAY MULTIFUNCION REF 520055 E&amp;H</t>
  </si>
  <si>
    <t>SET. DKUN 2 REFERENCE 83529433 (INCLUDES REF: 83517844)</t>
  </si>
  <si>
    <t>P/SILVER FLOTATION CELL</t>
  </si>
  <si>
    <t>ENLACE MIXTO MACHO JIMTEN M J-61 63-2"</t>
  </si>
  <si>
    <t>ISO II ENTRY BASE PLATE JAF-PJ2-70</t>
  </si>
  <si>
    <t>000000000000066802AZSAPRD</t>
  </si>
  <si>
    <t>P/CELDA FLOTACION PLATA</t>
  </si>
  <si>
    <t>MIGAN-FI-PROFIBUS-4X100-SS-24-AA-T"KG"</t>
  </si>
  <si>
    <t>TEXT_EN</t>
  </si>
  <si>
    <t>000000000000007191AZSAPRD</t>
  </si>
  <si>
    <t>PO G194-18-4, PL.33016/001 DE SCHUNK IBERICA TURBOALTERNADOR SIEMENS -MINIMO 48 UNIDADES-</t>
  </si>
  <si>
    <t>PALM BRUSH FOR BLEACHING.</t>
  </si>
  <si>
    <t>FINALES</t>
  </si>
  <si>
    <t>Attribute Name 15</t>
  </si>
  <si>
    <t>Attribute Value 27</t>
  </si>
  <si>
    <t>PLACA BASE CETOP 3, TIPO E-06</t>
  </si>
  <si>
    <t>1431417</t>
  </si>
  <si>
    <t>MAT ACS-PAN-A</t>
  </si>
  <si>
    <t>300 24T SUPER --SUECA--</t>
  </si>
  <si>
    <t>1431319</t>
  </si>
  <si>
    <t>40011</t>
  </si>
  <si>
    <t>1438888</t>
  </si>
  <si>
    <t>1438889</t>
  </si>
  <si>
    <t>BRUSH SWEEPER W/SUPPORT AND HANDLE</t>
  </si>
  <si>
    <t>HOSCH FD-X KIT PLACA DE FIJACION BLOQUES</t>
  </si>
  <si>
    <t>ESCOBON BARRENDERO C/SOPORTE Y MANGO</t>
  </si>
  <si>
    <t>000000000000068868AZSAPRD</t>
  </si>
  <si>
    <t>12" STARRETT SAW BLADE</t>
  </si>
  <si>
    <t>End Date</t>
  </si>
  <si>
    <t>ENLACE REDUCIDO JIMTEN J-68 40-32MM</t>
  </si>
  <si>
    <t>000000000000022985AZSAPRD</t>
  </si>
  <si>
    <t>MOD 942663-0000</t>
  </si>
  <si>
    <t>000000000000070207AZSAPRD</t>
  </si>
  <si>
    <t>1430642</t>
  </si>
  <si>
    <t>MAT NBR REF 11724 P/BOMBA PRESION MANDO TURBO III</t>
  </si>
  <si>
    <t>DISTRIBUIDOR LAVA-OJOS COD 190136</t>
  </si>
  <si>
    <t>000000000000062467AZSAPRD</t>
  </si>
  <si>
    <t>ADAPTER</t>
  </si>
  <si>
    <t>3000</t>
  </si>
  <si>
    <t>MATRAZ ERLENMEYER 500ML 913511</t>
  </si>
  <si>
    <t>BRUSH 300X90X60MM</t>
  </si>
  <si>
    <t>ENLACE MIXTO MACHO JIMTEN J-61 Ø32-1"</t>
  </si>
  <si>
    <t>MFRPN</t>
  </si>
  <si>
    <t>000000000000040717AZSAPRD</t>
  </si>
  <si>
    <t>KIPP DISPENSER (HEAD) 10ML</t>
  </si>
  <si>
    <t/>
  </si>
  <si>
    <t>ERLENMEYER FLASK 500ML 913511</t>
  </si>
  <si>
    <t>1438890</t>
  </si>
  <si>
    <t>000000000000066625AZSAPRD</t>
  </si>
  <si>
    <t>HOSCH FD-C END SEALING BLOCK</t>
  </si>
  <si>
    <t>PLACA BASE ENTRADA ISO II JAF-PJ2-70</t>
  </si>
  <si>
    <t>BOSCH T-244 JIG SAW BLADE</t>
  </si>
  <si>
    <t>1441942</t>
  </si>
  <si>
    <t>300 24T SUPER --SWEDISH--</t>
  </si>
  <si>
    <t>DISPLAY+TECLADO P/ TRANSMISOR NIVEL E&amp;H</t>
  </si>
  <si>
    <t>JIMTEN J-68 REDUCED LINK 40-32MM</t>
  </si>
  <si>
    <t>000000000000040719AZSAPRD</t>
  </si>
  <si>
    <t>MFRNR</t>
  </si>
  <si>
    <t>Modifier</t>
  </si>
  <si>
    <t>Equipment Model</t>
  </si>
  <si>
    <t>000000000000066935AZSAPRD</t>
  </si>
  <si>
    <t>CHAIN GUIDE BASE PLATE DK10</t>
  </si>
  <si>
    <t>ESCOBILLAS -JUEGO DE CUATRO --</t>
  </si>
  <si>
    <t>https://easyfairsassets.com/sites/183/2019/06/19405-00-de-en-02663c.pdf</t>
  </si>
  <si>
    <t>DISPLAY+KEYPAD FOR E&amp;H LEVEL TRANSMITTER</t>
  </si>
  <si>
    <t>1429568</t>
  </si>
  <si>
    <t>000000000000040382AZSAPRD</t>
  </si>
  <si>
    <t>Attribute Name 10</t>
  </si>
  <si>
    <t>QUICK CONNECT</t>
  </si>
  <si>
    <t>000000000000052754AZSAPRD</t>
  </si>
  <si>
    <t>VICKERS MANUAL DISPENSER</t>
  </si>
  <si>
    <t>000000000000038358AZSAPRD</t>
  </si>
  <si>
    <t>SAFETY PLUG 11mm MALE THREAD 1/2"</t>
  </si>
  <si>
    <t>1429569</t>
  </si>
  <si>
    <t>1429768</t>
  </si>
  <si>
    <t>UNIDADES- PARA EXCITRATIZ TIPO G492-4,N. PL.33016/004 DE SCHUNK IBERICA TURBOALTERNADOR SIEMENS -TOSTAC.</t>
  </si>
  <si>
    <t>000000000000066795AZSAPRD</t>
  </si>
  <si>
    <t>PIONER QUICK COUPLING 3/8" BSPP COMPLETE</t>
  </si>
  <si>
    <t>TEXT_ES</t>
  </si>
  <si>
    <t>BLOCK</t>
  </si>
  <si>
    <t>VOLUMED FLASK 100 ML CLASS B</t>
  </si>
  <si>
    <t>STACKING ASSEMBLY SUBPLATE</t>
  </si>
  <si>
    <t>000000000000008855AZSAPRD</t>
  </si>
  <si>
    <t>Attribute Name 13</t>
  </si>
  <si>
    <t>ESCOBILLA PARA BAÑO CON SOPORTE</t>
  </si>
  <si>
    <t>HOJA SIERRA STARRETT DE 12"</t>
  </si>
  <si>
    <t>ENCHUFE RAPIDO PIONER 3/8" BSPP COMPLETO</t>
  </si>
  <si>
    <t>000000000000038990AZSAPRD</t>
  </si>
  <si>
    <t>1441445</t>
  </si>
  <si>
    <t>1441444</t>
  </si>
  <si>
    <t>1429024</t>
  </si>
  <si>
    <t>DISPLAY VARIADOR ACS 400 ABB</t>
  </si>
  <si>
    <t>GREASE DISPENSER REF 8.5 PETERS PUMP</t>
  </si>
  <si>
    <t>ENCHUFE RAPIDO LANZAS GASOIL</t>
  </si>
  <si>
    <t>000000000000063224AZSAPRD</t>
  </si>
  <si>
    <t>HOSCH FD-CB SOPORTE FALDONES 1180mm,INOX</t>
  </si>
  <si>
    <t>RIGHT EXECUTION</t>
  </si>
  <si>
    <t>MOD 5200-5585</t>
  </si>
  <si>
    <t>MATRAZ ERLEM.BOCA ESMER.500ML 201-1339</t>
  </si>
  <si>
    <t>BLADE</t>
  </si>
  <si>
    <t>1436965</t>
  </si>
  <si>
    <t>000000000000067338AZSAPRD</t>
  </si>
  <si>
    <t>HOSCH FD-B BLOQUE DE SELLADO FINAL</t>
  </si>
  <si>
    <t>SEGUN DIN 24340 - GRUAS KUNZ.</t>
  </si>
  <si>
    <t>JIMTEN H J62 20-1/2" FEMALE MIXED LINK</t>
  </si>
  <si>
    <t>CHAIN GUIDE BASE PLATE DK20</t>
  </si>
  <si>
    <t>VFL-362-33-4, PL.33016/005 DE SCHUNK IBERICA -MULT.DE 24-</t>
  </si>
  <si>
    <t>000000000000068865AZSAPRD</t>
  </si>
  <si>
    <t>PIDO STARRET 12 1/2''</t>
  </si>
  <si>
    <t>TOILET BRUSH WITH HOLDER</t>
  </si>
  <si>
    <t>SOFACEL 262/7 OF 20X20X40 MM. FOR DYNAMO GROUP LEONARD LAM.</t>
  </si>
  <si>
    <t>000000000000008307AZSAPRD</t>
  </si>
  <si>
    <t>ENLACE MIXTO HEMBRA JIMTEN H J62 20-1/2"</t>
  </si>
  <si>
    <t>INOXIDABLE REF.RBE-06.1102</t>
  </si>
  <si>
    <t>000000000000038998AZSAPRD</t>
  </si>
  <si>
    <t>1429752</t>
  </si>
  <si>
    <t>000000000000068141AZSAPRD</t>
  </si>
  <si>
    <t>1441467</t>
  </si>
  <si>
    <t>PLACA BASE GUIA DE CADENA DK20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</si>
  <si>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</si>
  <si>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</si>
  <si>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</si>
  <si>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</si>
  <si>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</si>
  <si>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</si>
  <si>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</si>
  <si>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</si>
  <si>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HOSCH FD-B END SEALING BLOCK</t>
  </si>
  <si>
    <t>Attribute Name 29</t>
  </si>
  <si>
    <t>Attribute Name 28</t>
  </si>
  <si>
    <t>WEIGEL MESSGERATE TOTALIZER DISPLAY</t>
  </si>
  <si>
    <t>MATRAZ AFORADO DE 500 ML</t>
  </si>
  <si>
    <t>COUPLING</t>
  </si>
  <si>
    <t>1429722</t>
  </si>
  <si>
    <t>DOSIFICADOR GRASA REF 8.5 BOMBA PETERS</t>
  </si>
  <si>
    <t>000000000000030315AZSAPRD</t>
  </si>
  <si>
    <t>PTNO</t>
  </si>
  <si>
    <t>Status</t>
  </si>
  <si>
    <t>SET. DKUN 5 REFERENCE 83629433 (INCLUDES REF: 83617844)</t>
  </si>
  <si>
    <t>SET. DKUN 2 REFERENCIA 83529433 (INCLUYE REF:83517844)</t>
  </si>
  <si>
    <t>Attribute Name 4</t>
  </si>
  <si>
    <t>1438710</t>
  </si>
  <si>
    <t>Attribute Name 14</t>
  </si>
  <si>
    <t>Attribute Name 17</t>
  </si>
  <si>
    <t>Attribute Name 16</t>
  </si>
  <si>
    <t>Attribute Name 11</t>
  </si>
  <si>
    <t>Attribute Name 12</t>
  </si>
  <si>
    <t>Attribute Name 19</t>
  </si>
  <si>
    <t>Activities</t>
  </si>
  <si>
    <t>PIPE</t>
  </si>
  <si>
    <t>TEXT_ES to EN Translated</t>
  </si>
  <si>
    <t>Equipment Manufacturer</t>
  </si>
  <si>
    <t>BASE PLATE 1/4 REF.FESTO NAVW-1/4-1-ISO</t>
  </si>
  <si>
    <t>000000000000067335AZSAPRD</t>
  </si>
  <si>
    <t>ENCHUFE RAPIDO 3/4".REF.5600-12-10S</t>
  </si>
  <si>
    <t>ELASTOMERO LOVEJOY CENTRO SOLIDO L110</t>
  </si>
  <si>
    <t>000000000000029311AZSAPRD</t>
  </si>
  <si>
    <t>1000</t>
  </si>
  <si>
    <t>LABORATORY</t>
  </si>
  <si>
    <t>DISPERSOR 120 MARCA 41 S/P 31272</t>
  </si>
  <si>
    <t>000000000000006459AZSAPRD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</si>
  <si>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</si>
  <si>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</si>
  <si>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</si>
  <si>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</si>
  <si>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</si>
  <si>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</si>
  <si>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000000000000068869AZSAPRD</t>
  </si>
  <si>
    <t>REF. DG17V-3-6N-60 - FILTERS PRESS 2nd PURIFICATION</t>
  </si>
  <si>
    <t>HOJA SIERRA BOSCH T-244-D</t>
  </si>
  <si>
    <t>1441103</t>
  </si>
  <si>
    <t>REF. DG17V-3-6N-60 - FILTROS PRENSA 2Âª PURIFICACION</t>
  </si>
  <si>
    <t>000000000000068867AZSAPRD</t>
  </si>
  <si>
    <t>DPA14-31A10R RECTIFICADORES</t>
  </si>
  <si>
    <t>HOSCH FD-X KIT PLACA FIJACION BLOQUES</t>
  </si>
  <si>
    <t>1434844</t>
  </si>
  <si>
    <t>ENLACE JIMTEN MACHO J-61 Ø50x1 1/2"</t>
  </si>
  <si>
    <t>1438763</t>
  </si>
  <si>
    <t>1430082</t>
  </si>
  <si>
    <t>JIMTEN H J62 25-3/4" FEMALE MIXED LINK</t>
  </si>
  <si>
    <t>1441446</t>
  </si>
  <si>
    <t>1436644</t>
  </si>
  <si>
    <t>RBE 11.1103/IA/OD P/AIRE COMPRIMIDO</t>
  </si>
  <si>
    <t>DISPENSETTE 5-50 ML REF: 4600160</t>
  </si>
  <si>
    <t>ENLACE MIXTO MACHO JIMTEN J-61 Ø20-1/2"</t>
  </si>
  <si>
    <t>500 ML VOLUMED FLASK</t>
  </si>
  <si>
    <t>EJECUCIÃ“N DERECHA</t>
  </si>
  <si>
    <t>000000000000007664AZSAPRD</t>
  </si>
  <si>
    <t>1429732</t>
  </si>
  <si>
    <t>XX</t>
  </si>
  <si>
    <t>TYPE</t>
  </si>
  <si>
    <t>CAPACITY</t>
  </si>
  <si>
    <t>OVERALL SIZE</t>
  </si>
  <si>
    <t>OPERATION TYPE</t>
  </si>
  <si>
    <t>MOUNTING TYPE</t>
  </si>
  <si>
    <t>BODY MATERIAL</t>
  </si>
  <si>
    <t>COLOUR</t>
  </si>
  <si>
    <t>HAZARD CLASS</t>
  </si>
  <si>
    <t>CERTIFICATION/STANDARD</t>
  </si>
  <si>
    <t>ADDITIONAL FEATURES</t>
  </si>
  <si>
    <t>DISPLAY SIZE</t>
  </si>
  <si>
    <t>RESOLUTION</t>
  </si>
  <si>
    <t>ELECTRICAL RATING</t>
  </si>
  <si>
    <t>SIZE</t>
  </si>
  <si>
    <t>TEMPERATURE RATING</t>
  </si>
  <si>
    <t>MATERIAL</t>
  </si>
  <si>
    <t>CONNECTION TYPE</t>
  </si>
  <si>
    <t>NOMINAL SIZE</t>
  </si>
  <si>
    <t>END CONNECTION</t>
  </si>
  <si>
    <t>LENGTH</t>
  </si>
  <si>
    <t>PRESSURE RATING</t>
  </si>
  <si>
    <t>SCHEDULE/WALL THICKNESS</t>
  </si>
  <si>
    <t>PRESSURE CLASS/RATING</t>
  </si>
  <si>
    <t>MATERIAL SPECIFICATION</t>
  </si>
  <si>
    <t>COATING/FINISH</t>
  </si>
  <si>
    <t>THICKNESS</t>
  </si>
  <si>
    <t>WIDTH</t>
  </si>
  <si>
    <t>CURRENT RATING</t>
  </si>
  <si>
    <t>HARDNESS</t>
  </si>
  <si>
    <t>TPI/PITCH</t>
  </si>
  <si>
    <t>CUT MATERIAL</t>
  </si>
  <si>
    <t>TOOTH TYPE</t>
  </si>
  <si>
    <t>RANGE</t>
  </si>
  <si>
    <t>SUBDIVISION RANGE</t>
  </si>
  <si>
    <t>FINISH</t>
  </si>
  <si>
    <t>Manufacturer Details (MFR) not available</t>
  </si>
  <si>
    <t>Cleansed</t>
  </si>
  <si>
    <t>Griha Comments</t>
  </si>
  <si>
    <t>Changes Done - We have updated the changes</t>
  </si>
  <si>
    <t>Changes Not Done - There is no valid proof to decide whether it is "Card,Interface"</t>
  </si>
  <si>
    <t>Changes Done - We have deleted the values extracted from websource and changed the status to Cleansed</t>
  </si>
  <si>
    <t>Changes Not Done - We have processed the record as per Websource, where it states the product as "Cover in flanged shape used for Bearing Housing"</t>
  </si>
  <si>
    <t>Changes Not Done - We have processed the record as per Input &amp; Websource (Refer Grainger), when a hose comes with end connectors(Fittings) it will be considered as Hose Assembly</t>
  </si>
  <si>
    <t>Changes Done - We have Changed the NM to Shim Set</t>
  </si>
  <si>
    <t>Changes Not Done - There is no valid proof to decide whether it is "Module,Input/Output"</t>
  </si>
  <si>
    <t>Changes Not Done - Based on Websource its's a Operator for Selector Switch, due to this we have considered the Product as "Operator Switch"</t>
  </si>
  <si>
    <t>Changes Not Done - Based on websource its's a Operator for Push Button Switch, due to this we have considered the Product as "Operator Switch"</t>
  </si>
  <si>
    <t>Changes Done - We have Changed the NM to SWITCH,PUSH PULL</t>
  </si>
  <si>
    <t>Changes Not Done - Based on websource its's a Operator for Push Pull, due to this we have considered the Product as "Operator Switch"</t>
  </si>
  <si>
    <t>Delivery Remarks</t>
  </si>
  <si>
    <t>Partially Match</t>
  </si>
  <si>
    <t>Manufacturer Details (MFR &amp; MPN) not available</t>
  </si>
  <si>
    <t>Manufacturer Details (MPN) not available</t>
  </si>
  <si>
    <t>Processed based on Websource, Conflict w.r.t Input</t>
  </si>
  <si>
    <t>Series Match</t>
  </si>
  <si>
    <t>Based on Material ID:1251232 NM Consider has CABLE,PUSH PULL</t>
  </si>
  <si>
    <t>Part Number Updated as per Websource</t>
  </si>
  <si>
    <t>Manufacturer Details (MFR &amp; MPN) not available,Based on Material ID:1286658 &amp; 1294799 NM Consider has WRENCH,IMPACT</t>
  </si>
  <si>
    <t>Enriched</t>
  </si>
  <si>
    <t>HEAD</t>
  </si>
  <si>
    <t>STAINLESS STEEL</t>
  </si>
  <si>
    <t>1st</t>
  </si>
  <si>
    <t>2nd</t>
  </si>
  <si>
    <t>3rd</t>
  </si>
  <si>
    <t>C73451-A430-D81</t>
  </si>
  <si>
    <t>SIEMENS</t>
  </si>
  <si>
    <t>LAST CHECKS</t>
  </si>
  <si>
    <t>UNSPC</t>
  </si>
  <si>
    <t>MFR COMMENT</t>
  </si>
  <si>
    <t>URL COMMENT</t>
  </si>
  <si>
    <t>TAX CHK</t>
  </si>
  <si>
    <t>ENR/CLEN COMMENT</t>
  </si>
  <si>
    <t>Inactive Material</t>
  </si>
  <si>
    <t>PARKER</t>
  </si>
  <si>
    <t>REV 1</t>
  </si>
  <si>
    <t>SPELL CHK</t>
  </si>
  <si>
    <t>1/2 IN</t>
  </si>
  <si>
    <t>3/8 IN</t>
  </si>
  <si>
    <t>POLYETHYLENE</t>
  </si>
  <si>
    <t>URL Not Found</t>
  </si>
  <si>
    <t>CHK FOR X</t>
  </si>
  <si>
    <t>CHK FOR FRACTION SIZE LEFT</t>
  </si>
  <si>
    <t>Completed</t>
  </si>
  <si>
    <t>GLASS SPECIFICATION:CLASS B</t>
  </si>
  <si>
    <t>100 ML</t>
  </si>
  <si>
    <t>VOLUMED</t>
  </si>
  <si>
    <t>1000 ML</t>
  </si>
  <si>
    <t>500 ML</t>
  </si>
  <si>
    <t>ERLEMMEYER</t>
  </si>
  <si>
    <t>ERLEMMEYER,ESMER MOUTH</t>
  </si>
  <si>
    <t>250 ML</t>
  </si>
  <si>
    <t>201-1339</t>
  </si>
  <si>
    <t>EFNG-250-010</t>
  </si>
  <si>
    <t>GLASSCO</t>
  </si>
  <si>
    <t>https://labbox.eu/product/erlenmeyer-flask-narrow-neck-glassco/</t>
  </si>
  <si>
    <t>ERLEMMEYER,NARROW NECK</t>
  </si>
  <si>
    <t>3.3 BOROSILICATE GLASS</t>
  </si>
  <si>
    <t>DIN 12380,ISO 1773</t>
  </si>
  <si>
    <t>PACKAGE QUANTITY:10/PACK</t>
  </si>
  <si>
    <t>ELECTROLYSIS WORKSHOP SAW</t>
  </si>
  <si>
    <t>WIKUS</t>
  </si>
  <si>
    <t>https://www.directindustry.com/prod/wikus-saegenfabrik/product-16362-962669.html</t>
  </si>
  <si>
    <t>2.46 M</t>
  </si>
  <si>
    <t>27 MM</t>
  </si>
  <si>
    <t>0.9 MM</t>
  </si>
  <si>
    <t>BIMETALLIC</t>
  </si>
  <si>
    <t>METAL</t>
  </si>
  <si>
    <t>ELEKTRA-BECKUM BANDSAGE</t>
  </si>
  <si>
    <t>BAS-600</t>
  </si>
  <si>
    <t>REF:RF.TIL.NRO.0909000416</t>
  </si>
  <si>
    <t>3.38 M</t>
  </si>
  <si>
    <t>25 MM</t>
  </si>
  <si>
    <t>0.6 MM</t>
  </si>
  <si>
    <t>8 MM</t>
  </si>
  <si>
    <t>6 TO 10 MM</t>
  </si>
  <si>
    <t>12 IN</t>
  </si>
  <si>
    <t>KRON,NUMBER OF TEETH:24,SUPER,SWEDISH</t>
  </si>
  <si>
    <t>STARRETT</t>
  </si>
  <si>
    <t>I ASK</t>
  </si>
  <si>
    <t>12 1/2 IN</t>
  </si>
  <si>
    <t>HAND</t>
  </si>
  <si>
    <t>RA-STEEL</t>
  </si>
  <si>
    <t>BOSCH</t>
  </si>
  <si>
    <t>T141HM</t>
  </si>
  <si>
    <t>https://www.bosch-pt.co.in/in/en/expert-fiber-plaster-t141hm-jigsaw-blades-2868633-ocs-ac/</t>
  </si>
  <si>
    <t>T 244 D</t>
  </si>
  <si>
    <t>https://www.bosch-pt.co.in/in/en/t-244-d-speed-for-wood-jigsaw-blades-2867298-ocs-ac/</t>
  </si>
  <si>
    <t>T 744 D</t>
  </si>
  <si>
    <t>https://www.bosch-pt.co.in/in/en/t-744-d-speed-for-wood-jigsaw-blades-2868750-ocs-ac/</t>
  </si>
  <si>
    <t>T 244</t>
  </si>
  <si>
    <t>CHK FOR REF S/P</t>
  </si>
  <si>
    <t>100 MM LG</t>
  </si>
  <si>
    <t>180 MM LG</t>
  </si>
  <si>
    <t>4.3 MM</t>
  </si>
  <si>
    <t>4 TO 5.2 MM</t>
  </si>
  <si>
    <t>4 MM</t>
  </si>
  <si>
    <t>CARBIDE</t>
  </si>
  <si>
    <t>HCS</t>
  </si>
  <si>
    <t>EXPERT FIBER PLASTER</t>
  </si>
  <si>
    <t>FIBRE CEMENT BOARD,DRYWALL BOARD</t>
  </si>
  <si>
    <t>SOFTWOOD,CHIPBOARD</t>
  </si>
  <si>
    <t>SOFTWOOD,CONSTRUCTION WOOD</t>
  </si>
  <si>
    <t>PACKAGE QUANTITY:3/PACK</t>
  </si>
  <si>
    <t>BRANDTECH</t>
  </si>
  <si>
    <t>MODEL:DISPENSETTE S,W/O PURGE VALVE</t>
  </si>
  <si>
    <t>5 TO 50 ML</t>
  </si>
  <si>
    <t>ADJUSTABLE VOLUME,BOTTLE TOP</t>
  </si>
  <si>
    <t>https://www.sycamorelifesciences.com/brand-dispensette-s-bottletop-dispenser-analog-5-50-ml-adjustable.html</t>
  </si>
  <si>
    <t>120 MARK 41,SILVER FLOTATION CELL</t>
  </si>
  <si>
    <t>EYEWASH</t>
  </si>
  <si>
    <t>D1VL001NN4J 4/3 NG6</t>
  </si>
  <si>
    <t>CLOSED CENTER FOR STRIPS,ASTUGAL AND ACERALIA FUSION I INSTALLATION</t>
  </si>
  <si>
    <t>MANUAL</t>
  </si>
  <si>
    <t>VICKERS</t>
  </si>
  <si>
    <t>DG17V-3-6N-60</t>
  </si>
  <si>
    <t>FILTERS PRESS 2ND PURIFICATION</t>
  </si>
  <si>
    <t>AZ-12-11-144</t>
  </si>
  <si>
    <t>CERAMIC</t>
  </si>
  <si>
    <t>014206-01</t>
  </si>
  <si>
    <t>8.5 M PETERS PUMP,X-200 PNEUMATIC TRANSPORT ROASTING III</t>
  </si>
  <si>
    <t>GREASE</t>
  </si>
  <si>
    <t>KIPP</t>
  </si>
  <si>
    <t>10 ML</t>
  </si>
  <si>
    <t>DITEL</t>
  </si>
  <si>
    <t>https://www.distrelec.biz/en/process-display-ditel-pica-p6/p/17691546</t>
  </si>
  <si>
    <t>PICA-P6</t>
  </si>
  <si>
    <t>https://media.distrelec.com/Web/Downloads/15/38/07691538.pdf</t>
  </si>
  <si>
    <t>+/-0.01 V,+/-0.1 MV,+/-0.01 MA,+/-15 BITS</t>
  </si>
  <si>
    <t>45 WDX22 HT MM</t>
  </si>
  <si>
    <t>SEALING GASKET,FIXING CLIP</t>
  </si>
  <si>
    <t>-10 TO 60 DEG C OPERATING,-25 TO 85 DEG C STORAGE</t>
  </si>
  <si>
    <t>UL 94 V-0</t>
  </si>
  <si>
    <t>CASE MATERIAL:POLYCARBONATE</t>
  </si>
  <si>
    <t>48 LGX24 HTX70 DP MM</t>
  </si>
  <si>
    <t>MICROSYST</t>
  </si>
  <si>
    <t>MIGAN-FI-PROFIBUS-4X100-SS-24-AA-T-KG</t>
  </si>
  <si>
    <t>https://www.microsyst.de/en/display-systems/migan-large-format-numeric-led-display</t>
  </si>
  <si>
    <t>PROCESS,LED</t>
  </si>
  <si>
    <t>LARGE FORMAT,7 SEGMENT LED</t>
  </si>
  <si>
    <t>CONNECTION TYPE:PROFIBUS DP,MATERIAL:POWDER COATED ALUMINUM</t>
  </si>
  <si>
    <t>21 TO 53 VAC,50/60 HZ,10.5 TO 70 VDC</t>
  </si>
  <si>
    <t xml:space="preserve">230 VAC 50 HZ,110 VAC 60 HZ,24 VDC </t>
  </si>
  <si>
    <t>-20 TO 50 DEG C OPERATING,-25 TO 70 DEG C STORAGE</t>
  </si>
  <si>
    <t>7NJ30-S70-S102</t>
  </si>
  <si>
    <t>BRAND:SIWAREX</t>
  </si>
  <si>
    <t>WEIGEL MESSGERATE</t>
  </si>
  <si>
    <t>DPA14-31A10R</t>
  </si>
  <si>
    <t>RECTIFIERS</t>
  </si>
  <si>
    <t>TOTALIZER</t>
  </si>
  <si>
    <t>FOR ULTRASONIC LEVEL TRANSMITTER</t>
  </si>
  <si>
    <t>FOR ULTRASOUND LEVEL TRANSMITTER,REF:942037-0000</t>
  </si>
  <si>
    <t>942663-0000</t>
  </si>
  <si>
    <t>E &amp; H</t>
  </si>
  <si>
    <t>DRIVE</t>
  </si>
  <si>
    <t>FOR ABB ACS 400</t>
  </si>
  <si>
    <t>5200-5585</t>
  </si>
  <si>
    <t>C/W KEYBOARD,FOR E&amp;H LEVEL TRANSMITTER</t>
  </si>
  <si>
    <t>JIMTEN</t>
  </si>
  <si>
    <t>https://www.jimten.com/en/producto/9064/reducer-coupling/</t>
  </si>
  <si>
    <t>J-61</t>
  </si>
  <si>
    <t>J-62 20-1/2</t>
  </si>
  <si>
    <t>J-62 25-3/4</t>
  </si>
  <si>
    <t>J-62 32-1</t>
  </si>
  <si>
    <t>https://www.jimten.com/_bd/_adjuntos/c578c53898c6fca806b6718098bc93f7.pdf</t>
  </si>
  <si>
    <t>ISO 3458/3459/3503/3501,UNE EN 715/911/713/712</t>
  </si>
  <si>
    <t>3/4 IN</t>
  </si>
  <si>
    <t>1 IN</t>
  </si>
  <si>
    <t>63 MM</t>
  </si>
  <si>
    <t>76.6 MM</t>
  </si>
  <si>
    <t>89 MM</t>
  </si>
  <si>
    <t>FEMALE THREADED</t>
  </si>
  <si>
    <t>PACKAGE QUANTITY:100/BOX</t>
  </si>
  <si>
    <t>J-61 20-1/2</t>
  </si>
  <si>
    <t>J-61 25-3/4</t>
  </si>
  <si>
    <t>J-61 32-1</t>
  </si>
  <si>
    <t>J-61 63-2</t>
  </si>
  <si>
    <t>142 MM</t>
  </si>
  <si>
    <t>68.5 MM</t>
  </si>
  <si>
    <t>84.4 MM</t>
  </si>
  <si>
    <t>95.5 MM</t>
  </si>
  <si>
    <t>164 MM</t>
  </si>
  <si>
    <t>PACKAGE QUANTITY:25/BOX</t>
  </si>
  <si>
    <t>J-68 40-32</t>
  </si>
  <si>
    <t>J-68 50-40</t>
  </si>
  <si>
    <t>32 MM</t>
  </si>
  <si>
    <t>40 MM</t>
  </si>
  <si>
    <t>COMPRESSION</t>
  </si>
  <si>
    <t>PACKAGE QUANTITY:15/BOX</t>
  </si>
  <si>
    <t>2 IN</t>
  </si>
  <si>
    <t>MALE THREADEDXCOMPRESSION</t>
  </si>
  <si>
    <t>FEMALE THREADEDXCOMPRESSION</t>
  </si>
  <si>
    <t>NAVW-1/2-3-ISO</t>
  </si>
  <si>
    <t>NAVW-1/4-1-ISO</t>
  </si>
  <si>
    <t>FESTO</t>
  </si>
  <si>
    <t>https://www.festo.com/us/en/a/download-document/datasheet/152791</t>
  </si>
  <si>
    <t>https://www.festo.com/tw/en/a/download-document/datasheet/152789</t>
  </si>
  <si>
    <t>SUB-BASE</t>
  </si>
  <si>
    <t>G1/8XG1/2</t>
  </si>
  <si>
    <t>G1/8XG1/4</t>
  </si>
  <si>
    <t>DIE-CAST ALUMINUM</t>
  </si>
  <si>
    <t>ISO 5599-1,VDMA24364-B2-L</t>
  </si>
  <si>
    <t>KUNZ CRANES</t>
  </si>
  <si>
    <t>CETOP 3</t>
  </si>
  <si>
    <t>CETOP 5</t>
  </si>
  <si>
    <t>https://www.hydraulics2u.co.uk/acatalog/Sub_Base_3_Data.pdf</t>
  </si>
  <si>
    <t>https://www.hydraulics2u.co.uk/acatalog/Sub_Base_5_Data.pdf</t>
  </si>
  <si>
    <t>PHOSPHATED</t>
  </si>
  <si>
    <t>CAST IRON</t>
  </si>
  <si>
    <t>PRESSURE RATING:345 BAR</t>
  </si>
  <si>
    <t>SIDE ENTRY,E-06</t>
  </si>
  <si>
    <t>SIDE ENTRY,E-10</t>
  </si>
  <si>
    <t>DIN 24340</t>
  </si>
  <si>
    <t>JAF-PJ2-70</t>
  </si>
  <si>
    <t>ENTRY</t>
  </si>
  <si>
    <t>ISO II</t>
  </si>
  <si>
    <t>DK10</t>
  </si>
  <si>
    <t>DK2</t>
  </si>
  <si>
    <t>DK20</t>
  </si>
  <si>
    <t>DK5</t>
  </si>
  <si>
    <t>CHAIN GUIDE</t>
  </si>
  <si>
    <t>C/W90 DEG CONNECTION</t>
  </si>
  <si>
    <t>C/W 90 DEG CONNECTION</t>
  </si>
  <si>
    <t>https://shop.mhe-demag.com/sin/en/CHAIN-GUIDE-BASE-PLATE/p?p=IPPr30X9x%2Fe9O4cOd17ZNA%3D%3D_83729433</t>
  </si>
  <si>
    <t>https://shop.mhe-demag.com/sin/en/CHAIN-GUIDE-BASE-PLATE/p?p=GNZpPbml9ue9O4cOd17ZNA%3D%3D_83529433</t>
  </si>
  <si>
    <t>https://shop.mhe-demag.com/mys/en/CHAIN-GUIDE-BASE-PLATE/p?p=%2BSNyaSG9mN%2B9O4cOd17ZNA%3D%3D_83816033</t>
  </si>
  <si>
    <t>https://shop.mhe-demag.com/mys/en/CHAIN-GUIDE-BASE-PLATE/p?p=S6kXiKO4NRi9O4cOd17ZNA%3D%3D_83629433</t>
  </si>
  <si>
    <t>C/W (2) 7.4X21.2 CHAIN LIMITER P/N 83717844</t>
  </si>
  <si>
    <t>C/W (2) 4.2X12.2 CHAIN LIMITER P/N 83517844</t>
  </si>
  <si>
    <t>C/W (2) 10.5X28.2 CHAIN LIMITER P/N 83817844</t>
  </si>
  <si>
    <t>C/W (2) 5.3X15.2 CHAIN LIMITER P/N 83617844</t>
  </si>
  <si>
    <t>NG6 10FACH</t>
  </si>
  <si>
    <t>PTAB-G1/2</t>
  </si>
  <si>
    <t>HID,REF:R996021622,932987</t>
  </si>
  <si>
    <t>C/W SEAL,SCREW,FOR SIPART POSITIONER PS2</t>
  </si>
  <si>
    <t>ROHS,WEEE,REACH</t>
  </si>
  <si>
    <t>HOSCH</t>
  </si>
  <si>
    <t>FD-B</t>
  </si>
  <si>
    <t>FD-C</t>
  </si>
  <si>
    <t>FD-CB</t>
  </si>
  <si>
    <t>FD-X</t>
  </si>
  <si>
    <t>FOR CONVEYOR SEALING SYSTEM</t>
  </si>
  <si>
    <t>SEALING</t>
  </si>
  <si>
    <t>150X200 MM</t>
  </si>
  <si>
    <t>SEALING,LEFT EXECUTION</t>
  </si>
  <si>
    <t>SEALING,RIGHT EXECUTION</t>
  </si>
  <si>
    <t>150X300 MM</t>
  </si>
  <si>
    <t>SKIRT SUPPORT</t>
  </si>
  <si>
    <t>1180 MM</t>
  </si>
  <si>
    <t>INOX,FOR CONVEYOR SEALING SYSTEM</t>
  </si>
  <si>
    <t>FIXING PLATE KIT</t>
  </si>
  <si>
    <t>PALM</t>
  </si>
  <si>
    <t>FOR BLEACHING</t>
  </si>
  <si>
    <t>FOR TOILET,C/W HOLDER</t>
  </si>
  <si>
    <t>300X90X60 MM</t>
  </si>
  <si>
    <t>SWEEPER</t>
  </si>
  <si>
    <t>C/W SUPPORT,HANDLE</t>
  </si>
  <si>
    <t>EG-97</t>
  </si>
  <si>
    <t>QUALITY</t>
  </si>
  <si>
    <t>REF:262/8 PLAN 04/19/37-H1,TRAIN HB-28 ARNAO ROLLING</t>
  </si>
  <si>
    <t>REF:REF.SOFACEL 262/10-TRAIN HB28 AMPLIDINA 4-N,19/04/37H4</t>
  </si>
  <si>
    <t>20 MM</t>
  </si>
  <si>
    <t>REF:DE SOFACEL 262/7,FOR DYNAMO GROUP LEONARD LAM,HEIGHT:40 MM</t>
  </si>
  <si>
    <t>FOR ALTERNATOR VFL-362-33-4, PL.33016/005 FROM SCHUNK IBERICA MULTIPLE OF 24</t>
  </si>
  <si>
    <t>FOR EXCITRATING TI-PO G194-18-4, PL.33016/001 OF SCHUNK IBERICA SIEMENS TURBO ALTERNATOR MINIMUM 48 UNITS</t>
  </si>
  <si>
    <t>PACKAGE QUANTITY:4/SET,FOR EXCITRATING TYPE G492-4,N. PL.33016/004 DE SCHUNK IBERICA SIEMENS TURBO ALTERNATOR-TOSTAC</t>
  </si>
  <si>
    <t>FOR TURBO III CONTROL PRESSURE PUMP</t>
  </si>
  <si>
    <t>LOVEJOY</t>
  </si>
  <si>
    <t>L110</t>
  </si>
  <si>
    <t>https://www.motion.com/products/sku/00516360</t>
  </si>
  <si>
    <t>INSERT</t>
  </si>
  <si>
    <t>NBR,ELASTOMER</t>
  </si>
  <si>
    <t>3.31 IN OD</t>
  </si>
  <si>
    <t>SOLID CLOSED CENTER,STRAIGHT JAW</t>
  </si>
  <si>
    <t>https://www.eatonpowersource.com/products/filter/connectors/couplings/details/5600-12-10s/</t>
  </si>
  <si>
    <t>5600-12-10S</t>
  </si>
  <si>
    <t>BRAND:AEROQUIP,ELECTROLYSIS-II</t>
  </si>
  <si>
    <t>https://hosewarehouse.com/products/5600-12-10s-eaton-5600-series-iso-7241-1-a-interchange-female-npt-valved-complete-quick-disconnect-coupling-standard-buna-n-seal-steel</t>
  </si>
  <si>
    <t>EATON</t>
  </si>
  <si>
    <t>STEEL,BUNA-N SEAL</t>
  </si>
  <si>
    <t>FEMALE NPT</t>
  </si>
  <si>
    <t>ISO 7241-1</t>
  </si>
  <si>
    <t>DIESEL LANCES,AISI 316 ROASTING FURNACES</t>
  </si>
  <si>
    <t>Z800108</t>
  </si>
  <si>
    <t>Z800208</t>
  </si>
  <si>
    <t>DN13,1/2 IN</t>
  </si>
  <si>
    <t>https://www.hydrauliekmarkt.nl/s-s-quick-coupling-iso-b-1-2-bsp-m</t>
  </si>
  <si>
    <t>BSP MALE THREAD X BSP FEMALE THREAD</t>
  </si>
  <si>
    <t>ISO</t>
  </si>
  <si>
    <t>FOR NATURAL GAS</t>
  </si>
  <si>
    <t>DISCONNECT</t>
  </si>
  <si>
    <t>PIONEER</t>
  </si>
  <si>
    <t>BSPP</t>
  </si>
  <si>
    <t>4010-28+4050-28</t>
  </si>
  <si>
    <t>COMPLETE,JUMBOS AND STRIPS CAST INSTALLATION</t>
  </si>
  <si>
    <t>FOR COMPRESSED AIR</t>
  </si>
  <si>
    <t>RBE 06.1102</t>
  </si>
  <si>
    <t>https://rodavigo.net/en/p/female-body-push-fit-coupling-with-female-thread-ref-staubli-rbe-061102/166RBE061102</t>
  </si>
  <si>
    <t>STAUBLI</t>
  </si>
  <si>
    <t>FEMALE THREAD</t>
  </si>
  <si>
    <t>PUSH FIT</t>
  </si>
  <si>
    <t>https://docs.rs-online.com/6b61/0900766b810da778.pdf</t>
  </si>
  <si>
    <t>RBE 11.1103/IA/OD</t>
  </si>
  <si>
    <t>https://rodavigo.net/en/p/female-body-push-fit-coupling-with-female-thread-ref-staubli-rbe-111103/166RBE111103</t>
  </si>
  <si>
    <t>G1/2</t>
  </si>
  <si>
    <t>SAE J 1926</t>
  </si>
  <si>
    <t>Processed based on Websource, Conflict w.r.t Input | End Connection Value having Conflict wrt to input, updated based on websource</t>
  </si>
  <si>
    <t>RBE 08.1102/IA/OD</t>
  </si>
  <si>
    <t>https://rodavigo.net/en/p/female-body-push-fit-coupling-with-female-thread-ref-staubli-rbe-081102/166RBE081102</t>
  </si>
  <si>
    <t>FOR COMPRESSED AIR W/METALLIC DISCONNECTION RING IN 2 PHASES,GRAY ZINC GUNS</t>
  </si>
  <si>
    <t>G3/8</t>
  </si>
  <si>
    <t>CHK FOR MFR COLM IN INPUT OR VERIFIED MFR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</si>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</sst>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3" tint="0.79985961485641044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49" fontId="2" fillId="0" borderId="1" xfId="0" applyNumberFormat="1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3" fillId="12" borderId="3" xfId="0" applyFont="1" applyFill="1" applyBorder="1" applyAlignment="1">
      <alignment horizontal="center" vertical="center"/>
    </xf>
    <xf numFmtId="0" fontId="4" fillId="0" borderId="1" xfId="0" applyFont="1" applyAlignment="1">
      <alignment horizontal="left"/>
    </xf>
    <xf numFmtId="49" fontId="6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81"/>
  <sheetViews>
    <sheetView tabSelected="1" workbookViewId="0"/>
  </sheetViews>
  <sheetFormatPr defaultColWidth="10.6328125" defaultRowHeight="12"/>
  <cols>
    <col min="1" max="31" width="10.6328125" style="1" customWidth="1"/>
    <col min="32" max="52" width="10.6328125" style="1"/>
    <col min="53" max="125" width="10.6328125" style="2"/>
    <col min="126" max="16384" width="10.6328125" style="1"/>
  </cols>
  <sheetData>
    <row r="1" spans="1:125" ht="14.5">
      <c r="A1" s="9" t="s">
        <v>23</v>
      </c>
      <c r="B1" s="9" t="s">
        <v>512</v>
      </c>
      <c r="C1" s="10" t="s">
        <v>285</v>
      </c>
      <c r="D1" s="10" t="s">
        <v>50</v>
      </c>
      <c r="E1" s="10" t="s">
        <v>189</v>
      </c>
      <c r="F1" s="10" t="s">
        <v>392</v>
      </c>
      <c r="G1" s="11" t="s">
        <v>59</v>
      </c>
      <c r="H1" s="12" t="s">
        <v>58</v>
      </c>
      <c r="I1" s="13" t="s">
        <v>124</v>
      </c>
      <c r="J1" s="13" t="s">
        <v>122</v>
      </c>
      <c r="K1" s="13" t="s">
        <v>144</v>
      </c>
      <c r="L1" s="13" t="s">
        <v>306</v>
      </c>
      <c r="M1" s="13" t="s">
        <v>51</v>
      </c>
      <c r="N1" s="13" t="s">
        <v>278</v>
      </c>
      <c r="O1" s="13" t="s">
        <v>406</v>
      </c>
      <c r="P1" s="13" t="s">
        <v>421</v>
      </c>
      <c r="Q1" s="14" t="s">
        <v>200</v>
      </c>
      <c r="R1" s="15" t="s">
        <v>224</v>
      </c>
      <c r="S1" s="16" t="s">
        <v>339</v>
      </c>
      <c r="T1" s="16" t="s">
        <v>287</v>
      </c>
      <c r="U1" s="14" t="s">
        <v>358</v>
      </c>
      <c r="V1" s="17" t="s">
        <v>137</v>
      </c>
      <c r="W1" s="17" t="s">
        <v>129</v>
      </c>
      <c r="X1" s="18" t="s">
        <v>356</v>
      </c>
      <c r="Y1" s="17" t="s">
        <v>98</v>
      </c>
      <c r="Z1" s="14" t="s">
        <v>155</v>
      </c>
      <c r="AA1" s="17" t="s">
        <v>372</v>
      </c>
      <c r="AB1" s="17" t="s">
        <v>442</v>
      </c>
      <c r="AC1" s="18" t="s">
        <v>514</v>
      </c>
      <c r="AD1" s="19" t="s">
        <v>361</v>
      </c>
      <c r="AE1" s="20" t="s">
        <v>174</v>
      </c>
      <c r="AF1" s="20" t="s">
        <v>500</v>
      </c>
      <c r="AG1" s="21" t="s">
        <v>304</v>
      </c>
      <c r="AH1" s="20" t="s">
        <v>30</v>
      </c>
      <c r="AI1" s="20" t="s">
        <v>22</v>
      </c>
      <c r="AJ1" s="20" t="s">
        <v>24</v>
      </c>
      <c r="AK1" s="20" t="s">
        <v>112</v>
      </c>
      <c r="AL1" s="22" t="s">
        <v>279</v>
      </c>
      <c r="AM1" s="22" t="s">
        <v>65</v>
      </c>
      <c r="AN1" s="23" t="s">
        <v>188</v>
      </c>
      <c r="AO1" s="23" t="s">
        <v>47</v>
      </c>
      <c r="AP1" s="23" t="s">
        <v>305</v>
      </c>
      <c r="AQ1" s="23" t="s">
        <v>101</v>
      </c>
      <c r="AR1" s="23" t="s">
        <v>286</v>
      </c>
      <c r="AS1" s="23" t="s">
        <v>515</v>
      </c>
      <c r="AT1" s="23" t="s">
        <v>423</v>
      </c>
      <c r="AU1" s="23" t="s">
        <v>346</v>
      </c>
      <c r="AV1" s="24" t="s">
        <v>20</v>
      </c>
      <c r="AW1" s="25" t="s">
        <v>32</v>
      </c>
      <c r="AX1" s="25" t="s">
        <v>37</v>
      </c>
      <c r="AY1" s="26" t="s">
        <v>172</v>
      </c>
      <c r="AZ1" s="26" t="s">
        <v>422</v>
      </c>
      <c r="BA1" s="27" t="s">
        <v>341</v>
      </c>
      <c r="BB1" s="28" t="s">
        <v>313</v>
      </c>
      <c r="BC1" s="27" t="s">
        <v>222</v>
      </c>
      <c r="BD1" s="28" t="s">
        <v>315</v>
      </c>
      <c r="BE1" s="27" t="s">
        <v>262</v>
      </c>
      <c r="BF1" s="28" t="s">
        <v>314</v>
      </c>
      <c r="BG1" s="27" t="s">
        <v>504</v>
      </c>
      <c r="BH1" s="28" t="s">
        <v>317</v>
      </c>
      <c r="BI1" s="27" t="s">
        <v>288</v>
      </c>
      <c r="BJ1" s="28" t="s">
        <v>316</v>
      </c>
      <c r="BK1" s="27" t="s">
        <v>238</v>
      </c>
      <c r="BL1" s="28" t="s">
        <v>318</v>
      </c>
      <c r="BM1" s="27" t="s">
        <v>214</v>
      </c>
      <c r="BN1" s="28" t="s">
        <v>355</v>
      </c>
      <c r="BO1" s="27" t="s">
        <v>198</v>
      </c>
      <c r="BP1" s="28" t="s">
        <v>310</v>
      </c>
      <c r="BQ1" s="27" t="s">
        <v>236</v>
      </c>
      <c r="BR1" s="28" t="s">
        <v>142</v>
      </c>
      <c r="BS1" s="27" t="s">
        <v>431</v>
      </c>
      <c r="BT1" s="28" t="s">
        <v>296</v>
      </c>
      <c r="BU1" s="27" t="s">
        <v>509</v>
      </c>
      <c r="BV1" s="28" t="s">
        <v>335</v>
      </c>
      <c r="BW1" s="27" t="s">
        <v>510</v>
      </c>
      <c r="BX1" s="28" t="s">
        <v>219</v>
      </c>
      <c r="BY1" s="27" t="s">
        <v>447</v>
      </c>
      <c r="BZ1" s="28" t="s">
        <v>73</v>
      </c>
      <c r="CA1" s="27" t="s">
        <v>506</v>
      </c>
      <c r="CB1" s="28" t="s">
        <v>246</v>
      </c>
      <c r="CC1" s="27" t="s">
        <v>377</v>
      </c>
      <c r="CD1" s="28" t="s">
        <v>282</v>
      </c>
      <c r="CE1" s="27" t="s">
        <v>508</v>
      </c>
      <c r="CF1" s="28" t="s">
        <v>271</v>
      </c>
      <c r="CG1" s="27" t="s">
        <v>507</v>
      </c>
      <c r="CH1" s="28" t="s">
        <v>209</v>
      </c>
      <c r="CI1" s="27" t="s">
        <v>43</v>
      </c>
      <c r="CJ1" s="28" t="s">
        <v>195</v>
      </c>
      <c r="CK1" s="27" t="s">
        <v>511</v>
      </c>
      <c r="CL1" s="28" t="s">
        <v>233</v>
      </c>
      <c r="CM1" s="27" t="s">
        <v>488</v>
      </c>
      <c r="CN1" s="28" t="s">
        <v>298</v>
      </c>
      <c r="CO1" s="27" t="s">
        <v>487</v>
      </c>
      <c r="CP1" s="28" t="s">
        <v>338</v>
      </c>
      <c r="CQ1" s="27" t="s">
        <v>490</v>
      </c>
      <c r="CR1" s="28" t="s">
        <v>221</v>
      </c>
      <c r="CS1" s="27" t="s">
        <v>489</v>
      </c>
      <c r="CT1" s="28" t="s">
        <v>260</v>
      </c>
      <c r="CU1" s="27" t="s">
        <v>484</v>
      </c>
      <c r="CV1" s="28" t="s">
        <v>248</v>
      </c>
      <c r="CW1" s="27" t="s">
        <v>483</v>
      </c>
      <c r="CX1" s="28" t="s">
        <v>284</v>
      </c>
      <c r="CY1" s="27" t="s">
        <v>486</v>
      </c>
      <c r="CZ1" s="28" t="s">
        <v>273</v>
      </c>
      <c r="DA1" s="27" t="s">
        <v>485</v>
      </c>
      <c r="DB1" s="28" t="s">
        <v>378</v>
      </c>
      <c r="DC1" s="27" t="s">
        <v>493</v>
      </c>
      <c r="DD1" s="28" t="s">
        <v>196</v>
      </c>
      <c r="DE1" s="27" t="s">
        <v>492</v>
      </c>
      <c r="DF1" s="28" t="s">
        <v>234</v>
      </c>
      <c r="DG1" s="27" t="s">
        <v>528</v>
      </c>
      <c r="DH1" s="28" t="s">
        <v>297</v>
      </c>
      <c r="DI1" s="27" t="s">
        <v>527</v>
      </c>
      <c r="DJ1" s="28" t="s">
        <v>337</v>
      </c>
      <c r="DK1" s="27" t="s">
        <v>530</v>
      </c>
      <c r="DL1" s="28" t="s">
        <v>220</v>
      </c>
      <c r="DM1" s="27" t="s">
        <v>529</v>
      </c>
      <c r="DN1" s="28" t="s">
        <v>259</v>
      </c>
      <c r="DO1" s="27" t="s">
        <v>525</v>
      </c>
      <c r="DP1" s="28" t="s">
        <v>247</v>
      </c>
      <c r="DQ1" s="27" t="s">
        <v>123</v>
      </c>
      <c r="DR1" s="28" t="s">
        <v>283</v>
      </c>
      <c r="DS1" s="27" t="s">
        <v>526</v>
      </c>
      <c r="DT1" s="28" t="s">
        <v>272</v>
      </c>
      <c r="DU1" s="1" t="s">
        <v>501</v>
      </c>
    </row>
    <row r="2" spans="1:125" ht="12" customHeight="1">
      <c r="A2" s="1" t="s">
        <v>115</v>
      </c>
      <c r="B2" s="1" t="s">
        <v>66</v>
      </c>
      <c r="C2" s="3" t="s">
        <v>251</v>
      </c>
      <c r="D2" s="3" t="s">
        <v>636</v>
      </c>
      <c r="E2" s="4">
        <v>45125</v>
      </c>
      <c r="F2" s="3"/>
      <c r="G2" s="3"/>
      <c r="H2" s="3" t="s">
        <v>253</v>
      </c>
      <c r="I2" s="3" t="s">
        <v>253</v>
      </c>
      <c r="J2" s="3"/>
      <c r="K2" s="3" t="s">
        <v>87</v>
      </c>
      <c r="L2" s="3" t="s">
        <v>91</v>
      </c>
      <c r="M2" s="3">
        <v>1000</v>
      </c>
      <c r="N2" s="3" t="s">
        <v>250</v>
      </c>
      <c r="O2" s="3"/>
      <c r="P2" s="3"/>
      <c r="Q2" s="3"/>
      <c r="R2" s="3" t="s">
        <v>14</v>
      </c>
      <c r="S2" s="3"/>
      <c r="T2" s="3"/>
      <c r="U2" s="3"/>
      <c r="V2" s="3"/>
      <c r="W2" s="3" t="s">
        <v>547</v>
      </c>
      <c r="X2" s="3" t="s">
        <v>201</v>
      </c>
      <c r="Y2" s="3"/>
      <c r="Z2" s="3"/>
      <c r="AA2" s="3"/>
      <c r="AB2" s="3" t="s">
        <v>258</v>
      </c>
      <c r="AC2" s="3" t="s">
        <v>239</v>
      </c>
      <c r="AD2" s="3"/>
      <c r="AE2" s="3" t="s">
        <v>697</v>
      </c>
      <c r="AF2" s="3">
        <v>4600160</v>
      </c>
      <c r="AG2" s="3"/>
      <c r="AH2" s="3"/>
      <c r="AI2" s="3"/>
      <c r="AJ2" s="3"/>
      <c r="AK2" s="3"/>
      <c r="AL2" s="3" t="s">
        <v>701</v>
      </c>
      <c r="AM2" s="3"/>
      <c r="AN2" s="3"/>
      <c r="AO2" s="3"/>
      <c r="AP2" s="3"/>
      <c r="AQ2" s="3"/>
      <c r="AR2" s="3"/>
      <c r="AS2" s="3"/>
      <c r="AT2" s="3"/>
      <c r="AU2" s="3"/>
      <c r="AV2" s="3"/>
      <c r="AW2" s="3" t="s">
        <v>612</v>
      </c>
      <c r="AX2" s="3">
        <v>41121516</v>
      </c>
      <c r="AY2" s="3" t="s">
        <v>197</v>
      </c>
      <c r="AZ2" s="3" t="s">
        <v>320</v>
      </c>
      <c r="BA2" s="6" t="s">
        <v>554</v>
      </c>
      <c r="BB2" s="6" t="s">
        <v>700</v>
      </c>
      <c r="BC2" s="6" t="s">
        <v>555</v>
      </c>
      <c r="BD2" s="6" t="s">
        <v>699</v>
      </c>
      <c r="BE2" s="6" t="s">
        <v>556</v>
      </c>
      <c r="BF2" s="6"/>
      <c r="BG2" s="6" t="s">
        <v>557</v>
      </c>
      <c r="BH2" s="6"/>
      <c r="BI2" s="6" t="s">
        <v>558</v>
      </c>
      <c r="BJ2" s="6"/>
      <c r="BK2" s="6" t="s">
        <v>559</v>
      </c>
      <c r="BL2" s="6"/>
      <c r="BM2" s="6" t="s">
        <v>560</v>
      </c>
      <c r="BN2" s="6"/>
      <c r="BO2" s="6" t="s">
        <v>561</v>
      </c>
      <c r="BP2" s="6"/>
      <c r="BQ2" s="6" t="s">
        <v>562</v>
      </c>
      <c r="BR2" s="6"/>
      <c r="BS2" s="6" t="s">
        <v>563</v>
      </c>
      <c r="BT2" s="6" t="s">
        <v>698</v>
      </c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2" t="s">
        <v>905</v>
      </c>
    </row>
    <row r="3" spans="1:125" ht="12" customHeight="1">
      <c r="A3" s="1" t="s">
        <v>115</v>
      </c>
      <c r="B3" s="1" t="s">
        <v>66</v>
      </c>
      <c r="C3" s="3" t="s">
        <v>251</v>
      </c>
      <c r="D3" s="3" t="s">
        <v>636</v>
      </c>
      <c r="E3" s="4">
        <v>45125</v>
      </c>
      <c r="F3" s="3"/>
      <c r="G3" s="5" t="s">
        <v>589</v>
      </c>
      <c r="H3" s="3" t="s">
        <v>17</v>
      </c>
      <c r="I3" s="3" t="s">
        <v>17</v>
      </c>
      <c r="J3" s="3"/>
      <c r="K3" s="3" t="s">
        <v>87</v>
      </c>
      <c r="L3" s="3" t="s">
        <v>91</v>
      </c>
      <c r="M3" s="3">
        <v>1000</v>
      </c>
      <c r="N3" s="3" t="s">
        <v>250</v>
      </c>
      <c r="O3" s="3"/>
      <c r="P3" s="3"/>
      <c r="Q3" s="3"/>
      <c r="R3" s="3" t="s">
        <v>133</v>
      </c>
      <c r="S3" s="3"/>
      <c r="T3" s="3"/>
      <c r="U3" s="3"/>
      <c r="V3" s="3"/>
      <c r="W3" s="3" t="s">
        <v>523</v>
      </c>
      <c r="X3" s="3" t="s">
        <v>268</v>
      </c>
      <c r="Y3" s="3"/>
      <c r="Z3" s="3"/>
      <c r="AA3" s="3"/>
      <c r="AB3" s="3" t="s">
        <v>370</v>
      </c>
      <c r="AC3" s="3" t="s">
        <v>366</v>
      </c>
      <c r="AD3" s="3"/>
      <c r="AE3" s="3"/>
      <c r="AF3" s="3">
        <v>31272</v>
      </c>
      <c r="AG3" s="3"/>
      <c r="AH3" s="3"/>
      <c r="AI3" s="3"/>
      <c r="AJ3" s="3"/>
      <c r="AK3" s="3"/>
      <c r="AL3" s="3" t="s">
        <v>633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 t="s">
        <v>590</v>
      </c>
      <c r="AX3" s="3">
        <v>27112900</v>
      </c>
      <c r="AY3" s="3" t="s">
        <v>197</v>
      </c>
      <c r="AZ3" s="3" t="s">
        <v>320</v>
      </c>
      <c r="BA3" s="6" t="s">
        <v>554</v>
      </c>
      <c r="BB3" s="6"/>
      <c r="BC3" s="6" t="s">
        <v>555</v>
      </c>
      <c r="BD3" s="6"/>
      <c r="BE3" s="6" t="s">
        <v>556</v>
      </c>
      <c r="BF3" s="6"/>
      <c r="BG3" s="6" t="s">
        <v>557</v>
      </c>
      <c r="BH3" s="6"/>
      <c r="BI3" s="6" t="s">
        <v>558</v>
      </c>
      <c r="BJ3" s="6"/>
      <c r="BK3" s="6" t="s">
        <v>559</v>
      </c>
      <c r="BL3" s="6"/>
      <c r="BM3" s="6" t="s">
        <v>560</v>
      </c>
      <c r="BN3" s="6"/>
      <c r="BO3" s="6" t="s">
        <v>561</v>
      </c>
      <c r="BP3" s="6"/>
      <c r="BQ3" s="6" t="s">
        <v>562</v>
      </c>
      <c r="BR3" s="6"/>
      <c r="BS3" s="6" t="s">
        <v>563</v>
      </c>
      <c r="BT3" s="6" t="s">
        <v>702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2" t="s">
        <v>905</v>
      </c>
    </row>
    <row r="4" spans="1:125" ht="12" customHeight="1">
      <c r="A4" s="1" t="s">
        <v>115</v>
      </c>
      <c r="B4" s="1" t="s">
        <v>66</v>
      </c>
      <c r="C4" s="3" t="s">
        <v>251</v>
      </c>
      <c r="D4" s="3" t="s">
        <v>636</v>
      </c>
      <c r="E4" s="4">
        <v>45125</v>
      </c>
      <c r="F4" s="3"/>
      <c r="G4" s="3"/>
      <c r="H4" s="3" t="s">
        <v>148</v>
      </c>
      <c r="I4" s="3" t="s">
        <v>148</v>
      </c>
      <c r="J4" s="3" t="s">
        <v>409</v>
      </c>
      <c r="K4" s="3" t="s">
        <v>87</v>
      </c>
      <c r="L4" s="3" t="s">
        <v>91</v>
      </c>
      <c r="M4" s="3" t="s">
        <v>7</v>
      </c>
      <c r="N4" s="3" t="s">
        <v>140</v>
      </c>
      <c r="O4" s="3" t="s">
        <v>409</v>
      </c>
      <c r="P4" s="3" t="s">
        <v>409</v>
      </c>
      <c r="Q4" s="3"/>
      <c r="R4" s="3" t="s">
        <v>440</v>
      </c>
      <c r="S4" s="3"/>
      <c r="T4" s="3"/>
      <c r="U4" s="3"/>
      <c r="V4" s="3"/>
      <c r="W4" s="3" t="s">
        <v>85</v>
      </c>
      <c r="X4" s="3" t="s">
        <v>277</v>
      </c>
      <c r="Y4" s="3"/>
      <c r="Z4" s="3"/>
      <c r="AA4" s="3"/>
      <c r="AB4" s="3"/>
      <c r="AC4" s="3"/>
      <c r="AD4" s="3"/>
      <c r="AE4" s="3" t="s">
        <v>717</v>
      </c>
      <c r="AF4" s="3" t="s">
        <v>719</v>
      </c>
      <c r="AG4" s="3"/>
      <c r="AH4" s="3"/>
      <c r="AI4" s="3"/>
      <c r="AJ4" s="3"/>
      <c r="AK4" s="3"/>
      <c r="AL4" s="3" t="s">
        <v>718</v>
      </c>
      <c r="AM4" s="3" t="s">
        <v>720</v>
      </c>
      <c r="AN4" s="3"/>
      <c r="AO4" s="3"/>
      <c r="AP4" s="3"/>
      <c r="AQ4" s="3"/>
      <c r="AR4" s="3"/>
      <c r="AS4" s="3"/>
      <c r="AT4" s="3"/>
      <c r="AU4" s="3"/>
      <c r="AV4" s="3"/>
      <c r="AW4" s="3" t="s">
        <v>612</v>
      </c>
      <c r="AX4" s="3">
        <v>43211909</v>
      </c>
      <c r="AY4" s="3" t="s">
        <v>216</v>
      </c>
      <c r="AZ4" s="3" t="s">
        <v>320</v>
      </c>
      <c r="BA4" s="6" t="s">
        <v>554</v>
      </c>
      <c r="BB4" s="6" t="s">
        <v>731</v>
      </c>
      <c r="BC4" s="6" t="s">
        <v>564</v>
      </c>
      <c r="BD4" s="2" t="s">
        <v>722</v>
      </c>
      <c r="BE4" s="6" t="s">
        <v>565</v>
      </c>
      <c r="BF4" s="6" t="s">
        <v>721</v>
      </c>
      <c r="BG4" s="6" t="s">
        <v>566</v>
      </c>
      <c r="BH4" s="6" t="s">
        <v>734</v>
      </c>
      <c r="BI4" s="6" t="s">
        <v>558</v>
      </c>
      <c r="BJ4" s="6" t="s">
        <v>723</v>
      </c>
      <c r="BK4" s="6" t="s">
        <v>567</v>
      </c>
      <c r="BL4" s="6" t="s">
        <v>727</v>
      </c>
      <c r="BM4" s="6" t="s">
        <v>568</v>
      </c>
      <c r="BN4" s="6" t="s">
        <v>724</v>
      </c>
      <c r="BO4" s="6" t="s">
        <v>561</v>
      </c>
      <c r="BP4" s="6"/>
      <c r="BQ4" s="6" t="s">
        <v>562</v>
      </c>
      <c r="BR4" s="6" t="s">
        <v>725</v>
      </c>
      <c r="BS4" s="6" t="s">
        <v>563</v>
      </c>
      <c r="BT4" s="6" t="s">
        <v>726</v>
      </c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2" t="s">
        <v>905</v>
      </c>
    </row>
    <row r="5" spans="1:125" ht="12" customHeight="1">
      <c r="A5" s="1" t="s">
        <v>115</v>
      </c>
      <c r="B5" s="1" t="s">
        <v>66</v>
      </c>
      <c r="C5" s="3" t="s">
        <v>251</v>
      </c>
      <c r="D5" s="3" t="s">
        <v>636</v>
      </c>
      <c r="E5" s="4">
        <v>45125</v>
      </c>
      <c r="F5" s="3"/>
      <c r="G5" s="3"/>
      <c r="H5" s="3" t="s">
        <v>94</v>
      </c>
      <c r="I5" s="3" t="s">
        <v>94</v>
      </c>
      <c r="J5" s="3" t="s">
        <v>409</v>
      </c>
      <c r="K5" s="3" t="s">
        <v>87</v>
      </c>
      <c r="L5" s="3" t="s">
        <v>91</v>
      </c>
      <c r="M5" s="3" t="s">
        <v>7</v>
      </c>
      <c r="N5" s="3" t="s">
        <v>140</v>
      </c>
      <c r="O5" s="3" t="s">
        <v>409</v>
      </c>
      <c r="P5" s="3" t="s">
        <v>409</v>
      </c>
      <c r="Q5" s="3"/>
      <c r="R5" s="3" t="s">
        <v>13</v>
      </c>
      <c r="S5" s="3"/>
      <c r="T5" s="3"/>
      <c r="U5" s="3"/>
      <c r="V5" s="3"/>
      <c r="W5" s="3" t="s">
        <v>263</v>
      </c>
      <c r="X5" s="3" t="s">
        <v>119</v>
      </c>
      <c r="Y5" s="3"/>
      <c r="Z5" s="3"/>
      <c r="AA5" s="3"/>
      <c r="AB5" s="3" t="s">
        <v>121</v>
      </c>
      <c r="AC5" s="3" t="s">
        <v>371</v>
      </c>
      <c r="AD5" s="3"/>
      <c r="AE5" s="3" t="s">
        <v>728</v>
      </c>
      <c r="AF5" s="3" t="s">
        <v>729</v>
      </c>
      <c r="AG5" s="3"/>
      <c r="AH5" s="3"/>
      <c r="AI5" s="3"/>
      <c r="AJ5" s="3"/>
      <c r="AK5" s="3"/>
      <c r="AL5" s="3" t="s">
        <v>730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 t="s">
        <v>612</v>
      </c>
      <c r="AX5" s="3">
        <v>43211909</v>
      </c>
      <c r="AY5" s="3" t="s">
        <v>216</v>
      </c>
      <c r="AZ5" s="3" t="s">
        <v>320</v>
      </c>
      <c r="BA5" s="6" t="s">
        <v>554</v>
      </c>
      <c r="BB5" s="6" t="s">
        <v>732</v>
      </c>
      <c r="BC5" s="6" t="s">
        <v>564</v>
      </c>
      <c r="BD5" s="6"/>
      <c r="BE5" s="6" t="s">
        <v>565</v>
      </c>
      <c r="BF5" s="6"/>
      <c r="BG5" s="6" t="s">
        <v>566</v>
      </c>
      <c r="BH5" s="6" t="s">
        <v>735</v>
      </c>
      <c r="BI5" s="6" t="s">
        <v>558</v>
      </c>
      <c r="BJ5" s="6"/>
      <c r="BK5" s="6" t="s">
        <v>567</v>
      </c>
      <c r="BL5" s="6"/>
      <c r="BM5" s="6" t="s">
        <v>568</v>
      </c>
      <c r="BN5" s="6" t="s">
        <v>736</v>
      </c>
      <c r="BO5" s="6" t="s">
        <v>561</v>
      </c>
      <c r="BP5" s="6"/>
      <c r="BQ5" s="6" t="s">
        <v>562</v>
      </c>
      <c r="BR5" s="6"/>
      <c r="BS5" s="6" t="s">
        <v>563</v>
      </c>
      <c r="BT5" s="6" t="s">
        <v>733</v>
      </c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2" t="s">
        <v>905</v>
      </c>
    </row>
    <row r="6" spans="1:125" ht="12" customHeight="1">
      <c r="A6" s="1" t="s">
        <v>115</v>
      </c>
      <c r="B6" s="1" t="s">
        <v>66</v>
      </c>
      <c r="C6" s="3" t="s">
        <v>251</v>
      </c>
      <c r="D6" s="3" t="s">
        <v>636</v>
      </c>
      <c r="E6" s="4">
        <v>45125</v>
      </c>
      <c r="F6" s="3"/>
      <c r="G6" s="3"/>
      <c r="H6" s="3" t="s">
        <v>95</v>
      </c>
      <c r="I6" s="3" t="s">
        <v>95</v>
      </c>
      <c r="J6" s="3" t="s">
        <v>409</v>
      </c>
      <c r="K6" s="3" t="s">
        <v>87</v>
      </c>
      <c r="L6" s="3" t="s">
        <v>91</v>
      </c>
      <c r="M6" s="3" t="s">
        <v>7</v>
      </c>
      <c r="N6" s="3" t="s">
        <v>140</v>
      </c>
      <c r="O6" s="3" t="s">
        <v>409</v>
      </c>
      <c r="P6" s="3" t="s">
        <v>409</v>
      </c>
      <c r="Q6" s="3"/>
      <c r="R6" s="3" t="s">
        <v>458</v>
      </c>
      <c r="S6" s="3"/>
      <c r="T6" s="3"/>
      <c r="U6" s="3"/>
      <c r="V6" s="3"/>
      <c r="W6" s="3" t="s">
        <v>364</v>
      </c>
      <c r="X6" s="3" t="s">
        <v>165</v>
      </c>
      <c r="Y6" s="3"/>
      <c r="Z6" s="3"/>
      <c r="AA6" s="3"/>
      <c r="AB6" s="3" t="s">
        <v>118</v>
      </c>
      <c r="AC6" s="3" t="s">
        <v>187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 t="s">
        <v>626</v>
      </c>
      <c r="AX6" s="3"/>
      <c r="AY6" s="3" t="s">
        <v>216</v>
      </c>
      <c r="AZ6" s="3" t="s">
        <v>320</v>
      </c>
      <c r="BA6" s="6" t="s">
        <v>554</v>
      </c>
      <c r="BB6" s="6"/>
      <c r="BC6" s="6" t="s">
        <v>564</v>
      </c>
      <c r="BD6" s="6"/>
      <c r="BE6" s="6" t="s">
        <v>565</v>
      </c>
      <c r="BF6" s="6"/>
      <c r="BG6" s="6" t="s">
        <v>566</v>
      </c>
      <c r="BH6" s="6"/>
      <c r="BI6" s="6" t="s">
        <v>558</v>
      </c>
      <c r="BJ6" s="6"/>
      <c r="BK6" s="6" t="s">
        <v>567</v>
      </c>
      <c r="BL6" s="6"/>
      <c r="BM6" s="6" t="s">
        <v>568</v>
      </c>
      <c r="BN6" s="6"/>
      <c r="BO6" s="6" t="s">
        <v>561</v>
      </c>
      <c r="BP6" s="6"/>
      <c r="BQ6" s="6" t="s">
        <v>562</v>
      </c>
      <c r="BR6" s="6"/>
      <c r="BS6" s="6" t="s">
        <v>563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2" t="s">
        <v>905</v>
      </c>
    </row>
    <row r="7" spans="1:125" ht="12" customHeight="1">
      <c r="A7" s="1" t="s">
        <v>115</v>
      </c>
      <c r="B7" s="1" t="s">
        <v>66</v>
      </c>
      <c r="C7" s="3" t="s">
        <v>251</v>
      </c>
      <c r="D7" s="3" t="s">
        <v>636</v>
      </c>
      <c r="E7" s="4">
        <v>45125</v>
      </c>
      <c r="F7" s="3"/>
      <c r="G7" s="5" t="s">
        <v>605</v>
      </c>
      <c r="H7" s="3" t="s">
        <v>64</v>
      </c>
      <c r="I7" s="3" t="s">
        <v>64</v>
      </c>
      <c r="J7" s="3"/>
      <c r="K7" s="3" t="s">
        <v>87</v>
      </c>
      <c r="L7" s="3" t="s">
        <v>91</v>
      </c>
      <c r="M7" s="3">
        <v>1675</v>
      </c>
      <c r="N7" s="3" t="s">
        <v>250</v>
      </c>
      <c r="O7" s="3"/>
      <c r="P7" s="3"/>
      <c r="Q7" s="3"/>
      <c r="R7" s="3" t="s">
        <v>49</v>
      </c>
      <c r="S7" s="3"/>
      <c r="T7" s="3"/>
      <c r="U7" s="3"/>
      <c r="V7" s="3"/>
      <c r="W7" s="3" t="s">
        <v>180</v>
      </c>
      <c r="X7" s="3" t="s">
        <v>150</v>
      </c>
      <c r="Y7" s="3"/>
      <c r="Z7" s="3"/>
      <c r="AA7" s="3"/>
      <c r="AB7" s="3" t="s">
        <v>105</v>
      </c>
      <c r="AC7" s="3" t="s">
        <v>105</v>
      </c>
      <c r="AD7" s="3"/>
      <c r="AE7" s="3"/>
      <c r="AF7" s="3"/>
      <c r="AG7" s="3"/>
      <c r="AH7" s="3"/>
      <c r="AI7" s="3"/>
      <c r="AJ7" s="3"/>
      <c r="AK7" s="3"/>
      <c r="AL7" s="3" t="s">
        <v>633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 t="s">
        <v>590</v>
      </c>
      <c r="AX7" s="3">
        <v>41113600</v>
      </c>
      <c r="AY7" s="3" t="s">
        <v>216</v>
      </c>
      <c r="AZ7" s="3" t="s">
        <v>320</v>
      </c>
      <c r="BA7" s="6" t="s">
        <v>554</v>
      </c>
      <c r="BB7" s="6"/>
      <c r="BC7" s="6" t="s">
        <v>564</v>
      </c>
      <c r="BD7" s="6"/>
      <c r="BE7" s="6" t="s">
        <v>565</v>
      </c>
      <c r="BF7" s="6"/>
      <c r="BG7" s="6" t="s">
        <v>566</v>
      </c>
      <c r="BH7" s="6"/>
      <c r="BI7" s="6" t="s">
        <v>558</v>
      </c>
      <c r="BJ7" s="6"/>
      <c r="BK7" s="6" t="s">
        <v>567</v>
      </c>
      <c r="BL7" s="6"/>
      <c r="BM7" s="6" t="s">
        <v>568</v>
      </c>
      <c r="BN7" s="6"/>
      <c r="BO7" s="6" t="s">
        <v>561</v>
      </c>
      <c r="BP7" s="6"/>
      <c r="BQ7" s="6" t="s">
        <v>562</v>
      </c>
      <c r="BR7" s="6"/>
      <c r="BS7" s="6" t="s">
        <v>563</v>
      </c>
      <c r="BT7" s="6" t="s">
        <v>744</v>
      </c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2" t="s">
        <v>905</v>
      </c>
    </row>
    <row r="8" spans="1:125" ht="12" customHeight="1">
      <c r="A8" s="1" t="s">
        <v>115</v>
      </c>
      <c r="B8" s="1" t="s">
        <v>66</v>
      </c>
      <c r="C8" s="3" t="s">
        <v>251</v>
      </c>
      <c r="D8" s="3" t="s">
        <v>636</v>
      </c>
      <c r="E8" s="4">
        <v>45125</v>
      </c>
      <c r="F8" s="3"/>
      <c r="G8" s="3"/>
      <c r="H8" s="3" t="s">
        <v>63</v>
      </c>
      <c r="I8" s="3" t="s">
        <v>63</v>
      </c>
      <c r="J8" s="3"/>
      <c r="K8" s="3" t="s">
        <v>87</v>
      </c>
      <c r="L8" s="3" t="s">
        <v>91</v>
      </c>
      <c r="M8" s="3">
        <v>1675</v>
      </c>
      <c r="N8" s="3" t="s">
        <v>250</v>
      </c>
      <c r="O8" s="3"/>
      <c r="P8" s="3"/>
      <c r="Q8" s="3"/>
      <c r="R8" s="3" t="s">
        <v>212</v>
      </c>
      <c r="S8" s="3"/>
      <c r="T8" s="3"/>
      <c r="U8" s="3"/>
      <c r="V8" s="3"/>
      <c r="W8" s="3" t="s">
        <v>300</v>
      </c>
      <c r="X8" s="3" t="s">
        <v>300</v>
      </c>
      <c r="Y8" s="3"/>
      <c r="Z8" s="3"/>
      <c r="AA8" s="3"/>
      <c r="AB8" s="3"/>
      <c r="AC8" s="3"/>
      <c r="AD8" s="3"/>
      <c r="AE8" s="3" t="s">
        <v>619</v>
      </c>
      <c r="AF8" s="3" t="s">
        <v>737</v>
      </c>
      <c r="AG8" s="3"/>
      <c r="AH8" s="3"/>
      <c r="AI8" s="3"/>
      <c r="AJ8" s="3"/>
      <c r="AK8" s="3"/>
      <c r="AL8" s="3" t="s">
        <v>633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 t="s">
        <v>590</v>
      </c>
      <c r="AX8" s="3">
        <v>41113600</v>
      </c>
      <c r="AY8" s="3" t="s">
        <v>216</v>
      </c>
      <c r="AZ8" s="3" t="s">
        <v>320</v>
      </c>
      <c r="BA8" s="6" t="s">
        <v>554</v>
      </c>
      <c r="BB8" s="6"/>
      <c r="BC8" s="6" t="s">
        <v>564</v>
      </c>
      <c r="BD8" s="6"/>
      <c r="BE8" s="6" t="s">
        <v>565</v>
      </c>
      <c r="BF8" s="6"/>
      <c r="BG8" s="6" t="s">
        <v>566</v>
      </c>
      <c r="BH8" s="6"/>
      <c r="BI8" s="6" t="s">
        <v>558</v>
      </c>
      <c r="BJ8" s="6"/>
      <c r="BK8" s="6" t="s">
        <v>567</v>
      </c>
      <c r="BL8" s="6"/>
      <c r="BM8" s="6" t="s">
        <v>568</v>
      </c>
      <c r="BN8" s="6"/>
      <c r="BO8" s="6" t="s">
        <v>561</v>
      </c>
      <c r="BP8" s="6"/>
      <c r="BQ8" s="6" t="s">
        <v>562</v>
      </c>
      <c r="BR8" s="6"/>
      <c r="BS8" s="6" t="s">
        <v>563</v>
      </c>
      <c r="BT8" s="6" t="s">
        <v>738</v>
      </c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2" t="s">
        <v>905</v>
      </c>
    </row>
    <row r="9" spans="1:125" ht="12" customHeight="1">
      <c r="A9" s="1" t="s">
        <v>115</v>
      </c>
      <c r="B9" s="1" t="s">
        <v>66</v>
      </c>
      <c r="C9" s="3" t="s">
        <v>251</v>
      </c>
      <c r="D9" s="3" t="s">
        <v>636</v>
      </c>
      <c r="E9" s="4">
        <v>45125</v>
      </c>
      <c r="F9" s="3"/>
      <c r="G9" s="3"/>
      <c r="H9" s="3" t="s">
        <v>149</v>
      </c>
      <c r="I9" s="3" t="s">
        <v>149</v>
      </c>
      <c r="J9" s="3" t="s">
        <v>409</v>
      </c>
      <c r="K9" s="3" t="s">
        <v>87</v>
      </c>
      <c r="L9" s="3" t="s">
        <v>91</v>
      </c>
      <c r="M9" s="3" t="s">
        <v>7</v>
      </c>
      <c r="N9" s="3" t="s">
        <v>140</v>
      </c>
      <c r="O9" s="3" t="s">
        <v>409</v>
      </c>
      <c r="P9" s="3" t="s">
        <v>409</v>
      </c>
      <c r="Q9" s="3"/>
      <c r="R9" s="3" t="s">
        <v>424</v>
      </c>
      <c r="S9" s="3"/>
      <c r="T9" s="3"/>
      <c r="U9" s="3"/>
      <c r="V9" s="3"/>
      <c r="W9" s="3" t="s">
        <v>80</v>
      </c>
      <c r="X9" s="3" t="s">
        <v>494</v>
      </c>
      <c r="Y9" s="3"/>
      <c r="Z9" s="3"/>
      <c r="AA9" s="3"/>
      <c r="AB9" s="3" t="s">
        <v>537</v>
      </c>
      <c r="AC9" s="3" t="s">
        <v>190</v>
      </c>
      <c r="AD9" s="3"/>
      <c r="AE9" s="3" t="s">
        <v>739</v>
      </c>
      <c r="AF9" s="3" t="s">
        <v>740</v>
      </c>
      <c r="AG9" s="3"/>
      <c r="AH9" s="3"/>
      <c r="AI9" s="3"/>
      <c r="AJ9" s="3"/>
      <c r="AK9" s="3"/>
      <c r="AL9" s="3" t="s">
        <v>633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 t="s">
        <v>590</v>
      </c>
      <c r="AX9" s="3">
        <v>41113630</v>
      </c>
      <c r="AY9" s="3" t="s">
        <v>216</v>
      </c>
      <c r="AZ9" s="3" t="s">
        <v>320</v>
      </c>
      <c r="BA9" s="6" t="s">
        <v>554</v>
      </c>
      <c r="BB9" s="6" t="s">
        <v>742</v>
      </c>
      <c r="BC9" s="6" t="s">
        <v>564</v>
      </c>
      <c r="BD9" s="6"/>
      <c r="BE9" s="6" t="s">
        <v>565</v>
      </c>
      <c r="BF9" s="6"/>
      <c r="BG9" s="6" t="s">
        <v>566</v>
      </c>
      <c r="BH9" s="6"/>
      <c r="BI9" s="6" t="s">
        <v>558</v>
      </c>
      <c r="BJ9" s="6"/>
      <c r="BK9" s="6" t="s">
        <v>567</v>
      </c>
      <c r="BL9" s="6"/>
      <c r="BM9" s="6" t="s">
        <v>568</v>
      </c>
      <c r="BN9" s="6"/>
      <c r="BO9" s="6" t="s">
        <v>561</v>
      </c>
      <c r="BP9" s="6"/>
      <c r="BQ9" s="6" t="s">
        <v>562</v>
      </c>
      <c r="BR9" s="6"/>
      <c r="BS9" s="6" t="s">
        <v>563</v>
      </c>
      <c r="BT9" s="6" t="s">
        <v>741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2" t="s">
        <v>905</v>
      </c>
    </row>
    <row r="10" spans="1:125" ht="12" customHeight="1">
      <c r="A10" s="1" t="s">
        <v>115</v>
      </c>
      <c r="B10" s="1" t="s">
        <v>66</v>
      </c>
      <c r="C10" s="3" t="s">
        <v>251</v>
      </c>
      <c r="D10" s="3" t="s">
        <v>636</v>
      </c>
      <c r="E10" s="4">
        <v>45125</v>
      </c>
      <c r="F10" s="3"/>
      <c r="G10" s="3"/>
      <c r="H10" s="3" t="s">
        <v>62</v>
      </c>
      <c r="I10" s="3" t="s">
        <v>62</v>
      </c>
      <c r="J10" s="3"/>
      <c r="K10" s="3" t="s">
        <v>87</v>
      </c>
      <c r="L10" s="3" t="s">
        <v>91</v>
      </c>
      <c r="M10" s="3">
        <v>1675</v>
      </c>
      <c r="N10" s="3" t="s">
        <v>250</v>
      </c>
      <c r="O10" s="3"/>
      <c r="P10" s="3"/>
      <c r="Q10" s="3"/>
      <c r="R10" s="3" t="s">
        <v>345</v>
      </c>
      <c r="S10" s="3"/>
      <c r="T10" s="3"/>
      <c r="U10" s="3"/>
      <c r="V10" s="3"/>
      <c r="W10" s="3" t="s">
        <v>45</v>
      </c>
      <c r="X10" s="3" t="s">
        <v>141</v>
      </c>
      <c r="Y10" s="3"/>
      <c r="Z10" s="3"/>
      <c r="AA10" s="3"/>
      <c r="AB10" s="3" t="s">
        <v>395</v>
      </c>
      <c r="AC10" s="3" t="s">
        <v>395</v>
      </c>
      <c r="AD10" s="3"/>
      <c r="AE10" s="3" t="s">
        <v>746</v>
      </c>
      <c r="AF10" s="3" t="s">
        <v>745</v>
      </c>
      <c r="AG10" s="3"/>
      <c r="AH10" s="3"/>
      <c r="AI10" s="3"/>
      <c r="AJ10" s="3"/>
      <c r="AK10" s="3"/>
      <c r="AL10" s="3" t="s">
        <v>633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 t="s">
        <v>590</v>
      </c>
      <c r="AX10" s="3">
        <v>41113600</v>
      </c>
      <c r="AY10" s="3" t="s">
        <v>216</v>
      </c>
      <c r="AZ10" s="3" t="s">
        <v>320</v>
      </c>
      <c r="BA10" s="6" t="s">
        <v>554</v>
      </c>
      <c r="BB10" s="6"/>
      <c r="BC10" s="6" t="s">
        <v>564</v>
      </c>
      <c r="BD10" s="6"/>
      <c r="BE10" s="6" t="s">
        <v>565</v>
      </c>
      <c r="BF10" s="6"/>
      <c r="BG10" s="6" t="s">
        <v>566</v>
      </c>
      <c r="BH10" s="6"/>
      <c r="BI10" s="6" t="s">
        <v>558</v>
      </c>
      <c r="BJ10" s="6"/>
      <c r="BK10" s="6" t="s">
        <v>567</v>
      </c>
      <c r="BL10" s="6"/>
      <c r="BM10" s="6" t="s">
        <v>568</v>
      </c>
      <c r="BN10" s="6"/>
      <c r="BO10" s="6" t="s">
        <v>561</v>
      </c>
      <c r="BP10" s="6"/>
      <c r="BQ10" s="6" t="s">
        <v>562</v>
      </c>
      <c r="BR10" s="6"/>
      <c r="BS10" s="6" t="s">
        <v>563</v>
      </c>
      <c r="BT10" s="6" t="s">
        <v>743</v>
      </c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2" t="s">
        <v>905</v>
      </c>
    </row>
    <row r="11" spans="1:125" ht="12" customHeight="1">
      <c r="A11" s="1" t="s">
        <v>115</v>
      </c>
      <c r="B11" s="1" t="s">
        <v>66</v>
      </c>
      <c r="C11" s="3" t="s">
        <v>251</v>
      </c>
      <c r="D11" s="3" t="s">
        <v>636</v>
      </c>
      <c r="E11" s="4">
        <v>45125</v>
      </c>
      <c r="F11" s="3"/>
      <c r="G11" s="5" t="s">
        <v>589</v>
      </c>
      <c r="H11" s="3" t="s">
        <v>92</v>
      </c>
      <c r="I11" s="3" t="s">
        <v>92</v>
      </c>
      <c r="J11" s="3" t="s">
        <v>409</v>
      </c>
      <c r="K11" s="3" t="s">
        <v>87</v>
      </c>
      <c r="L11" s="3" t="s">
        <v>91</v>
      </c>
      <c r="M11" s="3" t="s">
        <v>7</v>
      </c>
      <c r="N11" s="3" t="s">
        <v>140</v>
      </c>
      <c r="O11" s="3" t="s">
        <v>409</v>
      </c>
      <c r="P11" s="3" t="s">
        <v>409</v>
      </c>
      <c r="Q11" s="3"/>
      <c r="R11" s="3" t="s">
        <v>81</v>
      </c>
      <c r="S11" s="3"/>
      <c r="T11" s="3"/>
      <c r="U11" s="3"/>
      <c r="V11" s="3"/>
      <c r="W11" s="3" t="s">
        <v>455</v>
      </c>
      <c r="X11" s="3" t="s">
        <v>363</v>
      </c>
      <c r="Y11" s="3"/>
      <c r="Z11" s="3"/>
      <c r="AA11" s="3"/>
      <c r="AB11" s="3" t="s">
        <v>381</v>
      </c>
      <c r="AC11" s="3" t="s">
        <v>143</v>
      </c>
      <c r="AD11" s="3"/>
      <c r="AE11" s="3"/>
      <c r="AF11" s="3" t="s">
        <v>143</v>
      </c>
      <c r="AG11" s="3"/>
      <c r="AH11" s="3"/>
      <c r="AI11" s="3"/>
      <c r="AJ11" s="3"/>
      <c r="AK11" s="3"/>
      <c r="AL11" s="3" t="s">
        <v>633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 t="s">
        <v>590</v>
      </c>
      <c r="AX11" s="3">
        <v>41113600</v>
      </c>
      <c r="AY11" s="3" t="s">
        <v>216</v>
      </c>
      <c r="AZ11" s="3" t="s">
        <v>320</v>
      </c>
      <c r="BA11" s="6" t="s">
        <v>554</v>
      </c>
      <c r="BB11" s="6" t="s">
        <v>747</v>
      </c>
      <c r="BC11" s="6" t="s">
        <v>564</v>
      </c>
      <c r="BD11" s="6"/>
      <c r="BE11" s="6" t="s">
        <v>565</v>
      </c>
      <c r="BF11" s="6"/>
      <c r="BG11" s="6" t="s">
        <v>566</v>
      </c>
      <c r="BH11" s="6"/>
      <c r="BI11" s="6" t="s">
        <v>558</v>
      </c>
      <c r="BJ11" s="6"/>
      <c r="BK11" s="6" t="s">
        <v>567</v>
      </c>
      <c r="BL11" s="6"/>
      <c r="BM11" s="6" t="s">
        <v>568</v>
      </c>
      <c r="BN11" s="6"/>
      <c r="BO11" s="6" t="s">
        <v>561</v>
      </c>
      <c r="BP11" s="6"/>
      <c r="BQ11" s="6" t="s">
        <v>562</v>
      </c>
      <c r="BR11" s="6"/>
      <c r="BS11" s="6" t="s">
        <v>563</v>
      </c>
      <c r="BT11" s="6" t="s">
        <v>748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2" t="s">
        <v>905</v>
      </c>
    </row>
    <row r="12" spans="1:125" ht="12" customHeight="1">
      <c r="A12" s="1" t="s">
        <v>115</v>
      </c>
      <c r="B12" s="1" t="s">
        <v>66</v>
      </c>
      <c r="C12" s="3" t="s">
        <v>251</v>
      </c>
      <c r="D12" s="3" t="s">
        <v>636</v>
      </c>
      <c r="E12" s="4">
        <v>45125</v>
      </c>
      <c r="F12" s="3"/>
      <c r="G12" s="5" t="s">
        <v>589</v>
      </c>
      <c r="H12" s="3" t="s">
        <v>175</v>
      </c>
      <c r="I12" s="3" t="s">
        <v>175</v>
      </c>
      <c r="J12" s="3" t="s">
        <v>409</v>
      </c>
      <c r="K12" s="3" t="s">
        <v>87</v>
      </c>
      <c r="L12" s="3" t="s">
        <v>91</v>
      </c>
      <c r="M12" s="3" t="s">
        <v>186</v>
      </c>
      <c r="N12" s="3" t="s">
        <v>140</v>
      </c>
      <c r="O12" s="3" t="s">
        <v>409</v>
      </c>
      <c r="P12" s="3" t="s">
        <v>409</v>
      </c>
      <c r="Q12" s="3"/>
      <c r="R12" s="3" t="s">
        <v>433</v>
      </c>
      <c r="S12" s="3"/>
      <c r="T12" s="3"/>
      <c r="U12" s="3"/>
      <c r="V12" s="3"/>
      <c r="W12" s="3" t="s">
        <v>418</v>
      </c>
      <c r="X12" s="3" t="s">
        <v>428</v>
      </c>
      <c r="Y12" s="3"/>
      <c r="Z12" s="3"/>
      <c r="AA12" s="3"/>
      <c r="AB12" s="3" t="s">
        <v>461</v>
      </c>
      <c r="AC12" s="3" t="s">
        <v>461</v>
      </c>
      <c r="AD12" s="3"/>
      <c r="AE12" s="3"/>
      <c r="AF12" s="3" t="s">
        <v>749</v>
      </c>
      <c r="AG12" s="3"/>
      <c r="AH12" s="3"/>
      <c r="AI12" s="3"/>
      <c r="AJ12" s="3"/>
      <c r="AK12" s="3"/>
      <c r="AL12" s="3" t="s">
        <v>633</v>
      </c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 t="s">
        <v>590</v>
      </c>
      <c r="AX12" s="3">
        <v>41113600</v>
      </c>
      <c r="AY12" s="3" t="s">
        <v>216</v>
      </c>
      <c r="AZ12" s="3" t="s">
        <v>320</v>
      </c>
      <c r="BA12" s="6" t="s">
        <v>554</v>
      </c>
      <c r="BB12" s="6"/>
      <c r="BC12" s="6" t="s">
        <v>564</v>
      </c>
      <c r="BD12" s="6"/>
      <c r="BE12" s="6" t="s">
        <v>565</v>
      </c>
      <c r="BF12" s="6"/>
      <c r="BG12" s="6" t="s">
        <v>566</v>
      </c>
      <c r="BH12" s="6"/>
      <c r="BI12" s="6" t="s">
        <v>558</v>
      </c>
      <c r="BJ12" s="6"/>
      <c r="BK12" s="6" t="s">
        <v>567</v>
      </c>
      <c r="BL12" s="6"/>
      <c r="BM12" s="6" t="s">
        <v>568</v>
      </c>
      <c r="BN12" s="6"/>
      <c r="BO12" s="6" t="s">
        <v>561</v>
      </c>
      <c r="BP12" s="6"/>
      <c r="BQ12" s="6" t="s">
        <v>562</v>
      </c>
      <c r="BR12" s="6"/>
      <c r="BS12" s="6" t="s">
        <v>563</v>
      </c>
      <c r="BT12" s="6" t="s">
        <v>750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2" t="s">
        <v>905</v>
      </c>
    </row>
    <row r="13" spans="1:125" ht="12" customHeight="1">
      <c r="A13" s="1" t="s">
        <v>115</v>
      </c>
      <c r="B13" s="1" t="s">
        <v>66</v>
      </c>
      <c r="C13" s="3" t="s">
        <v>251</v>
      </c>
      <c r="D13" s="3" t="s">
        <v>636</v>
      </c>
      <c r="E13" s="4">
        <v>45125</v>
      </c>
      <c r="F13" s="3"/>
      <c r="G13" s="5" t="s">
        <v>607</v>
      </c>
      <c r="H13" s="3" t="s">
        <v>330</v>
      </c>
      <c r="I13" s="3" t="s">
        <v>330</v>
      </c>
      <c r="J13" s="3"/>
      <c r="K13" s="3" t="s">
        <v>87</v>
      </c>
      <c r="L13" s="3" t="s">
        <v>91</v>
      </c>
      <c r="M13" s="3">
        <v>1000</v>
      </c>
      <c r="N13" s="3" t="s">
        <v>250</v>
      </c>
      <c r="O13" s="3"/>
      <c r="P13" s="3"/>
      <c r="Q13" s="3"/>
      <c r="R13" s="3" t="s">
        <v>400</v>
      </c>
      <c r="S13" s="3"/>
      <c r="T13" s="3"/>
      <c r="U13" s="3"/>
      <c r="V13" s="3"/>
      <c r="W13" s="3" t="s">
        <v>255</v>
      </c>
      <c r="X13" s="3" t="s">
        <v>328</v>
      </c>
      <c r="Y13" s="3"/>
      <c r="Z13" s="3"/>
      <c r="AA13" s="3"/>
      <c r="AB13" s="3" t="s">
        <v>89</v>
      </c>
      <c r="AC13" s="3" t="s">
        <v>89</v>
      </c>
      <c r="AD13" s="3"/>
      <c r="AE13" s="3"/>
      <c r="AF13" s="3" t="s">
        <v>618</v>
      </c>
      <c r="AG13" s="3" t="s">
        <v>619</v>
      </c>
      <c r="AH13" s="3"/>
      <c r="AI13" s="3"/>
      <c r="AJ13" s="3"/>
      <c r="AK13" s="3"/>
      <c r="AL13" s="3" t="s">
        <v>289</v>
      </c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 t="s">
        <v>612</v>
      </c>
      <c r="AX13" s="3">
        <v>40141616</v>
      </c>
      <c r="AY13" s="3" t="s">
        <v>443</v>
      </c>
      <c r="AZ13" s="3" t="s">
        <v>320</v>
      </c>
      <c r="BA13" s="6" t="s">
        <v>554</v>
      </c>
      <c r="BB13" s="6"/>
      <c r="BC13" s="6" t="s">
        <v>567</v>
      </c>
      <c r="BD13" s="6"/>
      <c r="BE13" s="6" t="s">
        <v>569</v>
      </c>
      <c r="BF13" s="6"/>
      <c r="BG13" s="6" t="s">
        <v>561</v>
      </c>
      <c r="BH13" s="6"/>
      <c r="BI13" s="6" t="s">
        <v>562</v>
      </c>
      <c r="BJ13" s="6" t="s">
        <v>828</v>
      </c>
      <c r="BK13" s="6" t="s">
        <v>563</v>
      </c>
      <c r="BL13" s="6" t="s">
        <v>827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2" t="s">
        <v>905</v>
      </c>
    </row>
    <row r="14" spans="1:125" ht="12" customHeight="1">
      <c r="A14" s="1" t="s">
        <v>115</v>
      </c>
      <c r="B14" s="1" t="s">
        <v>66</v>
      </c>
      <c r="C14" s="3" t="s">
        <v>251</v>
      </c>
      <c r="D14" s="3" t="s">
        <v>636</v>
      </c>
      <c r="E14" s="4">
        <v>45125</v>
      </c>
      <c r="F14" s="3"/>
      <c r="G14" s="5" t="s">
        <v>589</v>
      </c>
      <c r="H14" s="3" t="s">
        <v>199</v>
      </c>
      <c r="I14" s="3" t="s">
        <v>199</v>
      </c>
      <c r="J14" s="3"/>
      <c r="K14" s="3" t="s">
        <v>87</v>
      </c>
      <c r="L14" s="3" t="s">
        <v>91</v>
      </c>
      <c r="M14" s="3">
        <v>1000</v>
      </c>
      <c r="N14" s="3" t="s">
        <v>250</v>
      </c>
      <c r="O14" s="3"/>
      <c r="P14" s="3"/>
      <c r="Q14" s="3"/>
      <c r="R14" s="3" t="s">
        <v>125</v>
      </c>
      <c r="S14" s="3"/>
      <c r="T14" s="3"/>
      <c r="U14" s="3"/>
      <c r="V14" s="3"/>
      <c r="W14" s="3" t="s">
        <v>399</v>
      </c>
      <c r="X14" s="3" t="s">
        <v>117</v>
      </c>
      <c r="Y14" s="3"/>
      <c r="Z14" s="3"/>
      <c r="AA14" s="3"/>
      <c r="AB14" s="3"/>
      <c r="AC14" s="3"/>
      <c r="AD14" s="3"/>
      <c r="AE14" s="3"/>
      <c r="AF14" s="3">
        <v>190136</v>
      </c>
      <c r="AG14" s="3"/>
      <c r="AH14" s="3"/>
      <c r="AI14" s="3"/>
      <c r="AJ14" s="3"/>
      <c r="AK14" s="3"/>
      <c r="AL14" s="3" t="s">
        <v>633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 t="s">
        <v>590</v>
      </c>
      <c r="AX14" s="3">
        <v>27112900</v>
      </c>
      <c r="AY14" s="3" t="s">
        <v>197</v>
      </c>
      <c r="AZ14" s="3" t="s">
        <v>320</v>
      </c>
      <c r="BA14" s="6" t="s">
        <v>554</v>
      </c>
      <c r="BB14" s="6" t="s">
        <v>703</v>
      </c>
      <c r="BC14" s="6" t="s">
        <v>555</v>
      </c>
      <c r="BD14" s="6"/>
      <c r="BE14" s="6" t="s">
        <v>556</v>
      </c>
      <c r="BF14" s="6"/>
      <c r="BG14" s="6" t="s">
        <v>557</v>
      </c>
      <c r="BH14" s="6"/>
      <c r="BI14" s="6" t="s">
        <v>558</v>
      </c>
      <c r="BJ14" s="6"/>
      <c r="BK14" s="6" t="s">
        <v>559</v>
      </c>
      <c r="BL14" s="6"/>
      <c r="BM14" s="6" t="s">
        <v>560</v>
      </c>
      <c r="BN14" s="6"/>
      <c r="BO14" s="6" t="s">
        <v>561</v>
      </c>
      <c r="BP14" s="6"/>
      <c r="BQ14" s="6" t="s">
        <v>562</v>
      </c>
      <c r="BR14" s="6"/>
      <c r="BS14" s="6" t="s">
        <v>563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2" t="s">
        <v>905</v>
      </c>
    </row>
    <row r="15" spans="1:125" ht="12" customHeight="1">
      <c r="A15" s="1" t="s">
        <v>115</v>
      </c>
      <c r="B15" s="1" t="s">
        <v>66</v>
      </c>
      <c r="C15" s="3" t="s">
        <v>251</v>
      </c>
      <c r="D15" s="3" t="s">
        <v>636</v>
      </c>
      <c r="E15" s="4">
        <v>45125</v>
      </c>
      <c r="F15" s="3"/>
      <c r="G15" s="3"/>
      <c r="H15" s="3" t="s">
        <v>280</v>
      </c>
      <c r="I15" s="3" t="s">
        <v>280</v>
      </c>
      <c r="J15" s="3"/>
      <c r="K15" s="3" t="s">
        <v>87</v>
      </c>
      <c r="L15" s="3" t="s">
        <v>91</v>
      </c>
      <c r="M15" s="3">
        <v>1000</v>
      </c>
      <c r="N15" s="3" t="s">
        <v>250</v>
      </c>
      <c r="O15" s="3"/>
      <c r="P15" s="3"/>
      <c r="Q15" s="3"/>
      <c r="R15" s="3" t="s">
        <v>373</v>
      </c>
      <c r="S15" s="3"/>
      <c r="T15" s="3"/>
      <c r="U15" s="3"/>
      <c r="V15" s="3"/>
      <c r="W15" s="3" t="s">
        <v>128</v>
      </c>
      <c r="X15" s="3" t="s">
        <v>332</v>
      </c>
      <c r="Y15" s="3"/>
      <c r="Z15" s="3"/>
      <c r="AA15" s="3"/>
      <c r="AB15" s="3" t="s">
        <v>106</v>
      </c>
      <c r="AC15" s="3" t="s">
        <v>134</v>
      </c>
      <c r="AD15" s="3"/>
      <c r="AE15" s="3" t="s">
        <v>627</v>
      </c>
      <c r="AF15" s="3" t="s">
        <v>704</v>
      </c>
      <c r="AG15" s="3"/>
      <c r="AH15" s="3"/>
      <c r="AI15" s="3"/>
      <c r="AJ15" s="3"/>
      <c r="AK15" s="3"/>
      <c r="AL15" s="3" t="s">
        <v>633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 t="s">
        <v>590</v>
      </c>
      <c r="AX15" s="3">
        <v>27112900</v>
      </c>
      <c r="AY15" s="3" t="s">
        <v>197</v>
      </c>
      <c r="AZ15" s="3" t="s">
        <v>320</v>
      </c>
      <c r="BA15" s="6" t="s">
        <v>554</v>
      </c>
      <c r="BB15" s="6" t="s">
        <v>706</v>
      </c>
      <c r="BC15" s="6" t="s">
        <v>555</v>
      </c>
      <c r="BD15" s="6"/>
      <c r="BE15" s="6" t="s">
        <v>556</v>
      </c>
      <c r="BF15" s="6"/>
      <c r="BG15" s="6" t="s">
        <v>557</v>
      </c>
      <c r="BH15" s="6"/>
      <c r="BI15" s="6" t="s">
        <v>558</v>
      </c>
      <c r="BJ15" s="6"/>
      <c r="BK15" s="6" t="s">
        <v>559</v>
      </c>
      <c r="BL15" s="6"/>
      <c r="BM15" s="6" t="s">
        <v>560</v>
      </c>
      <c r="BN15" s="6"/>
      <c r="BO15" s="6" t="s">
        <v>561</v>
      </c>
      <c r="BP15" s="6"/>
      <c r="BQ15" s="6" t="s">
        <v>562</v>
      </c>
      <c r="BR15" s="6"/>
      <c r="BS15" s="6" t="s">
        <v>563</v>
      </c>
      <c r="BT15" s="6" t="s">
        <v>705</v>
      </c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2" t="s">
        <v>905</v>
      </c>
    </row>
    <row r="16" spans="1:125" ht="12" customHeight="1">
      <c r="A16" s="1" t="s">
        <v>115</v>
      </c>
      <c r="B16" s="1" t="s">
        <v>66</v>
      </c>
      <c r="C16" s="3" t="s">
        <v>251</v>
      </c>
      <c r="D16" s="3" t="s">
        <v>636</v>
      </c>
      <c r="E16" s="4">
        <v>45125</v>
      </c>
      <c r="F16" s="3"/>
      <c r="G16" s="3"/>
      <c r="H16" s="3" t="s">
        <v>505</v>
      </c>
      <c r="I16" s="3" t="s">
        <v>505</v>
      </c>
      <c r="J16" s="3"/>
      <c r="K16" s="3" t="s">
        <v>87</v>
      </c>
      <c r="L16" s="3" t="s">
        <v>91</v>
      </c>
      <c r="M16" s="3">
        <v>1000</v>
      </c>
      <c r="N16" s="3" t="s">
        <v>250</v>
      </c>
      <c r="O16" s="3"/>
      <c r="P16" s="3"/>
      <c r="Q16" s="3"/>
      <c r="R16" s="3" t="s">
        <v>475</v>
      </c>
      <c r="S16" s="3"/>
      <c r="T16" s="3"/>
      <c r="U16" s="3"/>
      <c r="V16" s="3"/>
      <c r="W16" s="3" t="s">
        <v>244</v>
      </c>
      <c r="X16" s="3" t="s">
        <v>434</v>
      </c>
      <c r="Y16" s="3"/>
      <c r="Z16" s="3"/>
      <c r="AA16" s="3"/>
      <c r="AB16" s="3" t="s">
        <v>535</v>
      </c>
      <c r="AC16" s="3" t="s">
        <v>532</v>
      </c>
      <c r="AD16" s="3"/>
      <c r="AE16" s="3" t="s">
        <v>707</v>
      </c>
      <c r="AF16" s="3" t="s">
        <v>708</v>
      </c>
      <c r="AG16" s="3"/>
      <c r="AH16" s="3"/>
      <c r="AI16" s="3"/>
      <c r="AJ16" s="3"/>
      <c r="AK16" s="3"/>
      <c r="AL16" s="3" t="s">
        <v>633</v>
      </c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 t="s">
        <v>590</v>
      </c>
      <c r="AX16" s="3">
        <v>27112900</v>
      </c>
      <c r="AY16" s="3" t="s">
        <v>197</v>
      </c>
      <c r="AZ16" s="3" t="s">
        <v>320</v>
      </c>
      <c r="BA16" s="6" t="s">
        <v>554</v>
      </c>
      <c r="BB16" s="6" t="s">
        <v>706</v>
      </c>
      <c r="BC16" s="6" t="s">
        <v>555</v>
      </c>
      <c r="BD16" s="6"/>
      <c r="BE16" s="6" t="s">
        <v>556</v>
      </c>
      <c r="BF16" s="6"/>
      <c r="BG16" s="6" t="s">
        <v>557</v>
      </c>
      <c r="BH16" s="6"/>
      <c r="BI16" s="6" t="s">
        <v>558</v>
      </c>
      <c r="BJ16" s="6"/>
      <c r="BK16" s="6" t="s">
        <v>559</v>
      </c>
      <c r="BL16" s="6"/>
      <c r="BM16" s="6" t="s">
        <v>560</v>
      </c>
      <c r="BN16" s="6"/>
      <c r="BO16" s="6" t="s">
        <v>561</v>
      </c>
      <c r="BP16" s="6"/>
      <c r="BQ16" s="6" t="s">
        <v>562</v>
      </c>
      <c r="BR16" s="6"/>
      <c r="BS16" s="6" t="s">
        <v>563</v>
      </c>
      <c r="BT16" s="6" t="s">
        <v>709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2" t="s">
        <v>905</v>
      </c>
    </row>
    <row r="17" spans="1:125" ht="12" customHeight="1">
      <c r="A17" s="1" t="s">
        <v>115</v>
      </c>
      <c r="B17" s="1" t="s">
        <v>66</v>
      </c>
      <c r="C17" s="3" t="s">
        <v>251</v>
      </c>
      <c r="D17" s="3" t="s">
        <v>636</v>
      </c>
      <c r="E17" s="4">
        <v>45125</v>
      </c>
      <c r="F17" s="3"/>
      <c r="G17" s="5" t="s">
        <v>589</v>
      </c>
      <c r="H17" s="3" t="s">
        <v>380</v>
      </c>
      <c r="I17" s="3" t="s">
        <v>380</v>
      </c>
      <c r="J17" s="3" t="s">
        <v>409</v>
      </c>
      <c r="K17" s="3" t="s">
        <v>87</v>
      </c>
      <c r="L17" s="3" t="s">
        <v>91</v>
      </c>
      <c r="M17" s="3" t="s">
        <v>521</v>
      </c>
      <c r="N17" s="3" t="s">
        <v>140</v>
      </c>
      <c r="O17" s="3" t="s">
        <v>384</v>
      </c>
      <c r="P17" s="3" t="s">
        <v>409</v>
      </c>
      <c r="Q17" s="3"/>
      <c r="R17" s="3" t="s">
        <v>412</v>
      </c>
      <c r="S17" s="3"/>
      <c r="T17" s="3"/>
      <c r="U17" s="3"/>
      <c r="V17" s="3"/>
      <c r="W17" s="3" t="s">
        <v>218</v>
      </c>
      <c r="X17" s="3" t="s">
        <v>362</v>
      </c>
      <c r="Y17" s="3"/>
      <c r="Z17" s="3"/>
      <c r="AA17" s="3"/>
      <c r="AB17" s="3"/>
      <c r="AC17" s="3"/>
      <c r="AD17" s="3"/>
      <c r="AE17" s="3"/>
      <c r="AF17" s="3" t="s">
        <v>710</v>
      </c>
      <c r="AG17" s="3"/>
      <c r="AH17" s="3"/>
      <c r="AI17" s="3"/>
      <c r="AJ17" s="3"/>
      <c r="AK17" s="3"/>
      <c r="AL17" s="3" t="s">
        <v>633</v>
      </c>
      <c r="AM17" s="3"/>
      <c r="AN17" s="3"/>
      <c r="AO17" s="3"/>
      <c r="AP17" s="3" t="s">
        <v>628</v>
      </c>
      <c r="AQ17" s="3"/>
      <c r="AR17" s="3"/>
      <c r="AS17" s="3"/>
      <c r="AT17" s="3"/>
      <c r="AU17" s="3"/>
      <c r="AV17" s="3"/>
      <c r="AW17" s="3" t="s">
        <v>590</v>
      </c>
      <c r="AX17" s="3">
        <v>27112900</v>
      </c>
      <c r="AY17" s="3" t="s">
        <v>197</v>
      </c>
      <c r="AZ17" s="3" t="s">
        <v>320</v>
      </c>
      <c r="BA17" s="6" t="s">
        <v>554</v>
      </c>
      <c r="BB17" s="6"/>
      <c r="BC17" s="6" t="s">
        <v>555</v>
      </c>
      <c r="BD17" s="6"/>
      <c r="BE17" s="6" t="s">
        <v>556</v>
      </c>
      <c r="BF17" s="6"/>
      <c r="BG17" s="6" t="s">
        <v>557</v>
      </c>
      <c r="BH17" s="6"/>
      <c r="BI17" s="6" t="s">
        <v>558</v>
      </c>
      <c r="BJ17" s="6"/>
      <c r="BK17" s="6" t="s">
        <v>559</v>
      </c>
      <c r="BL17" s="6" t="s">
        <v>711</v>
      </c>
      <c r="BM17" s="6" t="s">
        <v>560</v>
      </c>
      <c r="BN17" s="6"/>
      <c r="BO17" s="6" t="s">
        <v>561</v>
      </c>
      <c r="BP17" s="6"/>
      <c r="BQ17" s="6" t="s">
        <v>562</v>
      </c>
      <c r="BR17" s="6"/>
      <c r="BS17" s="6" t="s">
        <v>563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2" t="s">
        <v>905</v>
      </c>
    </row>
    <row r="18" spans="1:125" ht="12" customHeight="1">
      <c r="A18" s="1" t="s">
        <v>115</v>
      </c>
      <c r="B18" s="1" t="s">
        <v>66</v>
      </c>
      <c r="C18" s="3" t="s">
        <v>251</v>
      </c>
      <c r="D18" s="3" t="s">
        <v>636</v>
      </c>
      <c r="E18" s="4">
        <v>45125</v>
      </c>
      <c r="F18" s="3"/>
      <c r="G18" s="5" t="s">
        <v>589</v>
      </c>
      <c r="H18" s="3" t="s">
        <v>438</v>
      </c>
      <c r="I18" s="3" t="s">
        <v>438</v>
      </c>
      <c r="J18" s="3" t="s">
        <v>409</v>
      </c>
      <c r="K18" s="3" t="s">
        <v>87</v>
      </c>
      <c r="L18" s="3" t="s">
        <v>91</v>
      </c>
      <c r="M18" s="3" t="s">
        <v>193</v>
      </c>
      <c r="N18" s="3" t="s">
        <v>140</v>
      </c>
      <c r="O18" s="3" t="s">
        <v>409</v>
      </c>
      <c r="P18" s="3" t="s">
        <v>409</v>
      </c>
      <c r="Q18" s="3"/>
      <c r="R18" s="3" t="s">
        <v>153</v>
      </c>
      <c r="S18" s="3"/>
      <c r="T18" s="3"/>
      <c r="U18" s="3"/>
      <c r="V18" s="3"/>
      <c r="W18" s="3" t="s">
        <v>498</v>
      </c>
      <c r="X18" s="3" t="s">
        <v>456</v>
      </c>
      <c r="Y18" s="3"/>
      <c r="Z18" s="3"/>
      <c r="AA18" s="3"/>
      <c r="AB18" s="3" t="s">
        <v>349</v>
      </c>
      <c r="AC18" s="3" t="s">
        <v>90</v>
      </c>
      <c r="AD18" s="3"/>
      <c r="AE18" s="3"/>
      <c r="AF18" s="3" t="s">
        <v>712</v>
      </c>
      <c r="AG18" s="3"/>
      <c r="AH18" s="3"/>
      <c r="AI18" s="3"/>
      <c r="AJ18" s="3"/>
      <c r="AK18" s="3"/>
      <c r="AL18" s="3" t="s">
        <v>633</v>
      </c>
      <c r="AM18" s="3"/>
      <c r="AN18" s="3"/>
      <c r="AO18" s="3"/>
      <c r="AP18" s="3"/>
      <c r="AQ18" s="3"/>
      <c r="AR18" s="3" t="s">
        <v>713</v>
      </c>
      <c r="AS18" s="3"/>
      <c r="AT18" s="3"/>
      <c r="AU18" s="3"/>
      <c r="AV18" s="3"/>
      <c r="AW18" s="3" t="s">
        <v>590</v>
      </c>
      <c r="AX18" s="3">
        <v>27112900</v>
      </c>
      <c r="AY18" s="3" t="s">
        <v>197</v>
      </c>
      <c r="AZ18" s="3" t="s">
        <v>320</v>
      </c>
      <c r="BA18" s="6" t="s">
        <v>554</v>
      </c>
      <c r="BB18" s="6" t="s">
        <v>714</v>
      </c>
      <c r="BC18" s="6" t="s">
        <v>555</v>
      </c>
      <c r="BD18" s="6"/>
      <c r="BE18" s="6" t="s">
        <v>556</v>
      </c>
      <c r="BF18" s="6"/>
      <c r="BG18" s="6" t="s">
        <v>557</v>
      </c>
      <c r="BH18" s="6"/>
      <c r="BI18" s="6" t="s">
        <v>558</v>
      </c>
      <c r="BJ18" s="6"/>
      <c r="BK18" s="6" t="s">
        <v>559</v>
      </c>
      <c r="BL18" s="6"/>
      <c r="BM18" s="6" t="s">
        <v>560</v>
      </c>
      <c r="BN18" s="6"/>
      <c r="BO18" s="6" t="s">
        <v>561</v>
      </c>
      <c r="BP18" s="6"/>
      <c r="BQ18" s="6" t="s">
        <v>562</v>
      </c>
      <c r="BR18" s="6"/>
      <c r="BS18" s="6" t="s">
        <v>563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2" t="s">
        <v>905</v>
      </c>
    </row>
    <row r="19" spans="1:125" ht="12" customHeight="1">
      <c r="A19" s="1" t="s">
        <v>115</v>
      </c>
      <c r="B19" s="1" t="s">
        <v>66</v>
      </c>
      <c r="C19" s="3" t="s">
        <v>251</v>
      </c>
      <c r="D19" s="3" t="s">
        <v>636</v>
      </c>
      <c r="E19" s="4">
        <v>45125</v>
      </c>
      <c r="F19" s="3"/>
      <c r="G19" s="5" t="s">
        <v>606</v>
      </c>
      <c r="H19" s="3" t="s">
        <v>552</v>
      </c>
      <c r="I19" s="3" t="s">
        <v>552</v>
      </c>
      <c r="J19" s="3"/>
      <c r="K19" s="3" t="s">
        <v>87</v>
      </c>
      <c r="L19" s="3" t="s">
        <v>91</v>
      </c>
      <c r="M19" s="3">
        <v>1000</v>
      </c>
      <c r="N19" s="3" t="s">
        <v>250</v>
      </c>
      <c r="O19" s="3"/>
      <c r="P19" s="3"/>
      <c r="Q19" s="3"/>
      <c r="R19" s="3" t="s">
        <v>55</v>
      </c>
      <c r="S19" s="3"/>
      <c r="T19" s="3"/>
      <c r="U19" s="3"/>
      <c r="V19" s="3"/>
      <c r="W19" s="3" t="s">
        <v>79</v>
      </c>
      <c r="X19" s="3" t="s">
        <v>408</v>
      </c>
      <c r="Y19" s="3"/>
      <c r="Z19" s="3"/>
      <c r="AA19" s="3"/>
      <c r="AB19" s="3"/>
      <c r="AC19" s="3"/>
      <c r="AD19" s="3"/>
      <c r="AE19" s="3" t="s">
        <v>715</v>
      </c>
      <c r="AF19" s="3"/>
      <c r="AG19" s="3"/>
      <c r="AH19" s="3"/>
      <c r="AI19" s="3"/>
      <c r="AJ19" s="3"/>
      <c r="AK19" s="3"/>
      <c r="AL19" s="3" t="s">
        <v>633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 t="s">
        <v>590</v>
      </c>
      <c r="AX19" s="3">
        <v>27112900</v>
      </c>
      <c r="AY19" s="3" t="s">
        <v>197</v>
      </c>
      <c r="AZ19" s="3" t="s">
        <v>320</v>
      </c>
      <c r="BA19" s="6" t="s">
        <v>554</v>
      </c>
      <c r="BB19" s="6" t="s">
        <v>613</v>
      </c>
      <c r="BC19" s="6" t="s">
        <v>555</v>
      </c>
      <c r="BD19" s="6" t="s">
        <v>716</v>
      </c>
      <c r="BE19" s="6" t="s">
        <v>556</v>
      </c>
      <c r="BF19" s="6"/>
      <c r="BG19" s="6" t="s">
        <v>557</v>
      </c>
      <c r="BH19" s="6"/>
      <c r="BI19" s="6" t="s">
        <v>558</v>
      </c>
      <c r="BJ19" s="6"/>
      <c r="BK19" s="6" t="s">
        <v>559</v>
      </c>
      <c r="BL19" s="6"/>
      <c r="BM19" s="6" t="s">
        <v>560</v>
      </c>
      <c r="BN19" s="6"/>
      <c r="BO19" s="6" t="s">
        <v>561</v>
      </c>
      <c r="BP19" s="6"/>
      <c r="BQ19" s="6" t="s">
        <v>562</v>
      </c>
      <c r="BR19" s="6"/>
      <c r="BS19" s="6" t="s">
        <v>563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2" t="s">
        <v>905</v>
      </c>
    </row>
    <row r="20" spans="1:125" ht="12" customHeight="1">
      <c r="A20" s="1" t="s">
        <v>115</v>
      </c>
      <c r="B20" s="1" t="s">
        <v>66</v>
      </c>
      <c r="C20" s="3" t="s">
        <v>251</v>
      </c>
      <c r="D20" s="3" t="s">
        <v>636</v>
      </c>
      <c r="E20" s="4">
        <v>45125</v>
      </c>
      <c r="F20" s="3"/>
      <c r="G20" s="3"/>
      <c r="H20" s="3" t="s">
        <v>100</v>
      </c>
      <c r="I20" s="3" t="s">
        <v>100</v>
      </c>
      <c r="J20" s="3" t="s">
        <v>409</v>
      </c>
      <c r="K20" s="3" t="s">
        <v>87</v>
      </c>
      <c r="L20" s="3" t="s">
        <v>91</v>
      </c>
      <c r="M20" s="3" t="s">
        <v>402</v>
      </c>
      <c r="N20" s="3" t="s">
        <v>140</v>
      </c>
      <c r="O20" s="3" t="s">
        <v>409</v>
      </c>
      <c r="P20" s="3" t="s">
        <v>409</v>
      </c>
      <c r="Q20" s="3"/>
      <c r="R20" s="3" t="s">
        <v>225</v>
      </c>
      <c r="S20" s="3"/>
      <c r="T20" s="3"/>
      <c r="U20" s="3"/>
      <c r="V20" s="3"/>
      <c r="W20" s="3" t="s">
        <v>519</v>
      </c>
      <c r="X20" s="3" t="s">
        <v>351</v>
      </c>
      <c r="Y20" s="3"/>
      <c r="Z20" s="3"/>
      <c r="AA20" s="3"/>
      <c r="AB20" s="3" t="s">
        <v>398</v>
      </c>
      <c r="AC20" s="3" t="s">
        <v>36</v>
      </c>
      <c r="AD20" s="3"/>
      <c r="AE20" s="3" t="s">
        <v>860</v>
      </c>
      <c r="AF20" s="3">
        <v>11724</v>
      </c>
      <c r="AG20" s="3"/>
      <c r="AH20" s="3" t="s">
        <v>860</v>
      </c>
      <c r="AI20" s="3" t="s">
        <v>861</v>
      </c>
      <c r="AJ20" s="3"/>
      <c r="AK20" s="3"/>
      <c r="AL20" s="3" t="s">
        <v>862</v>
      </c>
      <c r="AM20" s="3"/>
      <c r="AN20" s="3"/>
      <c r="AO20" s="3"/>
      <c r="AP20" s="3"/>
      <c r="AQ20" s="3"/>
      <c r="AR20" s="3" t="s">
        <v>859</v>
      </c>
      <c r="AS20" s="3"/>
      <c r="AT20" s="3"/>
      <c r="AU20" s="3"/>
      <c r="AV20" s="3"/>
      <c r="AW20" s="3" t="s">
        <v>612</v>
      </c>
      <c r="AX20" s="3">
        <v>40151700</v>
      </c>
      <c r="AY20" s="3" t="s">
        <v>863</v>
      </c>
      <c r="AZ20" s="3" t="s">
        <v>496</v>
      </c>
      <c r="BA20" s="6" t="s">
        <v>554</v>
      </c>
      <c r="BB20" s="6" t="s">
        <v>866</v>
      </c>
      <c r="BC20" s="6" t="s">
        <v>567</v>
      </c>
      <c r="BD20" s="6" t="s">
        <v>865</v>
      </c>
      <c r="BE20" s="6" t="s">
        <v>569</v>
      </c>
      <c r="BF20" s="6" t="s">
        <v>864</v>
      </c>
      <c r="BG20" s="6" t="s">
        <v>561</v>
      </c>
      <c r="BH20" s="6"/>
      <c r="BI20" s="6" t="s">
        <v>562</v>
      </c>
      <c r="BJ20" s="6"/>
      <c r="BK20" s="6" t="s">
        <v>563</v>
      </c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2" t="s">
        <v>905</v>
      </c>
    </row>
    <row r="21" spans="1:125" ht="12" customHeight="1">
      <c r="A21" s="1" t="s">
        <v>115</v>
      </c>
      <c r="B21" s="1" t="s">
        <v>66</v>
      </c>
      <c r="C21" s="3" t="s">
        <v>251</v>
      </c>
      <c r="D21" s="3" t="s">
        <v>636</v>
      </c>
      <c r="E21" s="4">
        <v>45125</v>
      </c>
      <c r="F21" s="3"/>
      <c r="G21" s="5" t="s">
        <v>607</v>
      </c>
      <c r="H21" s="3" t="s">
        <v>71</v>
      </c>
      <c r="I21" s="3" t="s">
        <v>71</v>
      </c>
      <c r="J21" s="3" t="s">
        <v>409</v>
      </c>
      <c r="K21" s="3" t="s">
        <v>87</v>
      </c>
      <c r="L21" s="3" t="s">
        <v>91</v>
      </c>
      <c r="M21" s="3" t="s">
        <v>16</v>
      </c>
      <c r="N21" s="3" t="s">
        <v>140</v>
      </c>
      <c r="O21" s="3" t="s">
        <v>409</v>
      </c>
      <c r="P21" s="3" t="s">
        <v>409</v>
      </c>
      <c r="Q21" s="3"/>
      <c r="R21" s="3" t="s">
        <v>211</v>
      </c>
      <c r="S21" s="3"/>
      <c r="T21" s="3"/>
      <c r="U21" s="3"/>
      <c r="V21" s="3"/>
      <c r="W21" s="3" t="s">
        <v>518</v>
      </c>
      <c r="X21" s="3" t="s">
        <v>228</v>
      </c>
      <c r="Y21" s="3"/>
      <c r="Z21" s="3"/>
      <c r="AA21" s="3"/>
      <c r="AB21" s="3" t="s">
        <v>69</v>
      </c>
      <c r="AC21" s="3" t="s">
        <v>168</v>
      </c>
      <c r="AD21" s="3"/>
      <c r="AE21" s="3"/>
      <c r="AF21" s="3" t="s">
        <v>868</v>
      </c>
      <c r="AG21" s="3" t="s">
        <v>871</v>
      </c>
      <c r="AH21" s="3"/>
      <c r="AI21" s="3"/>
      <c r="AJ21" s="3"/>
      <c r="AK21" s="3"/>
      <c r="AL21" s="3" t="s">
        <v>867</v>
      </c>
      <c r="AM21" s="3" t="s">
        <v>870</v>
      </c>
      <c r="AN21" s="3"/>
      <c r="AO21" s="3"/>
      <c r="AP21" s="3"/>
      <c r="AQ21" s="3"/>
      <c r="AR21" s="3"/>
      <c r="AS21" s="3"/>
      <c r="AT21" s="3"/>
      <c r="AU21" s="3"/>
      <c r="AV21" s="3"/>
      <c r="AW21" s="3" t="s">
        <v>612</v>
      </c>
      <c r="AX21" s="3">
        <v>40172607</v>
      </c>
      <c r="AY21" s="3" t="s">
        <v>496</v>
      </c>
      <c r="AZ21" s="3" t="s">
        <v>432</v>
      </c>
      <c r="BA21" s="6" t="s">
        <v>554</v>
      </c>
      <c r="BB21" s="6" t="s">
        <v>883</v>
      </c>
      <c r="BC21" s="6" t="s">
        <v>571</v>
      </c>
      <c r="BD21" s="6" t="s">
        <v>759</v>
      </c>
      <c r="BE21" s="6" t="s">
        <v>572</v>
      </c>
      <c r="BF21" s="6" t="s">
        <v>873</v>
      </c>
      <c r="BG21" s="6" t="s">
        <v>569</v>
      </c>
      <c r="BH21" s="6" t="s">
        <v>872</v>
      </c>
      <c r="BI21" s="6" t="s">
        <v>573</v>
      </c>
      <c r="BJ21" s="6"/>
      <c r="BK21" s="6" t="s">
        <v>574</v>
      </c>
      <c r="BL21" s="6"/>
      <c r="BM21" s="6" t="s">
        <v>568</v>
      </c>
      <c r="BN21" s="6"/>
      <c r="BO21" s="6" t="s">
        <v>561</v>
      </c>
      <c r="BQ21" s="6" t="s">
        <v>562</v>
      </c>
      <c r="BR21" s="6" t="s">
        <v>874</v>
      </c>
      <c r="BS21" s="6" t="s">
        <v>563</v>
      </c>
      <c r="BT21" s="6" t="s">
        <v>869</v>
      </c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2" t="s">
        <v>905</v>
      </c>
    </row>
    <row r="22" spans="1:125" ht="12" customHeight="1">
      <c r="A22" s="1" t="s">
        <v>115</v>
      </c>
      <c r="B22" s="1" t="s">
        <v>66</v>
      </c>
      <c r="C22" s="3" t="s">
        <v>251</v>
      </c>
      <c r="D22" s="3" t="s">
        <v>636</v>
      </c>
      <c r="E22" s="4">
        <v>45125</v>
      </c>
      <c r="F22" s="3"/>
      <c r="G22" s="5" t="s">
        <v>589</v>
      </c>
      <c r="H22" s="3" t="s">
        <v>191</v>
      </c>
      <c r="I22" s="3" t="s">
        <v>191</v>
      </c>
      <c r="J22" s="3" t="s">
        <v>409</v>
      </c>
      <c r="K22" s="3" t="s">
        <v>87</v>
      </c>
      <c r="L22" s="3" t="s">
        <v>91</v>
      </c>
      <c r="M22" s="3" t="s">
        <v>16</v>
      </c>
      <c r="N22" s="3" t="s">
        <v>140</v>
      </c>
      <c r="O22" s="3" t="s">
        <v>409</v>
      </c>
      <c r="P22" s="3" t="s">
        <v>409</v>
      </c>
      <c r="Q22" s="3"/>
      <c r="R22" s="3" t="s">
        <v>396</v>
      </c>
      <c r="S22" s="3"/>
      <c r="T22" s="3"/>
      <c r="U22" s="3"/>
      <c r="V22" s="3"/>
      <c r="W22" s="3" t="s">
        <v>457</v>
      </c>
      <c r="X22" s="3" t="s">
        <v>270</v>
      </c>
      <c r="Y22" s="3"/>
      <c r="Z22" s="3"/>
      <c r="AA22" s="3"/>
      <c r="AB22" s="3" t="s">
        <v>135</v>
      </c>
      <c r="AC22" s="3" t="s">
        <v>240</v>
      </c>
      <c r="AD22" s="3"/>
      <c r="AE22" s="3"/>
      <c r="AF22" s="3" t="s">
        <v>876</v>
      </c>
      <c r="AG22" s="3"/>
      <c r="AH22" s="3"/>
      <c r="AI22" s="3" t="s">
        <v>877</v>
      </c>
      <c r="AJ22" s="3"/>
      <c r="AK22" s="3"/>
      <c r="AL22" s="3" t="s">
        <v>879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 t="s">
        <v>590</v>
      </c>
      <c r="AX22" s="3">
        <v>40172607</v>
      </c>
      <c r="AY22" s="3" t="s">
        <v>496</v>
      </c>
      <c r="AZ22" s="3" t="s">
        <v>432</v>
      </c>
      <c r="BA22" s="6" t="s">
        <v>554</v>
      </c>
      <c r="BB22" s="6"/>
      <c r="BC22" s="6" t="s">
        <v>571</v>
      </c>
      <c r="BD22" s="6" t="s">
        <v>878</v>
      </c>
      <c r="BE22" s="6" t="s">
        <v>572</v>
      </c>
      <c r="BF22" s="6" t="s">
        <v>880</v>
      </c>
      <c r="BG22" s="6" t="s">
        <v>569</v>
      </c>
      <c r="BH22" s="6" t="s">
        <v>614</v>
      </c>
      <c r="BI22" s="6" t="s">
        <v>573</v>
      </c>
      <c r="BJ22" s="6"/>
      <c r="BK22" s="6" t="s">
        <v>574</v>
      </c>
      <c r="BL22" s="6"/>
      <c r="BM22" s="6" t="s">
        <v>568</v>
      </c>
      <c r="BN22" s="6"/>
      <c r="BO22" s="6" t="s">
        <v>561</v>
      </c>
      <c r="BQ22" s="6" t="s">
        <v>562</v>
      </c>
      <c r="BR22" s="6" t="s">
        <v>881</v>
      </c>
      <c r="BS22" s="6" t="s">
        <v>563</v>
      </c>
      <c r="BT22" s="6" t="s">
        <v>875</v>
      </c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2" t="s">
        <v>905</v>
      </c>
    </row>
    <row r="23" spans="1:125" ht="12" customHeight="1">
      <c r="A23" s="1" t="s">
        <v>115</v>
      </c>
      <c r="B23" s="1" t="s">
        <v>66</v>
      </c>
      <c r="C23" s="3" t="s">
        <v>251</v>
      </c>
      <c r="D23" s="3" t="s">
        <v>636</v>
      </c>
      <c r="E23" s="4">
        <v>45125</v>
      </c>
      <c r="F23" s="3"/>
      <c r="G23" s="5" t="s">
        <v>607</v>
      </c>
      <c r="H23" s="3" t="s">
        <v>303</v>
      </c>
      <c r="I23" s="3" t="s">
        <v>303</v>
      </c>
      <c r="J23" s="3"/>
      <c r="K23" s="3" t="s">
        <v>87</v>
      </c>
      <c r="L23" s="3" t="s">
        <v>91</v>
      </c>
      <c r="M23" s="3">
        <v>1600</v>
      </c>
      <c r="N23" s="3" t="s">
        <v>250</v>
      </c>
      <c r="O23" s="3"/>
      <c r="P23" s="3"/>
      <c r="Q23" s="3"/>
      <c r="R23" s="3" t="s">
        <v>210</v>
      </c>
      <c r="S23" s="3"/>
      <c r="T23" s="3"/>
      <c r="U23" s="3"/>
      <c r="V23" s="3"/>
      <c r="W23" s="3" t="s">
        <v>241</v>
      </c>
      <c r="X23" s="3" t="s">
        <v>169</v>
      </c>
      <c r="Y23" s="3"/>
      <c r="Z23" s="3"/>
      <c r="AA23" s="3"/>
      <c r="AB23" s="3" t="s">
        <v>477</v>
      </c>
      <c r="AC23" s="3" t="s">
        <v>34</v>
      </c>
      <c r="AD23" s="3"/>
      <c r="AE23" s="3"/>
      <c r="AF23" s="3" t="s">
        <v>889</v>
      </c>
      <c r="AG23" s="3" t="s">
        <v>891</v>
      </c>
      <c r="AH23" s="3"/>
      <c r="AI23" s="3"/>
      <c r="AJ23" s="3"/>
      <c r="AK23" s="3"/>
      <c r="AL23" s="3" t="s">
        <v>890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 t="s">
        <v>612</v>
      </c>
      <c r="AX23" s="3">
        <v>40172607</v>
      </c>
      <c r="AY23" s="3" t="s">
        <v>496</v>
      </c>
      <c r="AZ23" s="3" t="s">
        <v>432</v>
      </c>
      <c r="BA23" s="6" t="s">
        <v>554</v>
      </c>
      <c r="BB23" s="6" t="s">
        <v>893</v>
      </c>
      <c r="BC23" s="6" t="s">
        <v>571</v>
      </c>
      <c r="BD23" s="6" t="s">
        <v>631</v>
      </c>
      <c r="BE23" s="6" t="s">
        <v>572</v>
      </c>
      <c r="BF23" s="6" t="s">
        <v>764</v>
      </c>
      <c r="BG23" s="6" t="s">
        <v>569</v>
      </c>
      <c r="BH23" s="6" t="s">
        <v>614</v>
      </c>
      <c r="BI23" s="6" t="s">
        <v>573</v>
      </c>
      <c r="BJ23" s="6"/>
      <c r="BK23" s="6" t="s">
        <v>574</v>
      </c>
      <c r="BL23" s="6"/>
      <c r="BM23" s="6" t="s">
        <v>568</v>
      </c>
      <c r="BN23" s="6"/>
      <c r="BO23" s="6" t="s">
        <v>561</v>
      </c>
      <c r="BQ23" s="6" t="s">
        <v>562</v>
      </c>
      <c r="BR23" s="6"/>
      <c r="BS23" s="6" t="s">
        <v>563</v>
      </c>
      <c r="BT23" s="6" t="s">
        <v>882</v>
      </c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2" t="s">
        <v>905</v>
      </c>
    </row>
    <row r="24" spans="1:125" ht="12" customHeight="1">
      <c r="A24" s="1" t="s">
        <v>115</v>
      </c>
      <c r="B24" s="1" t="s">
        <v>66</v>
      </c>
      <c r="C24" s="3" t="s">
        <v>251</v>
      </c>
      <c r="D24" s="3" t="s">
        <v>636</v>
      </c>
      <c r="E24" s="4">
        <v>45125</v>
      </c>
      <c r="F24" s="3"/>
      <c r="G24" s="3"/>
      <c r="H24" s="3" t="s">
        <v>416</v>
      </c>
      <c r="I24" s="3" t="s">
        <v>416</v>
      </c>
      <c r="J24" s="3"/>
      <c r="K24" s="3" t="s">
        <v>87</v>
      </c>
      <c r="L24" s="3" t="s">
        <v>91</v>
      </c>
      <c r="M24" s="3">
        <v>1600</v>
      </c>
      <c r="N24" s="3" t="s">
        <v>250</v>
      </c>
      <c r="O24" s="3"/>
      <c r="P24" s="3"/>
      <c r="Q24" s="3"/>
      <c r="R24" s="3" t="s">
        <v>67</v>
      </c>
      <c r="S24" s="3"/>
      <c r="T24" s="3"/>
      <c r="U24" s="3"/>
      <c r="V24" s="3"/>
      <c r="W24" s="3" t="s">
        <v>450</v>
      </c>
      <c r="X24" s="3" t="s">
        <v>441</v>
      </c>
      <c r="Y24" s="3"/>
      <c r="Z24" s="3"/>
      <c r="AA24" s="3"/>
      <c r="AB24" s="3" t="s">
        <v>76</v>
      </c>
      <c r="AC24" s="3" t="s">
        <v>206</v>
      </c>
      <c r="AD24" s="3"/>
      <c r="AE24" s="3" t="s">
        <v>884</v>
      </c>
      <c r="AF24" s="3" t="s">
        <v>886</v>
      </c>
      <c r="AG24" s="3"/>
      <c r="AH24" s="3"/>
      <c r="AI24" s="3"/>
      <c r="AJ24" s="3"/>
      <c r="AK24" s="3"/>
      <c r="AL24" s="3" t="s">
        <v>633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 t="s">
        <v>590</v>
      </c>
      <c r="AX24" s="3">
        <v>31163000</v>
      </c>
      <c r="AY24" s="3" t="s">
        <v>496</v>
      </c>
      <c r="AZ24" s="3" t="s">
        <v>432</v>
      </c>
      <c r="BA24" s="6" t="s">
        <v>554</v>
      </c>
      <c r="BB24" s="6"/>
      <c r="BC24" s="6" t="s">
        <v>571</v>
      </c>
      <c r="BD24" s="6" t="s">
        <v>631</v>
      </c>
      <c r="BE24" s="6" t="s">
        <v>572</v>
      </c>
      <c r="BF24" s="6" t="s">
        <v>885</v>
      </c>
      <c r="BG24" s="6" t="s">
        <v>569</v>
      </c>
      <c r="BH24" s="6"/>
      <c r="BI24" s="6" t="s">
        <v>573</v>
      </c>
      <c r="BJ24" s="6"/>
      <c r="BK24" s="6" t="s">
        <v>574</v>
      </c>
      <c r="BL24" s="6"/>
      <c r="BM24" s="6" t="s">
        <v>568</v>
      </c>
      <c r="BN24" s="6"/>
      <c r="BO24" s="6" t="s">
        <v>561</v>
      </c>
      <c r="BP24" s="6"/>
      <c r="BQ24" s="6" t="s">
        <v>562</v>
      </c>
      <c r="BR24" s="6"/>
      <c r="BS24" s="6" t="s">
        <v>563</v>
      </c>
      <c r="BT24" s="6" t="s">
        <v>887</v>
      </c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2" t="s">
        <v>905</v>
      </c>
    </row>
    <row r="25" spans="1:125" ht="12" customHeight="1">
      <c r="A25" s="1" t="s">
        <v>115</v>
      </c>
      <c r="B25" s="1" t="s">
        <v>66</v>
      </c>
      <c r="C25" s="3" t="s">
        <v>251</v>
      </c>
      <c r="D25" s="3" t="s">
        <v>636</v>
      </c>
      <c r="E25" s="4">
        <v>45125</v>
      </c>
      <c r="F25" s="3"/>
      <c r="G25" s="5" t="s">
        <v>899</v>
      </c>
      <c r="H25" s="3" t="s">
        <v>534</v>
      </c>
      <c r="I25" s="3" t="s">
        <v>534</v>
      </c>
      <c r="J25" s="3"/>
      <c r="K25" s="3" t="s">
        <v>87</v>
      </c>
      <c r="L25" s="3" t="s">
        <v>91</v>
      </c>
      <c r="M25" s="3">
        <v>1600</v>
      </c>
      <c r="N25" s="3" t="s">
        <v>250</v>
      </c>
      <c r="O25" s="3"/>
      <c r="P25" s="3"/>
      <c r="Q25" s="3"/>
      <c r="R25" s="3" t="s">
        <v>213</v>
      </c>
      <c r="S25" s="3"/>
      <c r="T25" s="3"/>
      <c r="U25" s="3"/>
      <c r="V25" s="3"/>
      <c r="W25" s="3" t="s">
        <v>319</v>
      </c>
      <c r="X25" s="3" t="s">
        <v>436</v>
      </c>
      <c r="Y25" s="3"/>
      <c r="Z25" s="3"/>
      <c r="AA25" s="3"/>
      <c r="AB25" s="3" t="s">
        <v>546</v>
      </c>
      <c r="AC25" s="3" t="s">
        <v>41</v>
      </c>
      <c r="AD25" s="3"/>
      <c r="AE25" s="3"/>
      <c r="AF25" s="3" t="s">
        <v>895</v>
      </c>
      <c r="AG25" s="3" t="s">
        <v>891</v>
      </c>
      <c r="AH25" s="3"/>
      <c r="AI25" s="3"/>
      <c r="AJ25" s="3"/>
      <c r="AK25" s="3"/>
      <c r="AL25" s="3" t="s">
        <v>894</v>
      </c>
      <c r="AM25" s="3" t="s">
        <v>896</v>
      </c>
      <c r="AN25" s="3"/>
      <c r="AO25" s="3"/>
      <c r="AP25" s="3"/>
      <c r="AQ25" s="3"/>
      <c r="AR25" s="3"/>
      <c r="AS25" s="3"/>
      <c r="AT25" s="3"/>
      <c r="AU25" s="3"/>
      <c r="AV25" s="3"/>
      <c r="AW25" s="3" t="s">
        <v>612</v>
      </c>
      <c r="AX25" s="3">
        <v>40172607</v>
      </c>
      <c r="AY25" s="3" t="s">
        <v>496</v>
      </c>
      <c r="AZ25" s="3" t="s">
        <v>432</v>
      </c>
      <c r="BA25" s="6" t="s">
        <v>554</v>
      </c>
      <c r="BB25" s="6"/>
      <c r="BC25" s="6" t="s">
        <v>571</v>
      </c>
      <c r="BD25" s="6" t="s">
        <v>897</v>
      </c>
      <c r="BE25" s="6" t="s">
        <v>572</v>
      </c>
      <c r="BF25" s="6" t="s">
        <v>892</v>
      </c>
      <c r="BG25" s="6" t="s">
        <v>569</v>
      </c>
      <c r="BH25" s="6" t="s">
        <v>614</v>
      </c>
      <c r="BI25" s="6" t="s">
        <v>573</v>
      </c>
      <c r="BJ25" s="6"/>
      <c r="BK25" s="6" t="s">
        <v>574</v>
      </c>
      <c r="BL25" s="6"/>
      <c r="BM25" s="6" t="s">
        <v>568</v>
      </c>
      <c r="BN25" s="6"/>
      <c r="BO25" s="6" t="s">
        <v>561</v>
      </c>
      <c r="BP25" s="6"/>
      <c r="BQ25" s="6" t="s">
        <v>562</v>
      </c>
      <c r="BR25" s="6" t="s">
        <v>898</v>
      </c>
      <c r="BS25" s="6" t="s">
        <v>563</v>
      </c>
      <c r="BT25" s="6" t="s">
        <v>888</v>
      </c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2" t="s">
        <v>905</v>
      </c>
    </row>
    <row r="26" spans="1:125" ht="12" customHeight="1">
      <c r="A26" s="1" t="s">
        <v>115</v>
      </c>
      <c r="B26" s="1" t="s">
        <v>66</v>
      </c>
      <c r="C26" s="3" t="s">
        <v>251</v>
      </c>
      <c r="D26" s="3" t="s">
        <v>636</v>
      </c>
      <c r="E26" s="4">
        <v>45125</v>
      </c>
      <c r="F26" s="3"/>
      <c r="G26" s="5" t="s">
        <v>899</v>
      </c>
      <c r="H26" s="3" t="s">
        <v>27</v>
      </c>
      <c r="I26" s="3" t="s">
        <v>27</v>
      </c>
      <c r="J26" s="3"/>
      <c r="K26" s="3" t="s">
        <v>87</v>
      </c>
      <c r="L26" s="3" t="s">
        <v>91</v>
      </c>
      <c r="M26" s="3">
        <v>1600</v>
      </c>
      <c r="N26" s="3" t="s">
        <v>250</v>
      </c>
      <c r="O26" s="3"/>
      <c r="P26" s="3"/>
      <c r="Q26" s="3"/>
      <c r="R26" s="3" t="s">
        <v>40</v>
      </c>
      <c r="S26" s="3"/>
      <c r="T26" s="3"/>
      <c r="U26" s="3"/>
      <c r="V26" s="3"/>
      <c r="W26" s="3" t="s">
        <v>264</v>
      </c>
      <c r="X26" s="3" t="s">
        <v>5</v>
      </c>
      <c r="Y26" s="3"/>
      <c r="Z26" s="3"/>
      <c r="AA26" s="3"/>
      <c r="AB26" s="3" t="s">
        <v>357</v>
      </c>
      <c r="AC26" s="3" t="s">
        <v>353</v>
      </c>
      <c r="AD26" s="3"/>
      <c r="AE26" s="3"/>
      <c r="AF26" s="3" t="s">
        <v>900</v>
      </c>
      <c r="AG26" s="3" t="s">
        <v>891</v>
      </c>
      <c r="AH26" s="3"/>
      <c r="AI26" s="3"/>
      <c r="AJ26" s="3"/>
      <c r="AK26" s="3"/>
      <c r="AL26" s="3" t="s">
        <v>894</v>
      </c>
      <c r="AM26" s="3" t="s">
        <v>901</v>
      </c>
      <c r="AN26" s="3"/>
      <c r="AO26" s="3"/>
      <c r="AP26" s="3"/>
      <c r="AQ26" s="3"/>
      <c r="AR26" s="3"/>
      <c r="AS26" s="3"/>
      <c r="AT26" s="3"/>
      <c r="AU26" s="3"/>
      <c r="AV26" s="3"/>
      <c r="AW26" s="3" t="s">
        <v>612</v>
      </c>
      <c r="AX26" s="3">
        <v>40172607</v>
      </c>
      <c r="AY26" s="3" t="s">
        <v>496</v>
      </c>
      <c r="AZ26" s="3" t="s">
        <v>432</v>
      </c>
      <c r="BA26" s="6" t="s">
        <v>554</v>
      </c>
      <c r="BB26" s="6"/>
      <c r="BC26" s="6" t="s">
        <v>571</v>
      </c>
      <c r="BD26" s="6" t="s">
        <v>903</v>
      </c>
      <c r="BE26" s="6" t="s">
        <v>572</v>
      </c>
      <c r="BF26" s="6" t="s">
        <v>892</v>
      </c>
      <c r="BG26" s="6" t="s">
        <v>569</v>
      </c>
      <c r="BH26" s="6" t="s">
        <v>614</v>
      </c>
      <c r="BI26" s="6" t="s">
        <v>573</v>
      </c>
      <c r="BJ26" s="6"/>
      <c r="BK26" s="6" t="s">
        <v>574</v>
      </c>
      <c r="BL26" s="6"/>
      <c r="BM26" s="6" t="s">
        <v>568</v>
      </c>
      <c r="BN26" s="6"/>
      <c r="BO26" s="6" t="s">
        <v>561</v>
      </c>
      <c r="BP26" s="6"/>
      <c r="BQ26" s="6" t="s">
        <v>562</v>
      </c>
      <c r="BR26" s="6" t="s">
        <v>898</v>
      </c>
      <c r="BS26" s="6" t="s">
        <v>563</v>
      </c>
      <c r="BT26" s="6" t="s">
        <v>902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2" t="s">
        <v>905</v>
      </c>
    </row>
    <row r="27" spans="1:125" ht="12" customHeight="1">
      <c r="A27" s="1" t="s">
        <v>115</v>
      </c>
      <c r="B27" s="1" t="s">
        <v>66</v>
      </c>
      <c r="C27" s="3" t="s">
        <v>251</v>
      </c>
      <c r="D27" s="3" t="s">
        <v>636</v>
      </c>
      <c r="E27" s="4">
        <v>45125</v>
      </c>
      <c r="F27" s="3"/>
      <c r="G27" s="3"/>
      <c r="H27" s="3" t="s">
        <v>307</v>
      </c>
      <c r="I27" s="3" t="s">
        <v>307</v>
      </c>
      <c r="J27" s="3"/>
      <c r="K27" s="3" t="s">
        <v>87</v>
      </c>
      <c r="L27" s="3" t="s">
        <v>91</v>
      </c>
      <c r="M27" s="3">
        <v>1000</v>
      </c>
      <c r="N27" s="3" t="s">
        <v>250</v>
      </c>
      <c r="O27" s="3"/>
      <c r="P27" s="3"/>
      <c r="Q27" s="3"/>
      <c r="R27" s="3" t="s">
        <v>430</v>
      </c>
      <c r="S27" s="3"/>
      <c r="T27" s="3"/>
      <c r="U27" s="3"/>
      <c r="V27" s="3"/>
      <c r="W27" s="3" t="s">
        <v>540</v>
      </c>
      <c r="X27" s="3" t="s">
        <v>110</v>
      </c>
      <c r="Y27" s="3"/>
      <c r="Z27" s="3"/>
      <c r="AA27" s="3"/>
      <c r="AB27" s="3"/>
      <c r="AC27" s="3"/>
      <c r="AD27" s="3"/>
      <c r="AE27" s="3" t="s">
        <v>751</v>
      </c>
      <c r="AF27" s="3" t="s">
        <v>753</v>
      </c>
      <c r="AG27" s="3"/>
      <c r="AH27" s="3"/>
      <c r="AI27" s="3"/>
      <c r="AJ27" s="3"/>
      <c r="AK27" s="3"/>
      <c r="AL27" s="3" t="s">
        <v>72</v>
      </c>
      <c r="AM27" s="3" t="s">
        <v>757</v>
      </c>
      <c r="AN27" s="3"/>
      <c r="AO27" s="3"/>
      <c r="AP27" s="3"/>
      <c r="AQ27" s="3"/>
      <c r="AR27" s="3"/>
      <c r="AS27" s="3"/>
      <c r="AT27" s="3"/>
      <c r="AU27" s="3"/>
      <c r="AV27" s="3"/>
      <c r="AW27" s="3" t="s">
        <v>612</v>
      </c>
      <c r="AX27" s="3">
        <v>40171711</v>
      </c>
      <c r="AY27" s="3" t="s">
        <v>401</v>
      </c>
      <c r="AZ27" s="3" t="s">
        <v>513</v>
      </c>
      <c r="BA27" s="6" t="s">
        <v>554</v>
      </c>
      <c r="BB27" s="6"/>
      <c r="BC27" s="6" t="s">
        <v>571</v>
      </c>
      <c r="BD27" s="6" t="s">
        <v>630</v>
      </c>
      <c r="BE27" s="6" t="s">
        <v>572</v>
      </c>
      <c r="BF27" s="6" t="s">
        <v>783</v>
      </c>
      <c r="BG27" s="6" t="s">
        <v>573</v>
      </c>
      <c r="BH27" s="6" t="s">
        <v>770</v>
      </c>
      <c r="BI27" s="6" t="s">
        <v>575</v>
      </c>
      <c r="BJ27" s="6"/>
      <c r="BK27" s="6" t="s">
        <v>576</v>
      </c>
      <c r="BL27" s="6"/>
      <c r="BM27" s="6" t="s">
        <v>569</v>
      </c>
      <c r="BN27" s="6" t="s">
        <v>632</v>
      </c>
      <c r="BO27" s="6" t="s">
        <v>577</v>
      </c>
      <c r="BP27" s="6"/>
      <c r="BQ27" s="6" t="s">
        <v>578</v>
      </c>
      <c r="BR27" s="6"/>
      <c r="BS27" s="6" t="s">
        <v>568</v>
      </c>
      <c r="BT27" s="6"/>
      <c r="BU27" s="6" t="s">
        <v>561</v>
      </c>
      <c r="BV27" s="6"/>
      <c r="BW27" s="6" t="s">
        <v>562</v>
      </c>
      <c r="BX27" s="6" t="s">
        <v>758</v>
      </c>
      <c r="BY27" s="6" t="s">
        <v>563</v>
      </c>
      <c r="BZ27" s="6" t="s">
        <v>775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2" t="s">
        <v>905</v>
      </c>
    </row>
    <row r="28" spans="1:125" ht="12" customHeight="1">
      <c r="A28" s="1" t="s">
        <v>115</v>
      </c>
      <c r="B28" s="1" t="s">
        <v>66</v>
      </c>
      <c r="C28" s="3" t="s">
        <v>251</v>
      </c>
      <c r="D28" s="3" t="s">
        <v>636</v>
      </c>
      <c r="E28" s="4">
        <v>45125</v>
      </c>
      <c r="F28" s="3"/>
      <c r="G28" s="3"/>
      <c r="H28" s="3" t="s">
        <v>243</v>
      </c>
      <c r="I28" s="3" t="s">
        <v>243</v>
      </c>
      <c r="J28" s="3"/>
      <c r="K28" s="3" t="s">
        <v>87</v>
      </c>
      <c r="L28" s="3" t="s">
        <v>91</v>
      </c>
      <c r="M28" s="3">
        <v>1000</v>
      </c>
      <c r="N28" s="3" t="s">
        <v>250</v>
      </c>
      <c r="O28" s="3"/>
      <c r="P28" s="3"/>
      <c r="Q28" s="3"/>
      <c r="R28" s="3" t="s">
        <v>348</v>
      </c>
      <c r="S28" s="3"/>
      <c r="T28" s="3"/>
      <c r="U28" s="3"/>
      <c r="V28" s="3"/>
      <c r="W28" s="3" t="s">
        <v>476</v>
      </c>
      <c r="X28" s="3" t="s">
        <v>468</v>
      </c>
      <c r="Y28" s="3"/>
      <c r="Z28" s="3"/>
      <c r="AA28" s="3"/>
      <c r="AB28" s="3"/>
      <c r="AC28" s="3"/>
      <c r="AD28" s="3"/>
      <c r="AE28" s="3" t="s">
        <v>751</v>
      </c>
      <c r="AF28" s="3" t="s">
        <v>754</v>
      </c>
      <c r="AG28" s="3"/>
      <c r="AH28" s="3"/>
      <c r="AI28" s="3"/>
      <c r="AJ28" s="3"/>
      <c r="AK28" s="3"/>
      <c r="AL28" s="3" t="s">
        <v>326</v>
      </c>
      <c r="AM28" s="3" t="s">
        <v>757</v>
      </c>
      <c r="AN28" s="3"/>
      <c r="AO28" s="3"/>
      <c r="AP28" s="3"/>
      <c r="AQ28" s="3"/>
      <c r="AR28" s="3"/>
      <c r="AS28" s="3"/>
      <c r="AT28" s="3"/>
      <c r="AU28" s="3"/>
      <c r="AV28" s="3"/>
      <c r="AW28" s="3" t="s">
        <v>612</v>
      </c>
      <c r="AX28" s="3">
        <v>40171711</v>
      </c>
      <c r="AY28" s="3" t="s">
        <v>401</v>
      </c>
      <c r="AZ28" s="3" t="s">
        <v>513</v>
      </c>
      <c r="BA28" s="6" t="s">
        <v>554</v>
      </c>
      <c r="BB28" s="6"/>
      <c r="BC28" s="6" t="s">
        <v>571</v>
      </c>
      <c r="BD28" s="6" t="s">
        <v>630</v>
      </c>
      <c r="BE28" s="6" t="s">
        <v>572</v>
      </c>
      <c r="BF28" s="6" t="s">
        <v>784</v>
      </c>
      <c r="BG28" s="6" t="s">
        <v>573</v>
      </c>
      <c r="BH28" s="6" t="s">
        <v>761</v>
      </c>
      <c r="BI28" s="6" t="s">
        <v>575</v>
      </c>
      <c r="BJ28" s="6"/>
      <c r="BK28" s="6" t="s">
        <v>576</v>
      </c>
      <c r="BL28" s="6"/>
      <c r="BM28" s="6" t="s">
        <v>569</v>
      </c>
      <c r="BN28" s="6" t="s">
        <v>632</v>
      </c>
      <c r="BO28" s="6" t="s">
        <v>577</v>
      </c>
      <c r="BP28" s="6"/>
      <c r="BQ28" s="6" t="s">
        <v>578</v>
      </c>
      <c r="BR28" s="6"/>
      <c r="BS28" s="6" t="s">
        <v>568</v>
      </c>
      <c r="BT28" s="6"/>
      <c r="BU28" s="6" t="s">
        <v>561</v>
      </c>
      <c r="BV28" s="6"/>
      <c r="BW28" s="6" t="s">
        <v>562</v>
      </c>
      <c r="BX28" s="6" t="s">
        <v>758</v>
      </c>
      <c r="BY28" s="6" t="s">
        <v>563</v>
      </c>
      <c r="BZ28" s="6" t="s">
        <v>765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2" t="s">
        <v>905</v>
      </c>
    </row>
    <row r="29" spans="1:125" ht="12" customHeight="1">
      <c r="A29" s="1" t="s">
        <v>115</v>
      </c>
      <c r="B29" s="1" t="s">
        <v>66</v>
      </c>
      <c r="C29" s="3" t="s">
        <v>251</v>
      </c>
      <c r="D29" s="3" t="s">
        <v>636</v>
      </c>
      <c r="E29" s="4">
        <v>45125</v>
      </c>
      <c r="F29" s="3"/>
      <c r="G29" s="3"/>
      <c r="H29" s="3" t="s">
        <v>542</v>
      </c>
      <c r="I29" s="3" t="s">
        <v>542</v>
      </c>
      <c r="J29" s="3"/>
      <c r="K29" s="3" t="s">
        <v>87</v>
      </c>
      <c r="L29" s="3" t="s">
        <v>91</v>
      </c>
      <c r="M29" s="3">
        <v>1000</v>
      </c>
      <c r="N29" s="3" t="s">
        <v>250</v>
      </c>
      <c r="O29" s="3"/>
      <c r="P29" s="3"/>
      <c r="Q29" s="3"/>
      <c r="R29" s="3" t="s">
        <v>229</v>
      </c>
      <c r="S29" s="3"/>
      <c r="T29" s="3"/>
      <c r="U29" s="3"/>
      <c r="V29" s="3"/>
      <c r="W29" s="3" t="s">
        <v>2</v>
      </c>
      <c r="X29" s="3" t="s">
        <v>543</v>
      </c>
      <c r="Y29" s="3"/>
      <c r="Z29" s="3"/>
      <c r="AA29" s="3"/>
      <c r="AB29" s="3"/>
      <c r="AC29" s="3"/>
      <c r="AD29" s="3"/>
      <c r="AE29" s="3" t="s">
        <v>751</v>
      </c>
      <c r="AF29" s="3" t="s">
        <v>755</v>
      </c>
      <c r="AG29" s="3"/>
      <c r="AH29" s="3"/>
      <c r="AI29" s="3"/>
      <c r="AJ29" s="3"/>
      <c r="AK29" s="3"/>
      <c r="AL29" s="3" t="s">
        <v>326</v>
      </c>
      <c r="AM29" s="3" t="s">
        <v>757</v>
      </c>
      <c r="AN29" s="3"/>
      <c r="AO29" s="3"/>
      <c r="AP29" s="3"/>
      <c r="AQ29" s="3"/>
      <c r="AR29" s="3"/>
      <c r="AS29" s="3"/>
      <c r="AT29" s="3"/>
      <c r="AU29" s="3"/>
      <c r="AV29" s="3"/>
      <c r="AW29" s="3" t="s">
        <v>612</v>
      </c>
      <c r="AX29" s="3">
        <v>40171711</v>
      </c>
      <c r="AY29" s="3" t="s">
        <v>401</v>
      </c>
      <c r="AZ29" s="3" t="s">
        <v>513</v>
      </c>
      <c r="BA29" s="6" t="s">
        <v>554</v>
      </c>
      <c r="BB29" s="6"/>
      <c r="BC29" s="6" t="s">
        <v>571</v>
      </c>
      <c r="BD29" s="6" t="s">
        <v>759</v>
      </c>
      <c r="BE29" s="6" t="s">
        <v>572</v>
      </c>
      <c r="BF29" s="6" t="s">
        <v>784</v>
      </c>
      <c r="BG29" s="6" t="s">
        <v>573</v>
      </c>
      <c r="BH29" s="6" t="s">
        <v>762</v>
      </c>
      <c r="BI29" s="6" t="s">
        <v>575</v>
      </c>
      <c r="BJ29" s="6"/>
      <c r="BK29" s="6" t="s">
        <v>576</v>
      </c>
      <c r="BL29" s="6"/>
      <c r="BM29" s="6" t="s">
        <v>569</v>
      </c>
      <c r="BN29" s="6" t="s">
        <v>632</v>
      </c>
      <c r="BO29" s="6" t="s">
        <v>577</v>
      </c>
      <c r="BP29" s="6"/>
      <c r="BQ29" s="6" t="s">
        <v>578</v>
      </c>
      <c r="BR29" s="6"/>
      <c r="BS29" s="6" t="s">
        <v>568</v>
      </c>
      <c r="BT29" s="6"/>
      <c r="BU29" s="6" t="s">
        <v>561</v>
      </c>
      <c r="BV29" s="6"/>
      <c r="BW29" s="6" t="s">
        <v>562</v>
      </c>
      <c r="BX29" s="6" t="s">
        <v>758</v>
      </c>
      <c r="BY29" s="6" t="s">
        <v>563</v>
      </c>
      <c r="BZ29" s="6" t="s">
        <v>765</v>
      </c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2" t="s">
        <v>905</v>
      </c>
    </row>
    <row r="30" spans="1:125" ht="12" customHeight="1">
      <c r="A30" s="1" t="s">
        <v>115</v>
      </c>
      <c r="B30" s="1" t="s">
        <v>66</v>
      </c>
      <c r="C30" s="3" t="s">
        <v>251</v>
      </c>
      <c r="D30" s="3" t="s">
        <v>636</v>
      </c>
      <c r="E30" s="4">
        <v>45125</v>
      </c>
      <c r="F30" s="3"/>
      <c r="G30" s="3"/>
      <c r="H30" s="3" t="s">
        <v>242</v>
      </c>
      <c r="I30" s="3" t="s">
        <v>242</v>
      </c>
      <c r="J30" s="3"/>
      <c r="K30" s="3" t="s">
        <v>87</v>
      </c>
      <c r="L30" s="3" t="s">
        <v>91</v>
      </c>
      <c r="M30" s="3">
        <v>1000</v>
      </c>
      <c r="N30" s="3" t="s">
        <v>250</v>
      </c>
      <c r="O30" s="3"/>
      <c r="P30" s="3"/>
      <c r="Q30" s="3"/>
      <c r="R30" s="3" t="s">
        <v>451</v>
      </c>
      <c r="S30" s="3"/>
      <c r="T30" s="3"/>
      <c r="U30" s="3"/>
      <c r="V30" s="3"/>
      <c r="W30" s="3" t="s">
        <v>108</v>
      </c>
      <c r="X30" s="3" t="s">
        <v>294</v>
      </c>
      <c r="Y30" s="3"/>
      <c r="Z30" s="3"/>
      <c r="AA30" s="3"/>
      <c r="AB30" s="3"/>
      <c r="AC30" s="3"/>
      <c r="AD30" s="3"/>
      <c r="AE30" s="3" t="s">
        <v>751</v>
      </c>
      <c r="AF30" s="3" t="s">
        <v>756</v>
      </c>
      <c r="AG30" s="3"/>
      <c r="AH30" s="3"/>
      <c r="AI30" s="3"/>
      <c r="AJ30" s="3"/>
      <c r="AK30" s="3"/>
      <c r="AL30" s="3" t="s">
        <v>326</v>
      </c>
      <c r="AM30" s="3" t="s">
        <v>757</v>
      </c>
      <c r="AN30" s="3"/>
      <c r="AO30" s="3"/>
      <c r="AP30" s="3"/>
      <c r="AQ30" s="3"/>
      <c r="AR30" s="3"/>
      <c r="AS30" s="3"/>
      <c r="AT30" s="3"/>
      <c r="AU30" s="3"/>
      <c r="AV30" s="3"/>
      <c r="AW30" s="3" t="s">
        <v>612</v>
      </c>
      <c r="AX30" s="3">
        <v>40171711</v>
      </c>
      <c r="AY30" s="3" t="s">
        <v>401</v>
      </c>
      <c r="AZ30" s="3" t="s">
        <v>513</v>
      </c>
      <c r="BA30" s="6" t="s">
        <v>554</v>
      </c>
      <c r="BB30" s="6"/>
      <c r="BC30" s="6" t="s">
        <v>571</v>
      </c>
      <c r="BD30" s="6" t="s">
        <v>760</v>
      </c>
      <c r="BE30" s="6" t="s">
        <v>572</v>
      </c>
      <c r="BF30" s="6" t="s">
        <v>784</v>
      </c>
      <c r="BG30" s="6" t="s">
        <v>573</v>
      </c>
      <c r="BH30" s="6" t="s">
        <v>763</v>
      </c>
      <c r="BI30" s="6" t="s">
        <v>575</v>
      </c>
      <c r="BJ30" s="6"/>
      <c r="BK30" s="6" t="s">
        <v>576</v>
      </c>
      <c r="BL30" s="6"/>
      <c r="BM30" s="6" t="s">
        <v>569</v>
      </c>
      <c r="BN30" s="6" t="s">
        <v>632</v>
      </c>
      <c r="BO30" s="6" t="s">
        <v>577</v>
      </c>
      <c r="BP30" s="6"/>
      <c r="BQ30" s="6" t="s">
        <v>578</v>
      </c>
      <c r="BR30" s="6"/>
      <c r="BS30" s="6" t="s">
        <v>568</v>
      </c>
      <c r="BT30" s="6"/>
      <c r="BU30" s="6" t="s">
        <v>561</v>
      </c>
      <c r="BV30" s="6"/>
      <c r="BW30" s="6" t="s">
        <v>562</v>
      </c>
      <c r="BX30" s="6" t="s">
        <v>758</v>
      </c>
      <c r="BY30" s="6" t="s">
        <v>563</v>
      </c>
      <c r="BZ30" s="6" t="s">
        <v>765</v>
      </c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2" t="s">
        <v>905</v>
      </c>
    </row>
    <row r="31" spans="1:125" ht="12" customHeight="1">
      <c r="A31" s="1" t="s">
        <v>115</v>
      </c>
      <c r="B31" s="1" t="s">
        <v>66</v>
      </c>
      <c r="C31" s="3" t="s">
        <v>251</v>
      </c>
      <c r="D31" s="3" t="s">
        <v>636</v>
      </c>
      <c r="E31" s="4">
        <v>45125</v>
      </c>
      <c r="F31" s="3"/>
      <c r="G31" s="3"/>
      <c r="H31" s="3" t="s">
        <v>308</v>
      </c>
      <c r="I31" s="3" t="s">
        <v>308</v>
      </c>
      <c r="J31" s="3"/>
      <c r="K31" s="3" t="s">
        <v>87</v>
      </c>
      <c r="L31" s="3" t="s">
        <v>91</v>
      </c>
      <c r="M31" s="3">
        <v>1000</v>
      </c>
      <c r="N31" s="3" t="s">
        <v>250</v>
      </c>
      <c r="O31" s="3"/>
      <c r="P31" s="3"/>
      <c r="Q31" s="3"/>
      <c r="R31" s="3" t="s">
        <v>420</v>
      </c>
      <c r="S31" s="3"/>
      <c r="T31" s="3"/>
      <c r="U31" s="3"/>
      <c r="V31" s="3"/>
      <c r="W31" s="3" t="s">
        <v>548</v>
      </c>
      <c r="X31" s="3" t="s">
        <v>96</v>
      </c>
      <c r="Y31" s="3"/>
      <c r="Z31" s="3"/>
      <c r="AA31" s="3"/>
      <c r="AB31" s="3"/>
      <c r="AC31" s="3"/>
      <c r="AD31" s="3"/>
      <c r="AE31" s="3" t="s">
        <v>751</v>
      </c>
      <c r="AF31" s="3" t="s">
        <v>766</v>
      </c>
      <c r="AG31" s="3"/>
      <c r="AH31" s="3"/>
      <c r="AI31" s="3"/>
      <c r="AJ31" s="3"/>
      <c r="AK31" s="3"/>
      <c r="AL31" s="3" t="s">
        <v>72</v>
      </c>
      <c r="AM31" s="3" t="s">
        <v>757</v>
      </c>
      <c r="AN31" s="3"/>
      <c r="AO31" s="3"/>
      <c r="AP31" s="3"/>
      <c r="AQ31" s="3"/>
      <c r="AR31" s="3"/>
      <c r="AS31" s="3"/>
      <c r="AT31" s="3"/>
      <c r="AU31" s="3"/>
      <c r="AV31" s="3"/>
      <c r="AW31" s="3" t="s">
        <v>612</v>
      </c>
      <c r="AX31" s="3">
        <v>40171711</v>
      </c>
      <c r="AY31" s="3" t="s">
        <v>401</v>
      </c>
      <c r="AZ31" s="3" t="s">
        <v>513</v>
      </c>
      <c r="BA31" s="6" t="s">
        <v>554</v>
      </c>
      <c r="BB31" s="6"/>
      <c r="BC31" s="6" t="s">
        <v>571</v>
      </c>
      <c r="BD31" s="6" t="s">
        <v>630</v>
      </c>
      <c r="BE31" s="6" t="s">
        <v>572</v>
      </c>
      <c r="BF31" s="6" t="s">
        <v>783</v>
      </c>
      <c r="BG31" s="6" t="s">
        <v>573</v>
      </c>
      <c r="BH31" s="6" t="s">
        <v>771</v>
      </c>
      <c r="BI31" s="6" t="s">
        <v>575</v>
      </c>
      <c r="BJ31" s="6"/>
      <c r="BK31" s="6" t="s">
        <v>576</v>
      </c>
      <c r="BL31" s="6"/>
      <c r="BM31" s="6" t="s">
        <v>569</v>
      </c>
      <c r="BN31" s="6" t="s">
        <v>632</v>
      </c>
      <c r="BO31" s="6" t="s">
        <v>577</v>
      </c>
      <c r="BP31" s="6"/>
      <c r="BQ31" s="6" t="s">
        <v>578</v>
      </c>
      <c r="BR31" s="6"/>
      <c r="BS31" s="6" t="s">
        <v>568</v>
      </c>
      <c r="BT31" s="6"/>
      <c r="BU31" s="6" t="s">
        <v>561</v>
      </c>
      <c r="BV31" s="6"/>
      <c r="BW31" s="6" t="s">
        <v>562</v>
      </c>
      <c r="BX31" s="6" t="s">
        <v>758</v>
      </c>
      <c r="BY31" s="6" t="s">
        <v>563</v>
      </c>
      <c r="BZ31" s="6" t="s">
        <v>765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2" t="s">
        <v>905</v>
      </c>
    </row>
    <row r="32" spans="1:125" ht="12" customHeight="1">
      <c r="A32" s="1" t="s">
        <v>115</v>
      </c>
      <c r="B32" s="1" t="s">
        <v>66</v>
      </c>
      <c r="C32" s="3" t="s">
        <v>251</v>
      </c>
      <c r="D32" s="3" t="s">
        <v>636</v>
      </c>
      <c r="E32" s="4">
        <v>45125</v>
      </c>
      <c r="F32" s="3"/>
      <c r="G32" s="3"/>
      <c r="H32" s="3" t="s">
        <v>311</v>
      </c>
      <c r="I32" s="3" t="s">
        <v>311</v>
      </c>
      <c r="J32" s="3"/>
      <c r="K32" s="3" t="s">
        <v>87</v>
      </c>
      <c r="L32" s="3" t="s">
        <v>91</v>
      </c>
      <c r="M32" s="3">
        <v>1000</v>
      </c>
      <c r="N32" s="3" t="s">
        <v>250</v>
      </c>
      <c r="O32" s="3"/>
      <c r="P32" s="3"/>
      <c r="Q32" s="3"/>
      <c r="R32" s="3" t="s">
        <v>139</v>
      </c>
      <c r="S32" s="3"/>
      <c r="T32" s="3"/>
      <c r="U32" s="3"/>
      <c r="V32" s="3"/>
      <c r="W32" s="3" t="s">
        <v>205</v>
      </c>
      <c r="X32" s="3" t="s">
        <v>54</v>
      </c>
      <c r="Y32" s="3"/>
      <c r="Z32" s="3"/>
      <c r="AA32" s="3"/>
      <c r="AB32" s="3"/>
      <c r="AC32" s="3"/>
      <c r="AD32" s="3"/>
      <c r="AE32" s="3" t="s">
        <v>751</v>
      </c>
      <c r="AF32" s="3" t="s">
        <v>767</v>
      </c>
      <c r="AG32" s="3"/>
      <c r="AH32" s="3"/>
      <c r="AI32" s="3"/>
      <c r="AJ32" s="3"/>
      <c r="AK32" s="3"/>
      <c r="AL32" s="3" t="s">
        <v>72</v>
      </c>
      <c r="AM32" s="3" t="s">
        <v>757</v>
      </c>
      <c r="AN32" s="3"/>
      <c r="AO32" s="3"/>
      <c r="AP32" s="3"/>
      <c r="AQ32" s="3"/>
      <c r="AR32" s="3"/>
      <c r="AS32" s="3"/>
      <c r="AT32" s="3"/>
      <c r="AU32" s="3"/>
      <c r="AV32" s="3"/>
      <c r="AW32" s="3" t="s">
        <v>612</v>
      </c>
      <c r="AX32" s="3">
        <v>40171711</v>
      </c>
      <c r="AY32" s="3" t="s">
        <v>401</v>
      </c>
      <c r="AZ32" s="3" t="s">
        <v>513</v>
      </c>
      <c r="BA32" s="6" t="s">
        <v>554</v>
      </c>
      <c r="BB32" s="6"/>
      <c r="BC32" s="6" t="s">
        <v>571</v>
      </c>
      <c r="BD32" s="6" t="s">
        <v>759</v>
      </c>
      <c r="BE32" s="6" t="s">
        <v>572</v>
      </c>
      <c r="BF32" s="6" t="s">
        <v>783</v>
      </c>
      <c r="BG32" s="6" t="s">
        <v>573</v>
      </c>
      <c r="BH32" s="6" t="s">
        <v>772</v>
      </c>
      <c r="BI32" s="6" t="s">
        <v>575</v>
      </c>
      <c r="BJ32" s="6"/>
      <c r="BK32" s="6" t="s">
        <v>576</v>
      </c>
      <c r="BL32" s="6"/>
      <c r="BM32" s="6" t="s">
        <v>569</v>
      </c>
      <c r="BN32" s="6" t="s">
        <v>632</v>
      </c>
      <c r="BO32" s="6" t="s">
        <v>577</v>
      </c>
      <c r="BP32" s="6"/>
      <c r="BQ32" s="6" t="s">
        <v>578</v>
      </c>
      <c r="BR32" s="6"/>
      <c r="BS32" s="6" t="s">
        <v>568</v>
      </c>
      <c r="BT32" s="6"/>
      <c r="BU32" s="6" t="s">
        <v>561</v>
      </c>
      <c r="BV32" s="6"/>
      <c r="BW32" s="6" t="s">
        <v>562</v>
      </c>
      <c r="BX32" s="6" t="s">
        <v>758</v>
      </c>
      <c r="BY32" s="6" t="s">
        <v>563</v>
      </c>
      <c r="BZ32" s="6" t="s">
        <v>765</v>
      </c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2" t="s">
        <v>905</v>
      </c>
    </row>
    <row r="33" spans="1:125" ht="12" customHeight="1">
      <c r="A33" s="1" t="s">
        <v>115</v>
      </c>
      <c r="B33" s="1" t="s">
        <v>66</v>
      </c>
      <c r="C33" s="3" t="s">
        <v>251</v>
      </c>
      <c r="D33" s="3" t="s">
        <v>636</v>
      </c>
      <c r="E33" s="4">
        <v>45125</v>
      </c>
      <c r="F33" s="3"/>
      <c r="G33" s="3"/>
      <c r="H33" s="3" t="s">
        <v>312</v>
      </c>
      <c r="I33" s="3" t="s">
        <v>312</v>
      </c>
      <c r="J33" s="3"/>
      <c r="K33" s="3" t="s">
        <v>87</v>
      </c>
      <c r="L33" s="3" t="s">
        <v>91</v>
      </c>
      <c r="M33" s="3">
        <v>1000</v>
      </c>
      <c r="N33" s="3" t="s">
        <v>250</v>
      </c>
      <c r="O33" s="3"/>
      <c r="P33" s="3"/>
      <c r="Q33" s="3"/>
      <c r="R33" s="3" t="s">
        <v>407</v>
      </c>
      <c r="S33" s="3"/>
      <c r="T33" s="3"/>
      <c r="U33" s="3"/>
      <c r="V33" s="3"/>
      <c r="W33" s="3" t="s">
        <v>405</v>
      </c>
      <c r="X33" s="3" t="s">
        <v>194</v>
      </c>
      <c r="Y33" s="3"/>
      <c r="Z33" s="3"/>
      <c r="AA33" s="3"/>
      <c r="AB33" s="3"/>
      <c r="AC33" s="3"/>
      <c r="AD33" s="3"/>
      <c r="AE33" s="3" t="s">
        <v>751</v>
      </c>
      <c r="AF33" s="3" t="s">
        <v>768</v>
      </c>
      <c r="AG33" s="3"/>
      <c r="AH33" s="3"/>
      <c r="AI33" s="3"/>
      <c r="AJ33" s="3"/>
      <c r="AK33" s="3"/>
      <c r="AL33" s="3" t="s">
        <v>72</v>
      </c>
      <c r="AM33" s="3" t="s">
        <v>757</v>
      </c>
      <c r="AN33" s="3"/>
      <c r="AO33" s="3"/>
      <c r="AP33" s="3"/>
      <c r="AQ33" s="3"/>
      <c r="AR33" s="3"/>
      <c r="AS33" s="3"/>
      <c r="AT33" s="3"/>
      <c r="AU33" s="3"/>
      <c r="AV33" s="3"/>
      <c r="AW33" s="3" t="s">
        <v>612</v>
      </c>
      <c r="AX33" s="3">
        <v>40171711</v>
      </c>
      <c r="AY33" s="3" t="s">
        <v>401</v>
      </c>
      <c r="AZ33" s="3" t="s">
        <v>513</v>
      </c>
      <c r="BA33" s="6" t="s">
        <v>554</v>
      </c>
      <c r="BB33" s="6"/>
      <c r="BC33" s="6" t="s">
        <v>571</v>
      </c>
      <c r="BD33" s="6" t="s">
        <v>760</v>
      </c>
      <c r="BE33" s="6" t="s">
        <v>572</v>
      </c>
      <c r="BF33" s="6" t="s">
        <v>783</v>
      </c>
      <c r="BG33" s="6" t="s">
        <v>573</v>
      </c>
      <c r="BH33" s="6" t="s">
        <v>773</v>
      </c>
      <c r="BI33" s="6" t="s">
        <v>575</v>
      </c>
      <c r="BJ33" s="6"/>
      <c r="BK33" s="6" t="s">
        <v>576</v>
      </c>
      <c r="BL33" s="6"/>
      <c r="BM33" s="6" t="s">
        <v>569</v>
      </c>
      <c r="BN33" s="6" t="s">
        <v>632</v>
      </c>
      <c r="BO33" s="6" t="s">
        <v>577</v>
      </c>
      <c r="BP33" s="6"/>
      <c r="BQ33" s="6" t="s">
        <v>578</v>
      </c>
      <c r="BR33" s="6"/>
      <c r="BS33" s="6" t="s">
        <v>568</v>
      </c>
      <c r="BT33" s="6"/>
      <c r="BU33" s="6" t="s">
        <v>561</v>
      </c>
      <c r="BV33" s="6"/>
      <c r="BW33" s="6" t="s">
        <v>562</v>
      </c>
      <c r="BX33" s="6" t="s">
        <v>758</v>
      </c>
      <c r="BY33" s="6" t="s">
        <v>563</v>
      </c>
      <c r="BZ33" s="6" t="s">
        <v>765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2" t="s">
        <v>905</v>
      </c>
    </row>
    <row r="34" spans="1:125" ht="12" customHeight="1">
      <c r="A34" s="1" t="s">
        <v>115</v>
      </c>
      <c r="B34" s="1" t="s">
        <v>66</v>
      </c>
      <c r="C34" s="3" t="s">
        <v>251</v>
      </c>
      <c r="D34" s="3" t="s">
        <v>636</v>
      </c>
      <c r="E34" s="4">
        <v>45125</v>
      </c>
      <c r="F34" s="3"/>
      <c r="G34" s="3"/>
      <c r="H34" s="3" t="s">
        <v>464</v>
      </c>
      <c r="I34" s="3" t="s">
        <v>464</v>
      </c>
      <c r="J34" s="3"/>
      <c r="K34" s="3" t="s">
        <v>87</v>
      </c>
      <c r="L34" s="3" t="s">
        <v>91</v>
      </c>
      <c r="M34" s="3">
        <v>1000</v>
      </c>
      <c r="N34" s="3" t="s">
        <v>250</v>
      </c>
      <c r="O34" s="3"/>
      <c r="P34" s="3"/>
      <c r="Q34" s="3"/>
      <c r="R34" s="3" t="s">
        <v>293</v>
      </c>
      <c r="S34" s="3"/>
      <c r="T34" s="3"/>
      <c r="U34" s="3"/>
      <c r="V34" s="3"/>
      <c r="W34" s="3" t="s">
        <v>367</v>
      </c>
      <c r="X34" s="3" t="s">
        <v>235</v>
      </c>
      <c r="Y34" s="3"/>
      <c r="Z34" s="3"/>
      <c r="AA34" s="3"/>
      <c r="AB34" s="3"/>
      <c r="AC34" s="3"/>
      <c r="AD34" s="3"/>
      <c r="AE34" s="3" t="s">
        <v>751</v>
      </c>
      <c r="AF34" s="3" t="s">
        <v>769</v>
      </c>
      <c r="AG34" s="3"/>
      <c r="AH34" s="3"/>
      <c r="AI34" s="3"/>
      <c r="AJ34" s="3"/>
      <c r="AK34" s="3"/>
      <c r="AL34" s="3" t="s">
        <v>72</v>
      </c>
      <c r="AM34" s="3" t="s">
        <v>757</v>
      </c>
      <c r="AN34" s="3"/>
      <c r="AO34" s="3"/>
      <c r="AP34" s="3"/>
      <c r="AQ34" s="3"/>
      <c r="AR34" s="3"/>
      <c r="AS34" s="3"/>
      <c r="AT34" s="3"/>
      <c r="AU34" s="3"/>
      <c r="AV34" s="3"/>
      <c r="AW34" s="3" t="s">
        <v>612</v>
      </c>
      <c r="AX34" s="3">
        <v>40171711</v>
      </c>
      <c r="AY34" s="3" t="s">
        <v>401</v>
      </c>
      <c r="AZ34" s="3" t="s">
        <v>513</v>
      </c>
      <c r="BA34" s="6" t="s">
        <v>554</v>
      </c>
      <c r="BB34" s="6"/>
      <c r="BC34" s="6" t="s">
        <v>571</v>
      </c>
      <c r="BD34" s="6" t="s">
        <v>782</v>
      </c>
      <c r="BE34" s="6" t="s">
        <v>572</v>
      </c>
      <c r="BF34" s="6" t="s">
        <v>783</v>
      </c>
      <c r="BG34" s="6" t="s">
        <v>573</v>
      </c>
      <c r="BH34" s="6" t="s">
        <v>774</v>
      </c>
      <c r="BI34" s="6" t="s">
        <v>575</v>
      </c>
      <c r="BJ34" s="6"/>
      <c r="BK34" s="6" t="s">
        <v>576</v>
      </c>
      <c r="BL34" s="6"/>
      <c r="BM34" s="6" t="s">
        <v>569</v>
      </c>
      <c r="BN34" s="6" t="s">
        <v>632</v>
      </c>
      <c r="BO34" s="6" t="s">
        <v>577</v>
      </c>
      <c r="BP34" s="6"/>
      <c r="BQ34" s="6" t="s">
        <v>578</v>
      </c>
      <c r="BR34" s="6"/>
      <c r="BS34" s="6" t="s">
        <v>568</v>
      </c>
      <c r="BT34" s="6"/>
      <c r="BU34" s="6" t="s">
        <v>561</v>
      </c>
      <c r="BV34" s="6"/>
      <c r="BW34" s="6" t="s">
        <v>562</v>
      </c>
      <c r="BX34" s="6" t="s">
        <v>758</v>
      </c>
      <c r="BY34" s="6" t="s">
        <v>563</v>
      </c>
      <c r="BZ34" s="6" t="s">
        <v>775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2" t="s">
        <v>905</v>
      </c>
    </row>
    <row r="35" spans="1:125" ht="12" customHeight="1">
      <c r="A35" s="1" t="s">
        <v>115</v>
      </c>
      <c r="B35" s="1" t="s">
        <v>66</v>
      </c>
      <c r="C35" s="3" t="s">
        <v>251</v>
      </c>
      <c r="D35" s="3" t="s">
        <v>636</v>
      </c>
      <c r="E35" s="4">
        <v>45125</v>
      </c>
      <c r="F35" s="3"/>
      <c r="G35" s="3"/>
      <c r="H35" s="3" t="s">
        <v>437</v>
      </c>
      <c r="I35" s="3" t="s">
        <v>437</v>
      </c>
      <c r="J35" s="3"/>
      <c r="K35" s="3" t="s">
        <v>87</v>
      </c>
      <c r="L35" s="3" t="s">
        <v>91</v>
      </c>
      <c r="M35" s="3">
        <v>1000</v>
      </c>
      <c r="N35" s="3" t="s">
        <v>250</v>
      </c>
      <c r="O35" s="3"/>
      <c r="P35" s="3"/>
      <c r="Q35" s="3"/>
      <c r="R35" s="3" t="s">
        <v>269</v>
      </c>
      <c r="S35" s="3"/>
      <c r="T35" s="3"/>
      <c r="U35" s="3"/>
      <c r="V35" s="3"/>
      <c r="W35" s="3" t="s">
        <v>393</v>
      </c>
      <c r="X35" s="3" t="s">
        <v>419</v>
      </c>
      <c r="Y35" s="3"/>
      <c r="Z35" s="3"/>
      <c r="AA35" s="3"/>
      <c r="AB35" s="3"/>
      <c r="AC35" s="3"/>
      <c r="AD35" s="3"/>
      <c r="AE35" s="3" t="s">
        <v>751</v>
      </c>
      <c r="AF35" s="3" t="s">
        <v>776</v>
      </c>
      <c r="AG35" s="3"/>
      <c r="AH35" s="3"/>
      <c r="AI35" s="3"/>
      <c r="AJ35" s="3"/>
      <c r="AK35" s="3"/>
      <c r="AL35" s="3" t="s">
        <v>752</v>
      </c>
      <c r="AM35" s="3" t="s">
        <v>757</v>
      </c>
      <c r="AN35" s="3"/>
      <c r="AO35" s="3"/>
      <c r="AP35" s="3"/>
      <c r="AQ35" s="3"/>
      <c r="AR35" s="3"/>
      <c r="AS35" s="3"/>
      <c r="AT35" s="3"/>
      <c r="AU35" s="3"/>
      <c r="AV35" s="3"/>
      <c r="AW35" s="3" t="s">
        <v>612</v>
      </c>
      <c r="AX35" s="3">
        <v>40171711</v>
      </c>
      <c r="AY35" s="3" t="s">
        <v>401</v>
      </c>
      <c r="AZ35" s="3" t="s">
        <v>513</v>
      </c>
      <c r="BA35" s="6" t="s">
        <v>554</v>
      </c>
      <c r="BB35" s="6"/>
      <c r="BC35" s="6" t="s">
        <v>571</v>
      </c>
      <c r="BD35" s="6" t="s">
        <v>778</v>
      </c>
      <c r="BE35" s="6" t="s">
        <v>572</v>
      </c>
      <c r="BF35" s="6" t="s">
        <v>780</v>
      </c>
      <c r="BG35" s="6" t="s">
        <v>573</v>
      </c>
      <c r="BH35" s="6"/>
      <c r="BI35" s="6" t="s">
        <v>575</v>
      </c>
      <c r="BJ35" s="6"/>
      <c r="BK35" s="6" t="s">
        <v>576</v>
      </c>
      <c r="BL35" s="6"/>
      <c r="BM35" s="6" t="s">
        <v>569</v>
      </c>
      <c r="BN35" s="6" t="s">
        <v>632</v>
      </c>
      <c r="BO35" s="6" t="s">
        <v>577</v>
      </c>
      <c r="BP35" s="6"/>
      <c r="BQ35" s="6" t="s">
        <v>578</v>
      </c>
      <c r="BR35" s="6"/>
      <c r="BS35" s="6" t="s">
        <v>568</v>
      </c>
      <c r="BT35" s="6"/>
      <c r="BU35" s="6" t="s">
        <v>561</v>
      </c>
      <c r="BV35" s="6"/>
      <c r="BW35" s="6" t="s">
        <v>562</v>
      </c>
      <c r="BX35" s="6" t="s">
        <v>758</v>
      </c>
      <c r="BY35" s="6" t="s">
        <v>563</v>
      </c>
      <c r="BZ35" s="6" t="s">
        <v>775</v>
      </c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2" t="s">
        <v>905</v>
      </c>
    </row>
    <row r="36" spans="1:125" ht="12" customHeight="1">
      <c r="A36" s="1" t="s">
        <v>115</v>
      </c>
      <c r="B36" s="1" t="s">
        <v>66</v>
      </c>
      <c r="C36" s="3" t="s">
        <v>251</v>
      </c>
      <c r="D36" s="3" t="s">
        <v>636</v>
      </c>
      <c r="E36" s="4">
        <v>45125</v>
      </c>
      <c r="F36" s="3"/>
      <c r="G36" s="3"/>
      <c r="H36" s="3" t="s">
        <v>429</v>
      </c>
      <c r="I36" s="3" t="s">
        <v>429</v>
      </c>
      <c r="J36" s="3"/>
      <c r="K36" s="3" t="s">
        <v>87</v>
      </c>
      <c r="L36" s="3" t="s">
        <v>91</v>
      </c>
      <c r="M36" s="3">
        <v>1000</v>
      </c>
      <c r="N36" s="3" t="s">
        <v>250</v>
      </c>
      <c r="O36" s="3"/>
      <c r="P36" s="3"/>
      <c r="Q36" s="3"/>
      <c r="R36" s="3" t="s">
        <v>164</v>
      </c>
      <c r="S36" s="3"/>
      <c r="T36" s="3"/>
      <c r="U36" s="3"/>
      <c r="V36" s="3"/>
      <c r="W36" s="3" t="s">
        <v>12</v>
      </c>
      <c r="X36" s="3" t="s">
        <v>290</v>
      </c>
      <c r="Y36" s="3"/>
      <c r="Z36" s="3"/>
      <c r="AA36" s="3"/>
      <c r="AB36" s="3"/>
      <c r="AC36" s="3"/>
      <c r="AD36" s="3"/>
      <c r="AE36" s="3" t="s">
        <v>751</v>
      </c>
      <c r="AF36" s="3" t="s">
        <v>777</v>
      </c>
      <c r="AG36" s="3"/>
      <c r="AH36" s="3"/>
      <c r="AI36" s="3"/>
      <c r="AJ36" s="3"/>
      <c r="AK36" s="3"/>
      <c r="AL36" s="3" t="s">
        <v>752</v>
      </c>
      <c r="AM36" s="3" t="s">
        <v>757</v>
      </c>
      <c r="AN36" s="3"/>
      <c r="AO36" s="3"/>
      <c r="AP36" s="3"/>
      <c r="AQ36" s="3"/>
      <c r="AR36" s="3"/>
      <c r="AS36" s="3"/>
      <c r="AT36" s="3"/>
      <c r="AU36" s="3"/>
      <c r="AV36" s="3"/>
      <c r="AW36" s="3" t="s">
        <v>612</v>
      </c>
      <c r="AX36" s="3">
        <v>40171711</v>
      </c>
      <c r="AY36" s="3" t="s">
        <v>401</v>
      </c>
      <c r="AZ36" s="3" t="s">
        <v>513</v>
      </c>
      <c r="BA36" s="6" t="s">
        <v>554</v>
      </c>
      <c r="BB36" s="6"/>
      <c r="BC36" s="6" t="s">
        <v>571</v>
      </c>
      <c r="BD36" s="6" t="s">
        <v>779</v>
      </c>
      <c r="BE36" s="6" t="s">
        <v>572</v>
      </c>
      <c r="BF36" s="6" t="s">
        <v>780</v>
      </c>
      <c r="BG36" s="6" t="s">
        <v>573</v>
      </c>
      <c r="BH36" s="6"/>
      <c r="BI36" s="6" t="s">
        <v>575</v>
      </c>
      <c r="BJ36" s="6"/>
      <c r="BK36" s="6" t="s">
        <v>576</v>
      </c>
      <c r="BL36" s="6"/>
      <c r="BM36" s="6" t="s">
        <v>569</v>
      </c>
      <c r="BN36" s="6" t="s">
        <v>632</v>
      </c>
      <c r="BO36" s="6" t="s">
        <v>577</v>
      </c>
      <c r="BP36" s="6"/>
      <c r="BQ36" s="6" t="s">
        <v>578</v>
      </c>
      <c r="BR36" s="6"/>
      <c r="BS36" s="6" t="s">
        <v>568</v>
      </c>
      <c r="BT36" s="6"/>
      <c r="BU36" s="6" t="s">
        <v>561</v>
      </c>
      <c r="BV36" s="6"/>
      <c r="BW36" s="6" t="s">
        <v>562</v>
      </c>
      <c r="BX36" s="6" t="s">
        <v>758</v>
      </c>
      <c r="BY36" s="6" t="s">
        <v>563</v>
      </c>
      <c r="BZ36" s="6" t="s">
        <v>781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2" t="s">
        <v>905</v>
      </c>
    </row>
    <row r="37" spans="1:125" ht="12" customHeight="1">
      <c r="A37" s="1" t="s">
        <v>115</v>
      </c>
      <c r="B37" s="1" t="s">
        <v>66</v>
      </c>
      <c r="C37" s="3" t="s">
        <v>251</v>
      </c>
      <c r="D37" s="3" t="s">
        <v>636</v>
      </c>
      <c r="E37" s="4">
        <v>45125</v>
      </c>
      <c r="F37" s="3"/>
      <c r="G37" s="5" t="s">
        <v>589</v>
      </c>
      <c r="H37" s="3" t="s">
        <v>386</v>
      </c>
      <c r="I37" s="3" t="s">
        <v>386</v>
      </c>
      <c r="J37" s="3"/>
      <c r="K37" s="3" t="s">
        <v>87</v>
      </c>
      <c r="L37" s="3" t="s">
        <v>91</v>
      </c>
      <c r="M37" s="3">
        <v>1000</v>
      </c>
      <c r="N37" s="3" t="s">
        <v>250</v>
      </c>
      <c r="O37" s="3"/>
      <c r="P37" s="3"/>
      <c r="Q37" s="3"/>
      <c r="R37" s="3" t="s">
        <v>551</v>
      </c>
      <c r="S37" s="3"/>
      <c r="T37" s="3"/>
      <c r="U37" s="3"/>
      <c r="V37" s="3"/>
      <c r="W37" s="3" t="s">
        <v>107</v>
      </c>
      <c r="X37" s="3" t="s">
        <v>162</v>
      </c>
      <c r="Y37" s="3"/>
      <c r="Z37" s="3"/>
      <c r="AA37" s="3"/>
      <c r="AB37" s="3" t="s">
        <v>157</v>
      </c>
      <c r="AC37" s="3" t="s">
        <v>232</v>
      </c>
      <c r="AD37" s="3"/>
      <c r="AE37" s="3"/>
      <c r="AF37" s="3" t="s">
        <v>850</v>
      </c>
      <c r="AG37" s="3"/>
      <c r="AH37" s="3"/>
      <c r="AI37" s="3"/>
      <c r="AJ37" s="3"/>
      <c r="AK37" s="3"/>
      <c r="AL37" s="3" t="s">
        <v>633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 t="s">
        <v>590</v>
      </c>
      <c r="AX37" s="3">
        <v>27113000</v>
      </c>
      <c r="AY37" s="3" t="s">
        <v>237</v>
      </c>
      <c r="AZ37" s="3" t="s">
        <v>93</v>
      </c>
      <c r="BA37" s="6" t="s">
        <v>554</v>
      </c>
      <c r="BB37" s="6" t="s">
        <v>851</v>
      </c>
      <c r="BC37" s="6" t="s">
        <v>579</v>
      </c>
      <c r="BD37" s="6"/>
      <c r="BE37" s="6" t="s">
        <v>580</v>
      </c>
      <c r="BF37" s="6"/>
      <c r="BG37" s="6" t="s">
        <v>573</v>
      </c>
      <c r="BH37" s="6"/>
      <c r="BI37" s="6" t="s">
        <v>570</v>
      </c>
      <c r="BJ37" s="6"/>
      <c r="BK37" s="6" t="s">
        <v>581</v>
      </c>
      <c r="BL37" s="6"/>
      <c r="BM37" s="6" t="s">
        <v>561</v>
      </c>
      <c r="BN37" s="6"/>
      <c r="BO37" s="6" t="s">
        <v>562</v>
      </c>
      <c r="BP37" s="6"/>
      <c r="BQ37" s="6" t="s">
        <v>563</v>
      </c>
      <c r="BR37" s="6" t="s">
        <v>852</v>
      </c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2" t="s">
        <v>905</v>
      </c>
    </row>
    <row r="38" spans="1:125" ht="12" customHeight="1">
      <c r="A38" s="1" t="s">
        <v>115</v>
      </c>
      <c r="B38" s="1" t="s">
        <v>66</v>
      </c>
      <c r="C38" s="3" t="s">
        <v>251</v>
      </c>
      <c r="D38" s="3" t="s">
        <v>636</v>
      </c>
      <c r="E38" s="4">
        <v>45125</v>
      </c>
      <c r="F38" s="3"/>
      <c r="G38" s="5" t="s">
        <v>589</v>
      </c>
      <c r="H38" s="3" t="s">
        <v>411</v>
      </c>
      <c r="I38" s="3" t="s">
        <v>411</v>
      </c>
      <c r="J38" s="3"/>
      <c r="K38" s="3" t="s">
        <v>87</v>
      </c>
      <c r="L38" s="3" t="s">
        <v>91</v>
      </c>
      <c r="M38" s="3">
        <v>1000</v>
      </c>
      <c r="N38" s="3" t="s">
        <v>250</v>
      </c>
      <c r="O38" s="3"/>
      <c r="P38" s="3"/>
      <c r="Q38" s="3"/>
      <c r="R38" s="3" t="s">
        <v>226</v>
      </c>
      <c r="S38" s="3"/>
      <c r="T38" s="3"/>
      <c r="U38" s="3"/>
      <c r="V38" s="3"/>
      <c r="W38" s="3" t="s">
        <v>329</v>
      </c>
      <c r="X38" s="3" t="s">
        <v>215</v>
      </c>
      <c r="Y38" s="3"/>
      <c r="Z38" s="3"/>
      <c r="AA38" s="3"/>
      <c r="AB38" s="3" t="s">
        <v>19</v>
      </c>
      <c r="AC38" s="3" t="s">
        <v>254</v>
      </c>
      <c r="AD38" s="3"/>
      <c r="AE38" s="3"/>
      <c r="AF38" s="3" t="s">
        <v>850</v>
      </c>
      <c r="AG38" s="3"/>
      <c r="AH38" s="3"/>
      <c r="AI38" s="3"/>
      <c r="AJ38" s="3"/>
      <c r="AK38" s="3"/>
      <c r="AL38" s="3" t="s">
        <v>633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 t="s">
        <v>590</v>
      </c>
      <c r="AX38" s="3">
        <v>27113000</v>
      </c>
      <c r="AY38" s="3" t="s">
        <v>237</v>
      </c>
      <c r="AZ38" s="3" t="s">
        <v>93</v>
      </c>
      <c r="BA38" s="6" t="s">
        <v>554</v>
      </c>
      <c r="BB38" s="6" t="s">
        <v>851</v>
      </c>
      <c r="BC38" s="6" t="s">
        <v>579</v>
      </c>
      <c r="BD38" s="6"/>
      <c r="BE38" s="6" t="s">
        <v>580</v>
      </c>
      <c r="BF38" s="6"/>
      <c r="BG38" s="6" t="s">
        <v>573</v>
      </c>
      <c r="BH38" s="6"/>
      <c r="BI38" s="6" t="s">
        <v>570</v>
      </c>
      <c r="BJ38" s="6"/>
      <c r="BK38" s="6" t="s">
        <v>581</v>
      </c>
      <c r="BL38" s="6"/>
      <c r="BM38" s="6" t="s">
        <v>561</v>
      </c>
      <c r="BN38" s="6"/>
      <c r="BO38" s="6" t="s">
        <v>562</v>
      </c>
      <c r="BP38" s="6"/>
      <c r="BQ38" s="6" t="s">
        <v>563</v>
      </c>
      <c r="BR38" s="6" t="s">
        <v>853</v>
      </c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2" t="s">
        <v>905</v>
      </c>
    </row>
    <row r="39" spans="1:125" ht="12" customHeight="1">
      <c r="A39" s="1" t="s">
        <v>115</v>
      </c>
      <c r="B39" s="1" t="s">
        <v>66</v>
      </c>
      <c r="C39" s="3" t="s">
        <v>251</v>
      </c>
      <c r="D39" s="3" t="s">
        <v>636</v>
      </c>
      <c r="E39" s="4">
        <v>45125</v>
      </c>
      <c r="F39" s="3"/>
      <c r="G39" s="5" t="s">
        <v>589</v>
      </c>
      <c r="H39" s="3" t="s">
        <v>385</v>
      </c>
      <c r="I39" s="3" t="s">
        <v>385</v>
      </c>
      <c r="J39" s="3"/>
      <c r="K39" s="3" t="s">
        <v>87</v>
      </c>
      <c r="L39" s="3" t="s">
        <v>91</v>
      </c>
      <c r="M39" s="3">
        <v>1000</v>
      </c>
      <c r="N39" s="3" t="s">
        <v>250</v>
      </c>
      <c r="O39" s="3"/>
      <c r="P39" s="3"/>
      <c r="Q39" s="3"/>
      <c r="R39" s="3" t="s">
        <v>26</v>
      </c>
      <c r="S39" s="3"/>
      <c r="T39" s="3"/>
      <c r="U39" s="3"/>
      <c r="V39" s="3"/>
      <c r="W39" s="3" t="s">
        <v>151</v>
      </c>
      <c r="X39" s="3" t="s">
        <v>4</v>
      </c>
      <c r="Y39" s="3"/>
      <c r="Z39" s="3"/>
      <c r="AA39" s="3"/>
      <c r="AB39" s="3" t="s">
        <v>97</v>
      </c>
      <c r="AC39" s="3" t="s">
        <v>474</v>
      </c>
      <c r="AD39" s="3"/>
      <c r="AE39" s="3"/>
      <c r="AF39" s="3" t="s">
        <v>850</v>
      </c>
      <c r="AG39" s="3"/>
      <c r="AH39" s="3"/>
      <c r="AI39" s="3"/>
      <c r="AJ39" s="3"/>
      <c r="AK39" s="3"/>
      <c r="AL39" s="3" t="s">
        <v>633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 t="s">
        <v>590</v>
      </c>
      <c r="AX39" s="3">
        <v>27113000</v>
      </c>
      <c r="AY39" s="3" t="s">
        <v>237</v>
      </c>
      <c r="AZ39" s="3" t="s">
        <v>93</v>
      </c>
      <c r="BA39" s="6" t="s">
        <v>554</v>
      </c>
      <c r="BB39" s="6"/>
      <c r="BC39" s="6" t="s">
        <v>579</v>
      </c>
      <c r="BD39" s="6"/>
      <c r="BE39" s="6" t="s">
        <v>580</v>
      </c>
      <c r="BF39" s="6" t="s">
        <v>854</v>
      </c>
      <c r="BG39" s="6" t="s">
        <v>573</v>
      </c>
      <c r="BH39" s="6" t="s">
        <v>854</v>
      </c>
      <c r="BI39" s="6" t="s">
        <v>570</v>
      </c>
      <c r="BJ39" s="6"/>
      <c r="BK39" s="6" t="s">
        <v>581</v>
      </c>
      <c r="BL39" s="6"/>
      <c r="BM39" s="6" t="s">
        <v>561</v>
      </c>
      <c r="BN39" s="6"/>
      <c r="BO39" s="6" t="s">
        <v>562</v>
      </c>
      <c r="BP39" s="6"/>
      <c r="BQ39" s="6" t="s">
        <v>563</v>
      </c>
      <c r="BR39" s="6" t="s">
        <v>855</v>
      </c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2" t="s">
        <v>905</v>
      </c>
    </row>
    <row r="40" spans="1:125" ht="12" customHeight="1">
      <c r="A40" s="1" t="s">
        <v>115</v>
      </c>
      <c r="B40" s="1" t="s">
        <v>66</v>
      </c>
      <c r="C40" s="3" t="s">
        <v>251</v>
      </c>
      <c r="D40" s="3" t="s">
        <v>636</v>
      </c>
      <c r="E40" s="4">
        <v>45125</v>
      </c>
      <c r="F40" s="3"/>
      <c r="G40" s="5" t="s">
        <v>605</v>
      </c>
      <c r="H40" s="3" t="s">
        <v>207</v>
      </c>
      <c r="I40" s="3" t="s">
        <v>207</v>
      </c>
      <c r="J40" s="3"/>
      <c r="K40" s="3" t="s">
        <v>87</v>
      </c>
      <c r="L40" s="3" t="s">
        <v>91</v>
      </c>
      <c r="M40" s="3">
        <v>1000</v>
      </c>
      <c r="N40" s="3" t="s">
        <v>250</v>
      </c>
      <c r="O40" s="3"/>
      <c r="P40" s="3"/>
      <c r="Q40" s="3"/>
      <c r="R40" s="3" t="s">
        <v>152</v>
      </c>
      <c r="S40" s="3"/>
      <c r="T40" s="3"/>
      <c r="U40" s="3"/>
      <c r="V40" s="3"/>
      <c r="W40" s="3" t="s">
        <v>31</v>
      </c>
      <c r="X40" s="3" t="s">
        <v>375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 t="s">
        <v>633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 t="s">
        <v>590</v>
      </c>
      <c r="AX40" s="3">
        <v>42211602</v>
      </c>
      <c r="AY40" s="3" t="s">
        <v>237</v>
      </c>
      <c r="AZ40" s="3" t="s">
        <v>320</v>
      </c>
      <c r="BA40" s="6" t="s">
        <v>554</v>
      </c>
      <c r="BB40" s="6" t="s">
        <v>844</v>
      </c>
      <c r="BC40" s="6" t="s">
        <v>567</v>
      </c>
      <c r="BD40" s="6"/>
      <c r="BE40" s="6" t="s">
        <v>569</v>
      </c>
      <c r="BF40" s="6"/>
      <c r="BG40" s="6" t="s">
        <v>561</v>
      </c>
      <c r="BH40" s="6"/>
      <c r="BI40" s="6" t="s">
        <v>562</v>
      </c>
      <c r="BJ40" s="6"/>
      <c r="BK40" s="6" t="s">
        <v>563</v>
      </c>
      <c r="BL40" s="6" t="s">
        <v>845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2" t="s">
        <v>905</v>
      </c>
    </row>
    <row r="41" spans="1:125" ht="12" customHeight="1">
      <c r="A41" s="1" t="s">
        <v>115</v>
      </c>
      <c r="B41" s="1" t="s">
        <v>66</v>
      </c>
      <c r="C41" s="3" t="s">
        <v>251</v>
      </c>
      <c r="D41" s="3" t="s">
        <v>636</v>
      </c>
      <c r="E41" s="4">
        <v>45125</v>
      </c>
      <c r="F41" s="3"/>
      <c r="G41" s="5" t="s">
        <v>605</v>
      </c>
      <c r="H41" s="3" t="s">
        <v>545</v>
      </c>
      <c r="I41" s="3" t="s">
        <v>545</v>
      </c>
      <c r="J41" s="3"/>
      <c r="K41" s="3" t="s">
        <v>87</v>
      </c>
      <c r="L41" s="3" t="s">
        <v>91</v>
      </c>
      <c r="M41" s="3">
        <v>1000</v>
      </c>
      <c r="N41" s="3" t="s">
        <v>250</v>
      </c>
      <c r="O41" s="3"/>
      <c r="P41" s="3"/>
      <c r="Q41" s="3"/>
      <c r="R41" s="3" t="s">
        <v>478</v>
      </c>
      <c r="S41" s="3"/>
      <c r="T41" s="3"/>
      <c r="U41" s="3"/>
      <c r="V41" s="3"/>
      <c r="W41" s="3" t="s">
        <v>448</v>
      </c>
      <c r="X41" s="3" t="s">
        <v>473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 t="s">
        <v>633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 t="s">
        <v>590</v>
      </c>
      <c r="AX41" s="3">
        <v>47131608</v>
      </c>
      <c r="AY41" s="3" t="s">
        <v>237</v>
      </c>
      <c r="AZ41" s="3" t="s">
        <v>320</v>
      </c>
      <c r="BA41" s="6" t="s">
        <v>554</v>
      </c>
      <c r="BB41" s="6"/>
      <c r="BC41" s="6" t="s">
        <v>567</v>
      </c>
      <c r="BD41" s="6"/>
      <c r="BE41" s="6" t="s">
        <v>569</v>
      </c>
      <c r="BF41" s="6"/>
      <c r="BG41" s="6" t="s">
        <v>561</v>
      </c>
      <c r="BH41" s="6"/>
      <c r="BI41" s="6" t="s">
        <v>562</v>
      </c>
      <c r="BJ41" s="6"/>
      <c r="BK41" s="6" t="s">
        <v>563</v>
      </c>
      <c r="BL41" s="6" t="s">
        <v>846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2" t="s">
        <v>905</v>
      </c>
    </row>
    <row r="42" spans="1:125" ht="12" customHeight="1">
      <c r="A42" s="1" t="s">
        <v>115</v>
      </c>
      <c r="B42" s="1" t="s">
        <v>66</v>
      </c>
      <c r="C42" s="3" t="s">
        <v>251</v>
      </c>
      <c r="D42" s="3" t="s">
        <v>636</v>
      </c>
      <c r="E42" s="4">
        <v>45125</v>
      </c>
      <c r="F42" s="3"/>
      <c r="G42" s="5" t="s">
        <v>605</v>
      </c>
      <c r="H42" s="3" t="s">
        <v>130</v>
      </c>
      <c r="I42" s="3" t="s">
        <v>130</v>
      </c>
      <c r="J42" s="3"/>
      <c r="K42" s="3" t="s">
        <v>87</v>
      </c>
      <c r="L42" s="3" t="s">
        <v>91</v>
      </c>
      <c r="M42" s="3">
        <v>1000</v>
      </c>
      <c r="N42" s="3" t="s">
        <v>250</v>
      </c>
      <c r="O42" s="3"/>
      <c r="P42" s="3"/>
      <c r="Q42" s="3"/>
      <c r="R42" s="3" t="s">
        <v>350</v>
      </c>
      <c r="S42" s="3"/>
      <c r="T42" s="3"/>
      <c r="U42" s="3"/>
      <c r="V42" s="3"/>
      <c r="W42" s="3" t="s">
        <v>426</v>
      </c>
      <c r="X42" s="3" t="s">
        <v>99</v>
      </c>
      <c r="Y42" s="3"/>
      <c r="Z42" s="3"/>
      <c r="AA42" s="3"/>
      <c r="AB42" s="3" t="s">
        <v>439</v>
      </c>
      <c r="AC42" s="3" t="s">
        <v>324</v>
      </c>
      <c r="AD42" s="3"/>
      <c r="AE42" s="3"/>
      <c r="AF42" s="3"/>
      <c r="AG42" s="3"/>
      <c r="AH42" s="3"/>
      <c r="AI42" s="3"/>
      <c r="AJ42" s="3"/>
      <c r="AK42" s="3"/>
      <c r="AL42" s="3" t="s">
        <v>633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 t="s">
        <v>590</v>
      </c>
      <c r="AX42" s="3">
        <v>23153100</v>
      </c>
      <c r="AY42" s="3" t="s">
        <v>237</v>
      </c>
      <c r="AZ42" s="3" t="s">
        <v>320</v>
      </c>
      <c r="BA42" s="6" t="s">
        <v>554</v>
      </c>
      <c r="BB42" s="6"/>
      <c r="BC42" s="6" t="s">
        <v>567</v>
      </c>
      <c r="BD42" s="6"/>
      <c r="BE42" s="6" t="s">
        <v>569</v>
      </c>
      <c r="BF42" s="6"/>
      <c r="BG42" s="6" t="s">
        <v>561</v>
      </c>
      <c r="BH42" s="6"/>
      <c r="BI42" s="6" t="s">
        <v>562</v>
      </c>
      <c r="BJ42" s="6"/>
      <c r="BK42" s="6" t="s">
        <v>563</v>
      </c>
      <c r="BL42" s="6" t="s">
        <v>858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2" t="s">
        <v>905</v>
      </c>
    </row>
    <row r="43" spans="1:125" ht="12" customHeight="1">
      <c r="A43" s="1" t="s">
        <v>115</v>
      </c>
      <c r="B43" s="1" t="s">
        <v>66</v>
      </c>
      <c r="C43" s="3" t="s">
        <v>251</v>
      </c>
      <c r="D43" s="3" t="s">
        <v>636</v>
      </c>
      <c r="E43" s="4">
        <v>45125</v>
      </c>
      <c r="F43" s="3"/>
      <c r="G43" s="5" t="s">
        <v>605</v>
      </c>
      <c r="H43" s="3" t="s">
        <v>159</v>
      </c>
      <c r="I43" s="3" t="s">
        <v>159</v>
      </c>
      <c r="J43" s="3"/>
      <c r="K43" s="3" t="s">
        <v>87</v>
      </c>
      <c r="L43" s="3" t="s">
        <v>91</v>
      </c>
      <c r="M43" s="3">
        <v>1000</v>
      </c>
      <c r="N43" s="3" t="s">
        <v>250</v>
      </c>
      <c r="O43" s="3"/>
      <c r="P43" s="3"/>
      <c r="Q43" s="3"/>
      <c r="R43" s="3" t="s">
        <v>136</v>
      </c>
      <c r="S43" s="3"/>
      <c r="T43" s="3"/>
      <c r="U43" s="3"/>
      <c r="V43" s="3"/>
      <c r="W43" s="3" t="s">
        <v>203</v>
      </c>
      <c r="X43" s="3" t="s">
        <v>223</v>
      </c>
      <c r="Y43" s="3"/>
      <c r="Z43" s="3"/>
      <c r="AA43" s="3"/>
      <c r="AB43" s="3" t="s">
        <v>470</v>
      </c>
      <c r="AC43" s="3" t="s">
        <v>33</v>
      </c>
      <c r="AD43" s="3"/>
      <c r="AE43" s="3"/>
      <c r="AF43" s="3"/>
      <c r="AG43" s="3"/>
      <c r="AH43" s="3"/>
      <c r="AI43" s="3"/>
      <c r="AJ43" s="3"/>
      <c r="AK43" s="3"/>
      <c r="AL43" s="3" t="s">
        <v>633</v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 t="s">
        <v>590</v>
      </c>
      <c r="AX43" s="3">
        <v>23153100</v>
      </c>
      <c r="AY43" s="3" t="s">
        <v>237</v>
      </c>
      <c r="AZ43" s="3" t="s">
        <v>320</v>
      </c>
      <c r="BA43" s="6" t="s">
        <v>554</v>
      </c>
      <c r="BB43" s="6"/>
      <c r="BC43" s="6" t="s">
        <v>567</v>
      </c>
      <c r="BD43" s="6"/>
      <c r="BE43" s="6" t="s">
        <v>569</v>
      </c>
      <c r="BF43" s="6"/>
      <c r="BG43" s="6" t="s">
        <v>561</v>
      </c>
      <c r="BH43" s="6"/>
      <c r="BI43" s="6" t="s">
        <v>562</v>
      </c>
      <c r="BJ43" s="6"/>
      <c r="BK43" s="6" t="s">
        <v>563</v>
      </c>
      <c r="BL43" s="6" t="s">
        <v>856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2" t="s">
        <v>905</v>
      </c>
    </row>
    <row r="44" spans="1:125" ht="12" customHeight="1">
      <c r="A44" s="1" t="s">
        <v>115</v>
      </c>
      <c r="B44" s="1" t="s">
        <v>66</v>
      </c>
      <c r="C44" s="3" t="s">
        <v>251</v>
      </c>
      <c r="D44" s="3" t="s">
        <v>636</v>
      </c>
      <c r="E44" s="4">
        <v>45125</v>
      </c>
      <c r="F44" s="3"/>
      <c r="G44" s="5" t="s">
        <v>605</v>
      </c>
      <c r="H44" s="3" t="s">
        <v>158</v>
      </c>
      <c r="I44" s="3" t="s">
        <v>158</v>
      </c>
      <c r="J44" s="3"/>
      <c r="K44" s="3" t="s">
        <v>87</v>
      </c>
      <c r="L44" s="3" t="s">
        <v>91</v>
      </c>
      <c r="M44" s="3">
        <v>1000</v>
      </c>
      <c r="N44" s="3" t="s">
        <v>250</v>
      </c>
      <c r="O44" s="3"/>
      <c r="P44" s="3"/>
      <c r="Q44" s="3"/>
      <c r="R44" s="3" t="s">
        <v>524</v>
      </c>
      <c r="S44" s="3"/>
      <c r="T44" s="3"/>
      <c r="U44" s="3"/>
      <c r="V44" s="3"/>
      <c r="W44" s="3" t="s">
        <v>82</v>
      </c>
      <c r="X44" s="3" t="s">
        <v>127</v>
      </c>
      <c r="Y44" s="3"/>
      <c r="Z44" s="3"/>
      <c r="AA44" s="3"/>
      <c r="AB44" s="3" t="s">
        <v>374</v>
      </c>
      <c r="AC44" s="3" t="s">
        <v>204</v>
      </c>
      <c r="AD44" s="3"/>
      <c r="AE44" s="3"/>
      <c r="AF44" s="3"/>
      <c r="AG44" s="3"/>
      <c r="AH44" s="3"/>
      <c r="AI44" s="3"/>
      <c r="AJ44" s="3"/>
      <c r="AK44" s="3"/>
      <c r="AL44" s="3" t="s">
        <v>633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 t="s">
        <v>590</v>
      </c>
      <c r="AX44" s="3">
        <v>23153100</v>
      </c>
      <c r="AY44" s="3" t="s">
        <v>237</v>
      </c>
      <c r="AZ44" s="3" t="s">
        <v>320</v>
      </c>
      <c r="BA44" s="6" t="s">
        <v>554</v>
      </c>
      <c r="BB44" s="6"/>
      <c r="BC44" s="6" t="s">
        <v>567</v>
      </c>
      <c r="BD44" s="6"/>
      <c r="BE44" s="6" t="s">
        <v>569</v>
      </c>
      <c r="BF44" s="6"/>
      <c r="BG44" s="6" t="s">
        <v>561</v>
      </c>
      <c r="BH44" s="6"/>
      <c r="BI44" s="6" t="s">
        <v>562</v>
      </c>
      <c r="BJ44" s="6"/>
      <c r="BK44" s="6" t="s">
        <v>563</v>
      </c>
      <c r="BL44" s="6" t="s">
        <v>857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2" t="s">
        <v>905</v>
      </c>
    </row>
    <row r="45" spans="1:125" ht="12" customHeight="1">
      <c r="A45" s="1" t="s">
        <v>115</v>
      </c>
      <c r="B45" s="1" t="s">
        <v>66</v>
      </c>
      <c r="C45" s="3" t="s">
        <v>251</v>
      </c>
      <c r="D45" s="3" t="s">
        <v>636</v>
      </c>
      <c r="E45" s="4">
        <v>45125</v>
      </c>
      <c r="F45" s="3"/>
      <c r="G45" s="5" t="s">
        <v>605</v>
      </c>
      <c r="H45" s="3" t="s">
        <v>544</v>
      </c>
      <c r="I45" s="3" t="s">
        <v>544</v>
      </c>
      <c r="J45" s="3"/>
      <c r="K45" s="3" t="s">
        <v>87</v>
      </c>
      <c r="L45" s="3" t="s">
        <v>91</v>
      </c>
      <c r="M45" s="3">
        <v>1000</v>
      </c>
      <c r="N45" s="3" t="s">
        <v>250</v>
      </c>
      <c r="O45" s="3"/>
      <c r="P45" s="3"/>
      <c r="Q45" s="3"/>
      <c r="R45" s="3" t="s">
        <v>56</v>
      </c>
      <c r="S45" s="3"/>
      <c r="T45" s="3"/>
      <c r="U45" s="3"/>
      <c r="V45" s="3"/>
      <c r="W45" s="3" t="s">
        <v>3</v>
      </c>
      <c r="X45" s="3" t="s">
        <v>404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 t="s">
        <v>633</v>
      </c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 t="s">
        <v>590</v>
      </c>
      <c r="AX45" s="3">
        <v>27113000</v>
      </c>
      <c r="AY45" s="3" t="s">
        <v>237</v>
      </c>
      <c r="AZ45" s="3" t="s">
        <v>320</v>
      </c>
      <c r="BA45" s="6" t="s">
        <v>554</v>
      </c>
      <c r="BB45" s="6"/>
      <c r="BC45" s="6" t="s">
        <v>567</v>
      </c>
      <c r="BD45" s="6" t="s">
        <v>847</v>
      </c>
      <c r="BE45" s="6" t="s">
        <v>569</v>
      </c>
      <c r="BF45" s="6"/>
      <c r="BG45" s="6" t="s">
        <v>561</v>
      </c>
      <c r="BH45" s="6"/>
      <c r="BI45" s="6" t="s">
        <v>562</v>
      </c>
      <c r="BJ45" s="6"/>
      <c r="BK45" s="6" t="s">
        <v>563</v>
      </c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2" t="s">
        <v>905</v>
      </c>
    </row>
    <row r="46" spans="1:125" ht="12" customHeight="1">
      <c r="A46" s="1" t="s">
        <v>115</v>
      </c>
      <c r="B46" s="1" t="s">
        <v>66</v>
      </c>
      <c r="C46" s="3" t="s">
        <v>251</v>
      </c>
      <c r="D46" s="3" t="s">
        <v>636</v>
      </c>
      <c r="E46" s="4">
        <v>45125</v>
      </c>
      <c r="F46" s="3"/>
      <c r="G46" s="5" t="s">
        <v>605</v>
      </c>
      <c r="H46" s="3" t="s">
        <v>322</v>
      </c>
      <c r="I46" s="3" t="s">
        <v>322</v>
      </c>
      <c r="J46" s="3"/>
      <c r="K46" s="3" t="s">
        <v>87</v>
      </c>
      <c r="L46" s="3" t="s">
        <v>91</v>
      </c>
      <c r="M46" s="3">
        <v>1000</v>
      </c>
      <c r="N46" s="3" t="s">
        <v>250</v>
      </c>
      <c r="O46" s="3"/>
      <c r="P46" s="3"/>
      <c r="Q46" s="3"/>
      <c r="R46" s="3" t="s">
        <v>208</v>
      </c>
      <c r="S46" s="3"/>
      <c r="T46" s="3"/>
      <c r="U46" s="3"/>
      <c r="V46" s="3"/>
      <c r="W46" s="3" t="s">
        <v>389</v>
      </c>
      <c r="X46" s="3" t="s">
        <v>387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 t="s">
        <v>633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 t="s">
        <v>590</v>
      </c>
      <c r="AX46" s="3">
        <v>47121614</v>
      </c>
      <c r="AY46" s="3" t="s">
        <v>848</v>
      </c>
      <c r="AZ46" s="3" t="s">
        <v>320</v>
      </c>
      <c r="BA46" s="6" t="s">
        <v>554</v>
      </c>
      <c r="BB46" s="6" t="s">
        <v>237</v>
      </c>
      <c r="BC46" s="6" t="s">
        <v>567</v>
      </c>
      <c r="BD46" s="6"/>
      <c r="BE46" s="6" t="s">
        <v>569</v>
      </c>
      <c r="BF46" s="6"/>
      <c r="BG46" s="6" t="s">
        <v>566</v>
      </c>
      <c r="BH46" s="6"/>
      <c r="BI46" s="6" t="s">
        <v>555</v>
      </c>
      <c r="BJ46" s="6"/>
      <c r="BK46" s="6" t="s">
        <v>561</v>
      </c>
      <c r="BL46" s="6"/>
      <c r="BM46" s="6" t="s">
        <v>562</v>
      </c>
      <c r="BN46" s="6"/>
      <c r="BO46" s="6" t="s">
        <v>563</v>
      </c>
      <c r="BP46" s="6" t="s">
        <v>849</v>
      </c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2" t="s">
        <v>905</v>
      </c>
    </row>
    <row r="47" spans="1:125" ht="12" customHeight="1">
      <c r="A47" s="1" t="s">
        <v>115</v>
      </c>
      <c r="B47" s="1" t="s">
        <v>66</v>
      </c>
      <c r="C47" s="3" t="s">
        <v>251</v>
      </c>
      <c r="D47" s="3" t="s">
        <v>636</v>
      </c>
      <c r="E47" s="4">
        <v>45125</v>
      </c>
      <c r="F47" s="3"/>
      <c r="G47" s="3"/>
      <c r="H47" s="3" t="s">
        <v>77</v>
      </c>
      <c r="I47" s="3" t="s">
        <v>77</v>
      </c>
      <c r="J47" s="3"/>
      <c r="K47" s="3" t="s">
        <v>87</v>
      </c>
      <c r="L47" s="3" t="s">
        <v>91</v>
      </c>
      <c r="M47" s="3">
        <v>1000</v>
      </c>
      <c r="N47" s="3" t="s">
        <v>250</v>
      </c>
      <c r="O47" s="3"/>
      <c r="P47" s="3"/>
      <c r="Q47" s="3"/>
      <c r="R47" s="3" t="s">
        <v>78</v>
      </c>
      <c r="S47" s="3"/>
      <c r="T47" s="3"/>
      <c r="U47" s="3"/>
      <c r="V47" s="3"/>
      <c r="W47" s="3" t="s">
        <v>336</v>
      </c>
      <c r="X47" s="3" t="s">
        <v>126</v>
      </c>
      <c r="Y47" s="3"/>
      <c r="Z47" s="3"/>
      <c r="AA47" s="3"/>
      <c r="AB47" s="3"/>
      <c r="AC47" s="3"/>
      <c r="AD47" s="3"/>
      <c r="AE47" s="3" t="s">
        <v>676</v>
      </c>
      <c r="AF47" s="3" t="s">
        <v>677</v>
      </c>
      <c r="AG47" s="3"/>
      <c r="AH47" s="3"/>
      <c r="AI47" s="3"/>
      <c r="AJ47" s="3"/>
      <c r="AK47" s="3"/>
      <c r="AL47" s="3" t="s">
        <v>678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 t="s">
        <v>612</v>
      </c>
      <c r="AX47" s="3">
        <v>27112802</v>
      </c>
      <c r="AY47" s="3" t="s">
        <v>463</v>
      </c>
      <c r="AZ47" s="3" t="s">
        <v>75</v>
      </c>
      <c r="BA47" s="6" t="s">
        <v>554</v>
      </c>
      <c r="BB47" s="6"/>
      <c r="BC47" s="6" t="s">
        <v>567</v>
      </c>
      <c r="BD47" s="6" t="s">
        <v>685</v>
      </c>
      <c r="BE47" s="6" t="s">
        <v>583</v>
      </c>
      <c r="BF47" s="6" t="s">
        <v>687</v>
      </c>
      <c r="BG47" s="6" t="s">
        <v>569</v>
      </c>
      <c r="BH47" s="6" t="s">
        <v>690</v>
      </c>
      <c r="BI47" s="6" t="s">
        <v>578</v>
      </c>
      <c r="BJ47" s="6" t="s">
        <v>692</v>
      </c>
      <c r="BK47" s="6" t="s">
        <v>584</v>
      </c>
      <c r="BL47" s="6" t="s">
        <v>693</v>
      </c>
      <c r="BM47" s="6" t="s">
        <v>561</v>
      </c>
      <c r="BN47" s="6"/>
      <c r="BO47" s="6" t="s">
        <v>562</v>
      </c>
      <c r="BP47" s="6"/>
      <c r="BQ47" s="6" t="s">
        <v>563</v>
      </c>
      <c r="BR47" s="6" t="s">
        <v>696</v>
      </c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2" t="s">
        <v>905</v>
      </c>
    </row>
    <row r="48" spans="1:125" ht="12" customHeight="1">
      <c r="A48" s="1" t="s">
        <v>115</v>
      </c>
      <c r="B48" s="1" t="s">
        <v>66</v>
      </c>
      <c r="C48" s="3" t="s">
        <v>251</v>
      </c>
      <c r="D48" s="3" t="s">
        <v>636</v>
      </c>
      <c r="E48" s="4">
        <v>45125</v>
      </c>
      <c r="F48" s="3"/>
      <c r="G48" s="3"/>
      <c r="H48" s="3" t="s">
        <v>343</v>
      </c>
      <c r="I48" s="3" t="s">
        <v>343</v>
      </c>
      <c r="J48" s="3"/>
      <c r="K48" s="3" t="s">
        <v>87</v>
      </c>
      <c r="L48" s="3" t="s">
        <v>91</v>
      </c>
      <c r="M48" s="3">
        <v>1000</v>
      </c>
      <c r="N48" s="3" t="s">
        <v>250</v>
      </c>
      <c r="O48" s="3"/>
      <c r="P48" s="3"/>
      <c r="Q48" s="3"/>
      <c r="R48" s="3" t="s">
        <v>147</v>
      </c>
      <c r="S48" s="3"/>
      <c r="T48" s="3"/>
      <c r="U48" s="3"/>
      <c r="V48" s="3"/>
      <c r="W48" s="3" t="s">
        <v>533</v>
      </c>
      <c r="X48" s="3" t="s">
        <v>38</v>
      </c>
      <c r="Y48" s="3"/>
      <c r="Z48" s="3"/>
      <c r="AA48" s="3"/>
      <c r="AB48" s="3"/>
      <c r="AC48" s="3"/>
      <c r="AD48" s="3"/>
      <c r="AE48" s="3" t="s">
        <v>676</v>
      </c>
      <c r="AF48" s="3" t="s">
        <v>679</v>
      </c>
      <c r="AG48" s="3"/>
      <c r="AH48" s="3"/>
      <c r="AI48" s="3"/>
      <c r="AJ48" s="3"/>
      <c r="AK48" s="3"/>
      <c r="AL48" s="3" t="s">
        <v>680</v>
      </c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 t="s">
        <v>612</v>
      </c>
      <c r="AX48" s="3">
        <v>27112802</v>
      </c>
      <c r="AY48" s="3" t="s">
        <v>463</v>
      </c>
      <c r="AZ48" s="3" t="s">
        <v>75</v>
      </c>
      <c r="BA48" s="6" t="s">
        <v>554</v>
      </c>
      <c r="BB48" s="6"/>
      <c r="BC48" s="6" t="s">
        <v>567</v>
      </c>
      <c r="BD48" s="6" t="s">
        <v>685</v>
      </c>
      <c r="BE48" s="6" t="s">
        <v>583</v>
      </c>
      <c r="BF48" s="6" t="s">
        <v>688</v>
      </c>
      <c r="BG48" s="6" t="s">
        <v>569</v>
      </c>
      <c r="BH48" s="6" t="s">
        <v>691</v>
      </c>
      <c r="BI48" s="6" t="s">
        <v>578</v>
      </c>
      <c r="BJ48" s="6"/>
      <c r="BK48" s="6" t="s">
        <v>584</v>
      </c>
      <c r="BL48" s="6" t="s">
        <v>694</v>
      </c>
      <c r="BM48" s="6" t="s">
        <v>561</v>
      </c>
      <c r="BN48" s="6"/>
      <c r="BO48" s="6" t="s">
        <v>562</v>
      </c>
      <c r="BP48" s="6"/>
      <c r="BQ48" s="6" t="s">
        <v>563</v>
      </c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2" t="s">
        <v>905</v>
      </c>
    </row>
    <row r="49" spans="1:125" ht="12" customHeight="1">
      <c r="A49" s="1" t="s">
        <v>115</v>
      </c>
      <c r="B49" s="1" t="s">
        <v>66</v>
      </c>
      <c r="C49" s="3" t="s">
        <v>251</v>
      </c>
      <c r="D49" s="3" t="s">
        <v>636</v>
      </c>
      <c r="E49" s="4">
        <v>45125</v>
      </c>
      <c r="F49" s="3"/>
      <c r="G49" s="3"/>
      <c r="H49" s="3" t="s">
        <v>74</v>
      </c>
      <c r="I49" s="3" t="s">
        <v>74</v>
      </c>
      <c r="J49" s="3"/>
      <c r="K49" s="3" t="s">
        <v>87</v>
      </c>
      <c r="L49" s="3" t="s">
        <v>91</v>
      </c>
      <c r="M49" s="3">
        <v>1000</v>
      </c>
      <c r="N49" s="3" t="s">
        <v>250</v>
      </c>
      <c r="O49" s="3"/>
      <c r="P49" s="3"/>
      <c r="Q49" s="3"/>
      <c r="R49" s="3" t="s">
        <v>352</v>
      </c>
      <c r="S49" s="3"/>
      <c r="T49" s="3"/>
      <c r="U49" s="3"/>
      <c r="V49" s="3"/>
      <c r="W49" s="3" t="s">
        <v>88</v>
      </c>
      <c r="X49" s="3" t="s">
        <v>15</v>
      </c>
      <c r="Y49" s="3"/>
      <c r="Z49" s="3"/>
      <c r="AA49" s="3"/>
      <c r="AB49" s="3"/>
      <c r="AC49" s="3"/>
      <c r="AD49" s="3"/>
      <c r="AE49" s="3" t="s">
        <v>676</v>
      </c>
      <c r="AF49" s="3" t="s">
        <v>681</v>
      </c>
      <c r="AG49" s="3"/>
      <c r="AH49" s="3"/>
      <c r="AI49" s="3"/>
      <c r="AJ49" s="3"/>
      <c r="AK49" s="3"/>
      <c r="AL49" s="3" t="s">
        <v>682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 t="s">
        <v>612</v>
      </c>
      <c r="AX49" s="3">
        <v>27112802</v>
      </c>
      <c r="AY49" s="3" t="s">
        <v>463</v>
      </c>
      <c r="AZ49" s="3" t="s">
        <v>75</v>
      </c>
      <c r="BA49" s="6" t="s">
        <v>554</v>
      </c>
      <c r="BB49" s="6"/>
      <c r="BC49" s="6" t="s">
        <v>567</v>
      </c>
      <c r="BD49" s="6" t="s">
        <v>686</v>
      </c>
      <c r="BE49" s="6" t="s">
        <v>583</v>
      </c>
      <c r="BF49" s="6" t="s">
        <v>689</v>
      </c>
      <c r="BG49" s="6" t="s">
        <v>569</v>
      </c>
      <c r="BH49" s="6" t="s">
        <v>691</v>
      </c>
      <c r="BI49" s="6" t="s">
        <v>578</v>
      </c>
      <c r="BJ49" s="6"/>
      <c r="BK49" s="6" t="s">
        <v>584</v>
      </c>
      <c r="BL49" s="6" t="s">
        <v>695</v>
      </c>
      <c r="BM49" s="6" t="s">
        <v>561</v>
      </c>
      <c r="BN49" s="6"/>
      <c r="BO49" s="6" t="s">
        <v>562</v>
      </c>
      <c r="BP49" s="6"/>
      <c r="BQ49" s="6" t="s">
        <v>563</v>
      </c>
      <c r="BR49" s="6" t="s">
        <v>696</v>
      </c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2" t="s">
        <v>905</v>
      </c>
    </row>
    <row r="50" spans="1:125" ht="12" customHeight="1">
      <c r="A50" s="1" t="s">
        <v>115</v>
      </c>
      <c r="B50" s="1" t="s">
        <v>66</v>
      </c>
      <c r="C50" s="3" t="s">
        <v>251</v>
      </c>
      <c r="D50" s="3" t="s">
        <v>636</v>
      </c>
      <c r="E50" s="4">
        <v>45125</v>
      </c>
      <c r="F50" s="3"/>
      <c r="G50" s="3"/>
      <c r="H50" s="3" t="s">
        <v>539</v>
      </c>
      <c r="I50" s="3" t="s">
        <v>539</v>
      </c>
      <c r="J50" s="3"/>
      <c r="K50" s="3" t="s">
        <v>87</v>
      </c>
      <c r="L50" s="3" t="s">
        <v>91</v>
      </c>
      <c r="M50" s="3">
        <v>1000</v>
      </c>
      <c r="N50" s="3" t="s">
        <v>250</v>
      </c>
      <c r="O50" s="3"/>
      <c r="P50" s="3"/>
      <c r="Q50" s="3"/>
      <c r="R50" s="3" t="s">
        <v>480</v>
      </c>
      <c r="S50" s="3"/>
      <c r="T50" s="3"/>
      <c r="U50" s="3"/>
      <c r="V50" s="3"/>
      <c r="W50" s="3" t="s">
        <v>48</v>
      </c>
      <c r="X50" s="3" t="s">
        <v>281</v>
      </c>
      <c r="Y50" s="3"/>
      <c r="Z50" s="3"/>
      <c r="AA50" s="3"/>
      <c r="AB50" s="3" t="s">
        <v>161</v>
      </c>
      <c r="AC50" s="3" t="s">
        <v>70</v>
      </c>
      <c r="AD50" s="3"/>
      <c r="AE50" s="3" t="s">
        <v>654</v>
      </c>
      <c r="AF50" s="3">
        <v>528</v>
      </c>
      <c r="AG50" s="3"/>
      <c r="AH50" s="3"/>
      <c r="AI50" s="3"/>
      <c r="AJ50" s="3"/>
      <c r="AK50" s="3"/>
      <c r="AL50" s="3" t="s">
        <v>655</v>
      </c>
      <c r="AM50" s="3"/>
      <c r="AN50" s="3"/>
      <c r="AO50" s="3"/>
      <c r="AP50" s="3"/>
      <c r="AQ50" s="3"/>
      <c r="AR50" s="3" t="s">
        <v>653</v>
      </c>
      <c r="AS50" s="3"/>
      <c r="AT50" s="3"/>
      <c r="AU50" s="3"/>
      <c r="AV50" s="3"/>
      <c r="AW50" s="3" t="s">
        <v>612</v>
      </c>
      <c r="AX50" s="3">
        <v>23242112</v>
      </c>
      <c r="AY50" s="3" t="s">
        <v>463</v>
      </c>
      <c r="AZ50" s="3" t="s">
        <v>46</v>
      </c>
      <c r="BA50" s="6" t="s">
        <v>554</v>
      </c>
      <c r="BB50" s="6"/>
      <c r="BC50" s="6" t="s">
        <v>573</v>
      </c>
      <c r="BD50" s="6" t="s">
        <v>656</v>
      </c>
      <c r="BE50" s="6" t="s">
        <v>580</v>
      </c>
      <c r="BF50" s="6" t="s">
        <v>657</v>
      </c>
      <c r="BG50" s="6" t="s">
        <v>579</v>
      </c>
      <c r="BH50" s="6" t="s">
        <v>658</v>
      </c>
      <c r="BI50" s="6" t="s">
        <v>583</v>
      </c>
      <c r="BJ50" s="6" t="s">
        <v>668</v>
      </c>
      <c r="BK50" s="6" t="s">
        <v>585</v>
      </c>
      <c r="BL50" s="6"/>
      <c r="BM50" s="6" t="s">
        <v>569</v>
      </c>
      <c r="BN50" s="6" t="s">
        <v>659</v>
      </c>
      <c r="BO50" s="6" t="s">
        <v>582</v>
      </c>
      <c r="BP50" s="6"/>
      <c r="BQ50" s="6" t="s">
        <v>584</v>
      </c>
      <c r="BR50" s="6" t="s">
        <v>660</v>
      </c>
      <c r="BS50" s="6" t="s">
        <v>562</v>
      </c>
      <c r="BT50" s="6"/>
      <c r="BU50" s="6" t="s">
        <v>563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2" t="s">
        <v>905</v>
      </c>
    </row>
    <row r="51" spans="1:125" ht="12" customHeight="1">
      <c r="A51" s="1" t="s">
        <v>115</v>
      </c>
      <c r="B51" s="1" t="s">
        <v>66</v>
      </c>
      <c r="C51" s="3" t="s">
        <v>251</v>
      </c>
      <c r="D51" s="3" t="s">
        <v>636</v>
      </c>
      <c r="E51" s="4">
        <v>45125</v>
      </c>
      <c r="F51" s="3"/>
      <c r="G51" s="5" t="s">
        <v>605</v>
      </c>
      <c r="H51" s="3" t="s">
        <v>497</v>
      </c>
      <c r="I51" s="3" t="s">
        <v>497</v>
      </c>
      <c r="J51" s="3"/>
      <c r="K51" s="3" t="s">
        <v>87</v>
      </c>
      <c r="L51" s="3" t="s">
        <v>91</v>
      </c>
      <c r="M51" s="3">
        <v>1000</v>
      </c>
      <c r="N51" s="3" t="s">
        <v>250</v>
      </c>
      <c r="O51" s="3"/>
      <c r="P51" s="3"/>
      <c r="Q51" s="3"/>
      <c r="R51" s="3" t="s">
        <v>18</v>
      </c>
      <c r="S51" s="3"/>
      <c r="T51" s="3"/>
      <c r="U51" s="3"/>
      <c r="V51" s="3"/>
      <c r="W51" s="3" t="s">
        <v>183</v>
      </c>
      <c r="X51" s="3" t="s">
        <v>84</v>
      </c>
      <c r="Y51" s="3"/>
      <c r="Z51" s="3"/>
      <c r="AA51" s="3"/>
      <c r="AB51" s="3" t="s">
        <v>42</v>
      </c>
      <c r="AC51" s="3" t="s">
        <v>261</v>
      </c>
      <c r="AD51" s="3"/>
      <c r="AE51" s="3"/>
      <c r="AF51" s="3"/>
      <c r="AG51" s="3"/>
      <c r="AH51" s="3"/>
      <c r="AI51" s="3"/>
      <c r="AJ51" s="3"/>
      <c r="AK51" s="3"/>
      <c r="AL51" s="3" t="s">
        <v>633</v>
      </c>
      <c r="AM51" s="3"/>
      <c r="AN51" s="3"/>
      <c r="AO51" s="3"/>
      <c r="AP51" s="3"/>
      <c r="AQ51" s="3"/>
      <c r="AR51" s="3"/>
      <c r="AS51" s="3" t="s">
        <v>661</v>
      </c>
      <c r="AT51" s="3" t="s">
        <v>662</v>
      </c>
      <c r="AU51" s="3"/>
      <c r="AV51" s="3"/>
      <c r="AW51" s="3" t="s">
        <v>590</v>
      </c>
      <c r="AX51" s="3">
        <v>23242112</v>
      </c>
      <c r="AY51" s="3" t="s">
        <v>463</v>
      </c>
      <c r="AZ51" s="3" t="s">
        <v>46</v>
      </c>
      <c r="BA51" s="6" t="s">
        <v>554</v>
      </c>
      <c r="BB51" s="6"/>
      <c r="BC51" s="6" t="s">
        <v>573</v>
      </c>
      <c r="BD51" s="6" t="s">
        <v>664</v>
      </c>
      <c r="BE51" s="6" t="s">
        <v>580</v>
      </c>
      <c r="BF51" s="6" t="s">
        <v>665</v>
      </c>
      <c r="BG51" s="6" t="s">
        <v>579</v>
      </c>
      <c r="BH51" s="6" t="s">
        <v>666</v>
      </c>
      <c r="BI51" s="6" t="s">
        <v>583</v>
      </c>
      <c r="BJ51" s="6" t="s">
        <v>667</v>
      </c>
      <c r="BK51" s="6" t="s">
        <v>585</v>
      </c>
      <c r="BL51" s="6"/>
      <c r="BM51" s="6" t="s">
        <v>569</v>
      </c>
      <c r="BN51" s="6"/>
      <c r="BO51" s="6" t="s">
        <v>582</v>
      </c>
      <c r="BP51" s="6"/>
      <c r="BQ51" s="6" t="s">
        <v>584</v>
      </c>
      <c r="BR51" s="6"/>
      <c r="BS51" s="6" t="s">
        <v>562</v>
      </c>
      <c r="BT51" s="6"/>
      <c r="BU51" s="6" t="s">
        <v>563</v>
      </c>
      <c r="BV51" s="6" t="s">
        <v>663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2" t="s">
        <v>905</v>
      </c>
    </row>
    <row r="52" spans="1:125" ht="12" customHeight="1">
      <c r="A52" s="1" t="s">
        <v>115</v>
      </c>
      <c r="B52" s="1" t="s">
        <v>66</v>
      </c>
      <c r="C52" s="3" t="s">
        <v>251</v>
      </c>
      <c r="D52" s="3" t="s">
        <v>636</v>
      </c>
      <c r="E52" s="4">
        <v>45125</v>
      </c>
      <c r="F52" s="3"/>
      <c r="G52" s="5" t="s">
        <v>605</v>
      </c>
      <c r="H52" s="3" t="s">
        <v>541</v>
      </c>
      <c r="I52" s="3" t="s">
        <v>541</v>
      </c>
      <c r="J52" s="3"/>
      <c r="K52" s="3" t="s">
        <v>87</v>
      </c>
      <c r="L52" s="3" t="s">
        <v>91</v>
      </c>
      <c r="M52" s="3">
        <v>1000</v>
      </c>
      <c r="N52" s="3" t="s">
        <v>250</v>
      </c>
      <c r="O52" s="3"/>
      <c r="P52" s="3"/>
      <c r="Q52" s="3"/>
      <c r="R52" s="3" t="s">
        <v>156</v>
      </c>
      <c r="S52" s="3"/>
      <c r="T52" s="3"/>
      <c r="U52" s="3"/>
      <c r="V52" s="3"/>
      <c r="W52" s="3" t="s">
        <v>301</v>
      </c>
      <c r="X52" s="3" t="s">
        <v>39</v>
      </c>
      <c r="Y52" s="3"/>
      <c r="Z52" s="3"/>
      <c r="AA52" s="3"/>
      <c r="AB52" s="3" t="s">
        <v>382</v>
      </c>
      <c r="AC52" s="3" t="s">
        <v>417</v>
      </c>
      <c r="AD52" s="3"/>
      <c r="AE52" s="3"/>
      <c r="AF52" s="3"/>
      <c r="AG52" s="3"/>
      <c r="AH52" s="3"/>
      <c r="AI52" s="3"/>
      <c r="AJ52" s="3"/>
      <c r="AK52" s="3"/>
      <c r="AL52" s="3" t="s">
        <v>633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 t="s">
        <v>590</v>
      </c>
      <c r="AX52" s="3">
        <v>23242112</v>
      </c>
      <c r="AY52" s="3" t="s">
        <v>463</v>
      </c>
      <c r="AZ52" s="3" t="s">
        <v>46</v>
      </c>
      <c r="BA52" s="6" t="s">
        <v>554</v>
      </c>
      <c r="BB52" s="6"/>
      <c r="BC52" s="6" t="s">
        <v>573</v>
      </c>
      <c r="BD52" s="6" t="s">
        <v>669</v>
      </c>
      <c r="BE52" s="6" t="s">
        <v>580</v>
      </c>
      <c r="BF52" s="6"/>
      <c r="BG52" s="6" t="s">
        <v>579</v>
      </c>
      <c r="BH52" s="6"/>
      <c r="BI52" s="6" t="s">
        <v>583</v>
      </c>
      <c r="BJ52" s="6"/>
      <c r="BK52" s="6" t="s">
        <v>585</v>
      </c>
      <c r="BL52" s="6"/>
      <c r="BM52" s="6" t="s">
        <v>569</v>
      </c>
      <c r="BN52" s="6" t="s">
        <v>659</v>
      </c>
      <c r="BO52" s="6" t="s">
        <v>582</v>
      </c>
      <c r="BP52" s="6"/>
      <c r="BQ52" s="6" t="s">
        <v>584</v>
      </c>
      <c r="BR52" s="6"/>
      <c r="BS52" s="6" t="s">
        <v>562</v>
      </c>
      <c r="BT52" s="6"/>
      <c r="BU52" s="6" t="s">
        <v>563</v>
      </c>
      <c r="BV52" s="6" t="s">
        <v>670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2" t="s">
        <v>905</v>
      </c>
    </row>
    <row r="53" spans="1:125" ht="12" customHeight="1">
      <c r="A53" s="1" t="s">
        <v>115</v>
      </c>
      <c r="B53" s="1" t="s">
        <v>66</v>
      </c>
      <c r="C53" s="3" t="s">
        <v>251</v>
      </c>
      <c r="D53" s="3" t="s">
        <v>636</v>
      </c>
      <c r="E53" s="4">
        <v>45125</v>
      </c>
      <c r="F53" s="3"/>
      <c r="G53" s="3"/>
      <c r="H53" s="3" t="s">
        <v>481</v>
      </c>
      <c r="I53" s="3" t="s">
        <v>481</v>
      </c>
      <c r="J53" s="3"/>
      <c r="K53" s="3" t="s">
        <v>87</v>
      </c>
      <c r="L53" s="3" t="s">
        <v>91</v>
      </c>
      <c r="M53" s="3">
        <v>1000</v>
      </c>
      <c r="N53" s="3" t="s">
        <v>250</v>
      </c>
      <c r="O53" s="3"/>
      <c r="P53" s="3"/>
      <c r="Q53" s="3"/>
      <c r="R53" s="3" t="s">
        <v>394</v>
      </c>
      <c r="S53" s="3"/>
      <c r="T53" s="3"/>
      <c r="U53" s="3"/>
      <c r="V53" s="3"/>
      <c r="W53" s="3" t="s">
        <v>132</v>
      </c>
      <c r="X53" s="3" t="s">
        <v>415</v>
      </c>
      <c r="Y53" s="3"/>
      <c r="Z53" s="3"/>
      <c r="AA53" s="3"/>
      <c r="AB53" s="3"/>
      <c r="AC53" s="3"/>
      <c r="AD53" s="3"/>
      <c r="AE53" s="3" t="s">
        <v>676</v>
      </c>
      <c r="AF53" s="3" t="s">
        <v>683</v>
      </c>
      <c r="AG53" s="3"/>
      <c r="AH53" s="3"/>
      <c r="AI53" s="3"/>
      <c r="AJ53" s="3"/>
      <c r="AK53" s="3"/>
      <c r="AL53" s="3" t="s">
        <v>680</v>
      </c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 t="s">
        <v>612</v>
      </c>
      <c r="AX53" s="3">
        <v>27112802</v>
      </c>
      <c r="AY53" s="3" t="s">
        <v>463</v>
      </c>
      <c r="AZ53" s="3" t="s">
        <v>75</v>
      </c>
      <c r="BA53" s="6" t="s">
        <v>554</v>
      </c>
      <c r="BB53" s="6"/>
      <c r="BC53" s="6" t="s">
        <v>567</v>
      </c>
      <c r="BD53" s="6" t="s">
        <v>685</v>
      </c>
      <c r="BE53" s="6" t="s">
        <v>583</v>
      </c>
      <c r="BF53" s="6" t="s">
        <v>688</v>
      </c>
      <c r="BG53" s="6" t="s">
        <v>569</v>
      </c>
      <c r="BH53" s="6" t="s">
        <v>691</v>
      </c>
      <c r="BI53" s="6" t="s">
        <v>578</v>
      </c>
      <c r="BJ53" s="6"/>
      <c r="BK53" s="6" t="s">
        <v>584</v>
      </c>
      <c r="BL53" s="6" t="s">
        <v>694</v>
      </c>
      <c r="BM53" s="6" t="s">
        <v>561</v>
      </c>
      <c r="BN53" s="6"/>
      <c r="BO53" s="6" t="s">
        <v>562</v>
      </c>
      <c r="BP53" s="6"/>
      <c r="BQ53" s="6" t="s">
        <v>563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2" t="s">
        <v>905</v>
      </c>
    </row>
    <row r="54" spans="1:125" ht="12" customHeight="1">
      <c r="A54" s="1" t="s">
        <v>115</v>
      </c>
      <c r="B54" s="1" t="s">
        <v>66</v>
      </c>
      <c r="C54" s="3" t="s">
        <v>251</v>
      </c>
      <c r="D54" s="3" t="s">
        <v>636</v>
      </c>
      <c r="E54" s="4">
        <v>45125</v>
      </c>
      <c r="F54" s="3"/>
      <c r="G54" s="5" t="s">
        <v>606</v>
      </c>
      <c r="H54" s="3" t="s">
        <v>359</v>
      </c>
      <c r="I54" s="3" t="s">
        <v>359</v>
      </c>
      <c r="J54" s="3"/>
      <c r="K54" s="3" t="s">
        <v>87</v>
      </c>
      <c r="L54" s="3" t="s">
        <v>91</v>
      </c>
      <c r="M54" s="3">
        <v>1000</v>
      </c>
      <c r="N54" s="3" t="s">
        <v>250</v>
      </c>
      <c r="O54" s="3"/>
      <c r="P54" s="3"/>
      <c r="Q54" s="3"/>
      <c r="R54" s="3" t="s">
        <v>446</v>
      </c>
      <c r="S54" s="3"/>
      <c r="T54" s="3"/>
      <c r="U54" s="3"/>
      <c r="V54" s="3"/>
      <c r="W54" s="3" t="s">
        <v>449</v>
      </c>
      <c r="X54" s="3" t="s">
        <v>391</v>
      </c>
      <c r="Y54" s="3"/>
      <c r="Z54" s="3"/>
      <c r="AA54" s="3"/>
      <c r="AB54" s="3"/>
      <c r="AC54" s="3"/>
      <c r="AD54" s="3"/>
      <c r="AE54" s="3" t="s">
        <v>671</v>
      </c>
      <c r="AF54" s="3"/>
      <c r="AG54" s="3"/>
      <c r="AH54" s="3"/>
      <c r="AI54" s="3"/>
      <c r="AJ54" s="3"/>
      <c r="AK54" s="3"/>
      <c r="AL54" s="3" t="s">
        <v>633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 t="s">
        <v>590</v>
      </c>
      <c r="AX54" s="3">
        <v>23242112</v>
      </c>
      <c r="AY54" s="3" t="s">
        <v>463</v>
      </c>
      <c r="AZ54" s="3" t="s">
        <v>46</v>
      </c>
      <c r="BA54" s="6" t="s">
        <v>554</v>
      </c>
      <c r="BB54" s="6"/>
      <c r="BC54" s="6" t="s">
        <v>573</v>
      </c>
      <c r="BD54" s="6" t="s">
        <v>669</v>
      </c>
      <c r="BE54" s="6" t="s">
        <v>580</v>
      </c>
      <c r="BF54" s="6"/>
      <c r="BG54" s="6" t="s">
        <v>579</v>
      </c>
      <c r="BH54" s="6"/>
      <c r="BI54" s="6" t="s">
        <v>583</v>
      </c>
      <c r="BJ54" s="6"/>
      <c r="BK54" s="6" t="s">
        <v>585</v>
      </c>
      <c r="BL54" s="6"/>
      <c r="BM54" s="6" t="s">
        <v>569</v>
      </c>
      <c r="BN54" s="6"/>
      <c r="BO54" s="6" t="s">
        <v>582</v>
      </c>
      <c r="BP54" s="6"/>
      <c r="BQ54" s="6" t="s">
        <v>584</v>
      </c>
      <c r="BR54" s="6"/>
      <c r="BS54" s="6" t="s">
        <v>562</v>
      </c>
      <c r="BT54" s="6"/>
      <c r="BU54" s="6" t="s">
        <v>563</v>
      </c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2" t="s">
        <v>905</v>
      </c>
    </row>
    <row r="55" spans="1:125" ht="12" customHeight="1">
      <c r="A55" s="1" t="s">
        <v>115</v>
      </c>
      <c r="B55" s="1" t="s">
        <v>66</v>
      </c>
      <c r="C55" s="3" t="s">
        <v>251</v>
      </c>
      <c r="D55" s="3" t="s">
        <v>636</v>
      </c>
      <c r="E55" s="4">
        <v>45125</v>
      </c>
      <c r="F55" s="3"/>
      <c r="G55" s="5" t="s">
        <v>606</v>
      </c>
      <c r="H55" s="3" t="s">
        <v>333</v>
      </c>
      <c r="I55" s="3" t="s">
        <v>333</v>
      </c>
      <c r="J55" s="3"/>
      <c r="K55" s="3" t="s">
        <v>87</v>
      </c>
      <c r="L55" s="3" t="s">
        <v>91</v>
      </c>
      <c r="M55" s="3">
        <v>1000</v>
      </c>
      <c r="N55" s="3" t="s">
        <v>250</v>
      </c>
      <c r="O55" s="3"/>
      <c r="P55" s="3"/>
      <c r="Q55" s="3"/>
      <c r="R55" s="3" t="s">
        <v>185</v>
      </c>
      <c r="S55" s="3"/>
      <c r="T55" s="3"/>
      <c r="U55" s="3"/>
      <c r="V55" s="3"/>
      <c r="W55" s="3" t="s">
        <v>44</v>
      </c>
      <c r="X55" s="3" t="s">
        <v>340</v>
      </c>
      <c r="Y55" s="3"/>
      <c r="Z55" s="3"/>
      <c r="AA55" s="3"/>
      <c r="AB55" s="3" t="s">
        <v>472</v>
      </c>
      <c r="AC55" s="3" t="s">
        <v>331</v>
      </c>
      <c r="AD55" s="3"/>
      <c r="AE55" s="3" t="s">
        <v>671</v>
      </c>
      <c r="AF55" s="3"/>
      <c r="AG55" s="3"/>
      <c r="AH55" s="3"/>
      <c r="AI55" s="3"/>
      <c r="AJ55" s="3"/>
      <c r="AK55" s="3"/>
      <c r="AL55" s="3" t="s">
        <v>633</v>
      </c>
      <c r="AM55" s="3"/>
      <c r="AN55" s="3"/>
      <c r="AO55" s="3"/>
      <c r="AP55" s="3"/>
      <c r="AQ55" s="3"/>
      <c r="AR55" s="3"/>
      <c r="AS55" s="3"/>
      <c r="AT55" s="3"/>
      <c r="AU55" s="3"/>
      <c r="AV55" s="3" t="s">
        <v>672</v>
      </c>
      <c r="AW55" s="3" t="s">
        <v>590</v>
      </c>
      <c r="AX55" s="3">
        <v>23242112</v>
      </c>
      <c r="AY55" s="3" t="s">
        <v>463</v>
      </c>
      <c r="AZ55" s="3" t="s">
        <v>46</v>
      </c>
      <c r="BA55" s="6" t="s">
        <v>554</v>
      </c>
      <c r="BB55" s="6" t="s">
        <v>674</v>
      </c>
      <c r="BC55" s="6" t="s">
        <v>573</v>
      </c>
      <c r="BD55" s="6" t="s">
        <v>673</v>
      </c>
      <c r="BE55" s="6" t="s">
        <v>580</v>
      </c>
      <c r="BF55" s="6"/>
      <c r="BG55" s="6" t="s">
        <v>579</v>
      </c>
      <c r="BH55" s="6"/>
      <c r="BI55" s="6" t="s">
        <v>583</v>
      </c>
      <c r="BJ55" s="6"/>
      <c r="BK55" s="6" t="s">
        <v>585</v>
      </c>
      <c r="BL55" s="6"/>
      <c r="BM55" s="6" t="s">
        <v>569</v>
      </c>
      <c r="BN55" s="6" t="s">
        <v>675</v>
      </c>
      <c r="BO55" s="6" t="s">
        <v>582</v>
      </c>
      <c r="BP55" s="6"/>
      <c r="BQ55" s="6" t="s">
        <v>584</v>
      </c>
      <c r="BR55" s="6"/>
      <c r="BS55" s="6" t="s">
        <v>562</v>
      </c>
      <c r="BT55" s="6"/>
      <c r="BU55" s="6" t="s">
        <v>563</v>
      </c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2" t="s">
        <v>905</v>
      </c>
    </row>
    <row r="56" spans="1:125" ht="12" customHeight="1">
      <c r="A56" s="1" t="s">
        <v>115</v>
      </c>
      <c r="B56" s="1" t="s">
        <v>66</v>
      </c>
      <c r="C56" s="3" t="s">
        <v>251</v>
      </c>
      <c r="D56" s="3" t="s">
        <v>636</v>
      </c>
      <c r="E56" s="4">
        <v>45125</v>
      </c>
      <c r="F56" s="3"/>
      <c r="G56" s="3"/>
      <c r="H56" s="3" t="s">
        <v>179</v>
      </c>
      <c r="I56" s="3" t="s">
        <v>179</v>
      </c>
      <c r="J56" s="3"/>
      <c r="K56" s="3" t="s">
        <v>87</v>
      </c>
      <c r="L56" s="3" t="s">
        <v>91</v>
      </c>
      <c r="M56" s="3">
        <v>1000</v>
      </c>
      <c r="N56" s="3" t="s">
        <v>250</v>
      </c>
      <c r="O56" s="3"/>
      <c r="P56" s="3"/>
      <c r="Q56" s="3"/>
      <c r="R56" s="3" t="s">
        <v>60</v>
      </c>
      <c r="S56" s="3"/>
      <c r="T56" s="3"/>
      <c r="U56" s="3"/>
      <c r="V56" s="3"/>
      <c r="W56" s="3" t="s">
        <v>166</v>
      </c>
      <c r="X56" s="3" t="s">
        <v>299</v>
      </c>
      <c r="Y56" s="3"/>
      <c r="Z56" s="3"/>
      <c r="AA56" s="3"/>
      <c r="AB56" s="3"/>
      <c r="AC56" s="3"/>
      <c r="AD56" s="3"/>
      <c r="AE56" s="3" t="s">
        <v>829</v>
      </c>
      <c r="AF56" s="3" t="s">
        <v>830</v>
      </c>
      <c r="AG56" s="3"/>
      <c r="AH56" s="3"/>
      <c r="AI56" s="3"/>
      <c r="AJ56" s="3"/>
      <c r="AK56" s="3"/>
      <c r="AL56" s="3" t="s">
        <v>427</v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 t="s">
        <v>612</v>
      </c>
      <c r="AX56" s="3">
        <v>24101700</v>
      </c>
      <c r="AY56" s="3" t="s">
        <v>443</v>
      </c>
      <c r="AZ56" s="3" t="s">
        <v>320</v>
      </c>
      <c r="BA56" s="6" t="s">
        <v>554</v>
      </c>
      <c r="BB56" s="6" t="s">
        <v>835</v>
      </c>
      <c r="BC56" s="6" t="s">
        <v>567</v>
      </c>
      <c r="BD56" s="6" t="s">
        <v>836</v>
      </c>
      <c r="BE56" s="6" t="s">
        <v>569</v>
      </c>
      <c r="BF56" s="6" t="s">
        <v>614</v>
      </c>
      <c r="BG56" s="6" t="s">
        <v>561</v>
      </c>
      <c r="BH56" s="6"/>
      <c r="BI56" s="6" t="s">
        <v>562</v>
      </c>
      <c r="BJ56" s="6"/>
      <c r="BK56" s="6" t="s">
        <v>563</v>
      </c>
      <c r="BL56" s="6" t="s">
        <v>834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2" t="s">
        <v>905</v>
      </c>
    </row>
    <row r="57" spans="1:125" ht="12" customHeight="1">
      <c r="A57" s="1" t="s">
        <v>115</v>
      </c>
      <c r="B57" s="1" t="s">
        <v>66</v>
      </c>
      <c r="C57" s="3" t="s">
        <v>251</v>
      </c>
      <c r="D57" s="3" t="s">
        <v>636</v>
      </c>
      <c r="E57" s="4">
        <v>45125</v>
      </c>
      <c r="F57" s="3"/>
      <c r="G57" s="3"/>
      <c r="H57" s="3" t="s">
        <v>181</v>
      </c>
      <c r="I57" s="3" t="s">
        <v>181</v>
      </c>
      <c r="J57" s="3"/>
      <c r="K57" s="3" t="s">
        <v>87</v>
      </c>
      <c r="L57" s="3" t="s">
        <v>91</v>
      </c>
      <c r="M57" s="3">
        <v>1000</v>
      </c>
      <c r="N57" s="3" t="s">
        <v>250</v>
      </c>
      <c r="O57" s="3"/>
      <c r="P57" s="3"/>
      <c r="Q57" s="3"/>
      <c r="R57" s="3" t="s">
        <v>390</v>
      </c>
      <c r="S57" s="3"/>
      <c r="T57" s="3"/>
      <c r="U57" s="3"/>
      <c r="V57" s="3"/>
      <c r="W57" s="3" t="s">
        <v>466</v>
      </c>
      <c r="X57" s="3" t="s">
        <v>491</v>
      </c>
      <c r="Y57" s="3"/>
      <c r="Z57" s="3"/>
      <c r="AA57" s="3"/>
      <c r="AB57" s="3" t="s">
        <v>68</v>
      </c>
      <c r="AC57" s="3" t="s">
        <v>154</v>
      </c>
      <c r="AD57" s="3"/>
      <c r="AE57" s="3" t="s">
        <v>829</v>
      </c>
      <c r="AF57" s="3" t="s">
        <v>830</v>
      </c>
      <c r="AG57" s="3"/>
      <c r="AH57" s="3"/>
      <c r="AI57" s="3"/>
      <c r="AJ57" s="3"/>
      <c r="AK57" s="3"/>
      <c r="AL57" s="3" t="s">
        <v>427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 t="s">
        <v>612</v>
      </c>
      <c r="AX57" s="3">
        <v>24101700</v>
      </c>
      <c r="AY57" s="3" t="s">
        <v>443</v>
      </c>
      <c r="AZ57" s="3" t="s">
        <v>320</v>
      </c>
      <c r="BA57" s="6" t="s">
        <v>554</v>
      </c>
      <c r="BB57" s="6" t="s">
        <v>837</v>
      </c>
      <c r="BC57" s="6" t="s">
        <v>567</v>
      </c>
      <c r="BD57" s="6"/>
      <c r="BE57" s="6" t="s">
        <v>569</v>
      </c>
      <c r="BF57" s="6" t="s">
        <v>614</v>
      </c>
      <c r="BG57" s="6" t="s">
        <v>561</v>
      </c>
      <c r="BH57" s="6"/>
      <c r="BI57" s="6" t="s">
        <v>562</v>
      </c>
      <c r="BJ57" s="6"/>
      <c r="BK57" s="6" t="s">
        <v>563</v>
      </c>
      <c r="BL57" s="6" t="s">
        <v>834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2" t="s">
        <v>905</v>
      </c>
    </row>
    <row r="58" spans="1:125" ht="12" customHeight="1">
      <c r="A58" s="1" t="s">
        <v>115</v>
      </c>
      <c r="B58" s="1" t="s">
        <v>66</v>
      </c>
      <c r="C58" s="3" t="s">
        <v>251</v>
      </c>
      <c r="D58" s="3" t="s">
        <v>636</v>
      </c>
      <c r="E58" s="4">
        <v>45125</v>
      </c>
      <c r="F58" s="3"/>
      <c r="G58" s="3"/>
      <c r="H58" s="3" t="s">
        <v>86</v>
      </c>
      <c r="I58" s="3" t="s">
        <v>86</v>
      </c>
      <c r="J58" s="3"/>
      <c r="K58" s="3" t="s">
        <v>87</v>
      </c>
      <c r="L58" s="3" t="s">
        <v>91</v>
      </c>
      <c r="M58" s="3">
        <v>1000</v>
      </c>
      <c r="N58" s="3" t="s">
        <v>250</v>
      </c>
      <c r="O58" s="3"/>
      <c r="P58" s="3"/>
      <c r="Q58" s="3"/>
      <c r="R58" s="3" t="s">
        <v>536</v>
      </c>
      <c r="S58" s="3"/>
      <c r="T58" s="3"/>
      <c r="U58" s="3"/>
      <c r="V58" s="3"/>
      <c r="W58" s="3" t="s">
        <v>6</v>
      </c>
      <c r="X58" s="3" t="s">
        <v>491</v>
      </c>
      <c r="Y58" s="3"/>
      <c r="Z58" s="3"/>
      <c r="AA58" s="3"/>
      <c r="AB58" s="3" t="s">
        <v>550</v>
      </c>
      <c r="AC58" s="3" t="s">
        <v>460</v>
      </c>
      <c r="AD58" s="3"/>
      <c r="AE58" s="3" t="s">
        <v>829</v>
      </c>
      <c r="AF58" s="3" t="s">
        <v>830</v>
      </c>
      <c r="AG58" s="3"/>
      <c r="AH58" s="3"/>
      <c r="AI58" s="3"/>
      <c r="AJ58" s="3"/>
      <c r="AK58" s="3"/>
      <c r="AL58" s="3" t="s">
        <v>427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 t="s">
        <v>612</v>
      </c>
      <c r="AX58" s="3">
        <v>24101700</v>
      </c>
      <c r="AY58" s="3" t="s">
        <v>443</v>
      </c>
      <c r="AZ58" s="3" t="s">
        <v>320</v>
      </c>
      <c r="BA58" s="6" t="s">
        <v>554</v>
      </c>
      <c r="BB58" s="6" t="s">
        <v>838</v>
      </c>
      <c r="BC58" s="6" t="s">
        <v>567</v>
      </c>
      <c r="BD58" s="6"/>
      <c r="BE58" s="6" t="s">
        <v>569</v>
      </c>
      <c r="BF58" s="6" t="s">
        <v>614</v>
      </c>
      <c r="BG58" s="6" t="s">
        <v>561</v>
      </c>
      <c r="BH58" s="6"/>
      <c r="BI58" s="6" t="s">
        <v>562</v>
      </c>
      <c r="BJ58" s="6"/>
      <c r="BK58" s="6" t="s">
        <v>563</v>
      </c>
      <c r="BL58" s="6" t="s">
        <v>834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2" t="s">
        <v>905</v>
      </c>
    </row>
    <row r="59" spans="1:125" ht="12" customHeight="1">
      <c r="A59" s="1" t="s">
        <v>115</v>
      </c>
      <c r="B59" s="1" t="s">
        <v>66</v>
      </c>
      <c r="C59" s="3" t="s">
        <v>251</v>
      </c>
      <c r="D59" s="3" t="s">
        <v>636</v>
      </c>
      <c r="E59" s="4">
        <v>45125</v>
      </c>
      <c r="F59" s="3"/>
      <c r="G59" s="3"/>
      <c r="H59" s="3" t="s">
        <v>177</v>
      </c>
      <c r="I59" s="3" t="s">
        <v>177</v>
      </c>
      <c r="J59" s="3"/>
      <c r="K59" s="3" t="s">
        <v>87</v>
      </c>
      <c r="L59" s="3" t="s">
        <v>91</v>
      </c>
      <c r="M59" s="3">
        <v>1000</v>
      </c>
      <c r="N59" s="3" t="s">
        <v>250</v>
      </c>
      <c r="O59" s="3"/>
      <c r="P59" s="3"/>
      <c r="Q59" s="3"/>
      <c r="R59" s="3" t="s">
        <v>120</v>
      </c>
      <c r="S59" s="3"/>
      <c r="T59" s="3"/>
      <c r="U59" s="3"/>
      <c r="V59" s="3"/>
      <c r="W59" s="3" t="s">
        <v>146</v>
      </c>
      <c r="X59" s="3" t="s">
        <v>131</v>
      </c>
      <c r="Y59" s="3"/>
      <c r="Z59" s="3"/>
      <c r="AA59" s="3"/>
      <c r="AB59" s="3"/>
      <c r="AC59" s="3"/>
      <c r="AD59" s="3"/>
      <c r="AE59" s="3" t="s">
        <v>829</v>
      </c>
      <c r="AF59" s="3" t="s">
        <v>831</v>
      </c>
      <c r="AG59" s="3"/>
      <c r="AH59" s="3"/>
      <c r="AI59" s="3"/>
      <c r="AJ59" s="3"/>
      <c r="AK59" s="3"/>
      <c r="AL59" s="3" t="s">
        <v>427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 t="s">
        <v>612</v>
      </c>
      <c r="AX59" s="3">
        <v>24101700</v>
      </c>
      <c r="AY59" s="3" t="s">
        <v>443</v>
      </c>
      <c r="AZ59" s="3" t="s">
        <v>320</v>
      </c>
      <c r="BA59" s="6" t="s">
        <v>554</v>
      </c>
      <c r="BB59" s="6" t="s">
        <v>835</v>
      </c>
      <c r="BC59" s="6" t="s">
        <v>567</v>
      </c>
      <c r="BD59" s="6" t="s">
        <v>839</v>
      </c>
      <c r="BE59" s="6" t="s">
        <v>569</v>
      </c>
      <c r="BF59" s="6" t="s">
        <v>614</v>
      </c>
      <c r="BG59" s="6" t="s">
        <v>561</v>
      </c>
      <c r="BH59" s="6"/>
      <c r="BI59" s="6" t="s">
        <v>562</v>
      </c>
      <c r="BJ59" s="6"/>
      <c r="BK59" s="6" t="s">
        <v>563</v>
      </c>
      <c r="BL59" s="6" t="s">
        <v>834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2" t="s">
        <v>905</v>
      </c>
    </row>
    <row r="60" spans="1:125" ht="12" customHeight="1">
      <c r="A60" s="1" t="s">
        <v>115</v>
      </c>
      <c r="B60" s="1" t="s">
        <v>66</v>
      </c>
      <c r="C60" s="3" t="s">
        <v>251</v>
      </c>
      <c r="D60" s="3" t="s">
        <v>636</v>
      </c>
      <c r="E60" s="4">
        <v>45125</v>
      </c>
      <c r="F60" s="3"/>
      <c r="G60" s="3"/>
      <c r="H60" s="3" t="s">
        <v>178</v>
      </c>
      <c r="I60" s="3" t="s">
        <v>178</v>
      </c>
      <c r="J60" s="3"/>
      <c r="K60" s="3" t="s">
        <v>87</v>
      </c>
      <c r="L60" s="3" t="s">
        <v>91</v>
      </c>
      <c r="M60" s="3">
        <v>1000</v>
      </c>
      <c r="N60" s="3" t="s">
        <v>250</v>
      </c>
      <c r="O60" s="3"/>
      <c r="P60" s="3"/>
      <c r="Q60" s="3"/>
      <c r="R60" s="3" t="s">
        <v>266</v>
      </c>
      <c r="S60" s="3"/>
      <c r="T60" s="3"/>
      <c r="U60" s="3"/>
      <c r="V60" s="3"/>
      <c r="W60" s="3" t="s">
        <v>57</v>
      </c>
      <c r="X60" s="3" t="s">
        <v>413</v>
      </c>
      <c r="Y60" s="3"/>
      <c r="Z60" s="3"/>
      <c r="AA60" s="3"/>
      <c r="AB60" s="3" t="s">
        <v>550</v>
      </c>
      <c r="AC60" s="3" t="s">
        <v>460</v>
      </c>
      <c r="AD60" s="3"/>
      <c r="AE60" s="3" t="s">
        <v>829</v>
      </c>
      <c r="AF60" s="3" t="s">
        <v>831</v>
      </c>
      <c r="AG60" s="3"/>
      <c r="AH60" s="3"/>
      <c r="AI60" s="3"/>
      <c r="AJ60" s="3"/>
      <c r="AK60" s="3"/>
      <c r="AL60" s="3" t="s">
        <v>427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 t="s">
        <v>612</v>
      </c>
      <c r="AX60" s="3">
        <v>24101700</v>
      </c>
      <c r="AY60" s="3" t="s">
        <v>443</v>
      </c>
      <c r="AZ60" s="3" t="s">
        <v>320</v>
      </c>
      <c r="BA60" s="6" t="s">
        <v>554</v>
      </c>
      <c r="BB60" s="6" t="s">
        <v>838</v>
      </c>
      <c r="BC60" s="6" t="s">
        <v>567</v>
      </c>
      <c r="BD60" s="6"/>
      <c r="BE60" s="6" t="s">
        <v>569</v>
      </c>
      <c r="BF60" s="6" t="s">
        <v>614</v>
      </c>
      <c r="BG60" s="6" t="s">
        <v>561</v>
      </c>
      <c r="BH60" s="6"/>
      <c r="BI60" s="6" t="s">
        <v>562</v>
      </c>
      <c r="BJ60" s="6"/>
      <c r="BK60" s="6" t="s">
        <v>563</v>
      </c>
      <c r="BL60" s="6" t="s">
        <v>834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2" t="s">
        <v>905</v>
      </c>
    </row>
    <row r="61" spans="1:125" ht="12" customHeight="1">
      <c r="A61" s="1" t="s">
        <v>115</v>
      </c>
      <c r="B61" s="1" t="s">
        <v>66</v>
      </c>
      <c r="C61" s="3" t="s">
        <v>251</v>
      </c>
      <c r="D61" s="3" t="s">
        <v>636</v>
      </c>
      <c r="E61" s="4">
        <v>45125</v>
      </c>
      <c r="F61" s="3"/>
      <c r="G61" s="3"/>
      <c r="H61" s="3" t="s">
        <v>176</v>
      </c>
      <c r="I61" s="3" t="s">
        <v>176</v>
      </c>
      <c r="J61" s="3"/>
      <c r="K61" s="3" t="s">
        <v>87</v>
      </c>
      <c r="L61" s="3" t="s">
        <v>91</v>
      </c>
      <c r="M61" s="3">
        <v>1000</v>
      </c>
      <c r="N61" s="3" t="s">
        <v>250</v>
      </c>
      <c r="O61" s="3"/>
      <c r="P61" s="3"/>
      <c r="Q61" s="3"/>
      <c r="R61" s="3" t="s">
        <v>471</v>
      </c>
      <c r="S61" s="3"/>
      <c r="T61" s="3"/>
      <c r="U61" s="3"/>
      <c r="V61" s="3"/>
      <c r="W61" s="3" t="s">
        <v>57</v>
      </c>
      <c r="X61" s="3" t="s">
        <v>413</v>
      </c>
      <c r="Y61" s="3"/>
      <c r="Z61" s="3"/>
      <c r="AA61" s="3"/>
      <c r="AB61" s="3" t="s">
        <v>68</v>
      </c>
      <c r="AC61" s="3" t="s">
        <v>154</v>
      </c>
      <c r="AD61" s="3"/>
      <c r="AE61" s="3" t="s">
        <v>829</v>
      </c>
      <c r="AF61" s="3" t="s">
        <v>831</v>
      </c>
      <c r="AG61" s="3"/>
      <c r="AH61" s="3"/>
      <c r="AI61" s="3"/>
      <c r="AJ61" s="3"/>
      <c r="AK61" s="3"/>
      <c r="AL61" s="3" t="s">
        <v>427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 t="s">
        <v>612</v>
      </c>
      <c r="AX61" s="3">
        <v>24101700</v>
      </c>
      <c r="AY61" s="3" t="s">
        <v>443</v>
      </c>
      <c r="AZ61" s="3" t="s">
        <v>320</v>
      </c>
      <c r="BA61" s="6" t="s">
        <v>554</v>
      </c>
      <c r="BB61" s="6" t="s">
        <v>837</v>
      </c>
      <c r="BC61" s="6" t="s">
        <v>567</v>
      </c>
      <c r="BD61" s="6"/>
      <c r="BE61" s="6" t="s">
        <v>569</v>
      </c>
      <c r="BF61" s="6" t="s">
        <v>614</v>
      </c>
      <c r="BG61" s="6" t="s">
        <v>561</v>
      </c>
      <c r="BH61" s="6"/>
      <c r="BI61" s="6" t="s">
        <v>562</v>
      </c>
      <c r="BJ61" s="6"/>
      <c r="BK61" s="6" t="s">
        <v>563</v>
      </c>
      <c r="BL61" s="6" t="s">
        <v>834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2" t="s">
        <v>905</v>
      </c>
    </row>
    <row r="62" spans="1:125" ht="12" customHeight="1">
      <c r="A62" s="1" t="s">
        <v>115</v>
      </c>
      <c r="B62" s="1" t="s">
        <v>66</v>
      </c>
      <c r="C62" s="3" t="s">
        <v>251</v>
      </c>
      <c r="D62" s="3" t="s">
        <v>636</v>
      </c>
      <c r="E62" s="4">
        <v>45125</v>
      </c>
      <c r="F62" s="3"/>
      <c r="G62" s="3"/>
      <c r="H62" s="3" t="s">
        <v>21</v>
      </c>
      <c r="I62" s="3" t="s">
        <v>21</v>
      </c>
      <c r="J62" s="3"/>
      <c r="K62" s="3" t="s">
        <v>87</v>
      </c>
      <c r="L62" s="3" t="s">
        <v>91</v>
      </c>
      <c r="M62" s="3">
        <v>1000</v>
      </c>
      <c r="N62" s="3" t="s">
        <v>250</v>
      </c>
      <c r="O62" s="3"/>
      <c r="P62" s="3"/>
      <c r="Q62" s="3"/>
      <c r="R62" s="3" t="s">
        <v>531</v>
      </c>
      <c r="S62" s="3"/>
      <c r="T62" s="3"/>
      <c r="U62" s="3"/>
      <c r="V62" s="3"/>
      <c r="W62" s="3" t="s">
        <v>459</v>
      </c>
      <c r="X62" s="3" t="s">
        <v>276</v>
      </c>
      <c r="Y62" s="3"/>
      <c r="Z62" s="3"/>
      <c r="AA62" s="3"/>
      <c r="AB62" s="3"/>
      <c r="AC62" s="3"/>
      <c r="AD62" s="3"/>
      <c r="AE62" s="3" t="s">
        <v>829</v>
      </c>
      <c r="AF62" s="3" t="s">
        <v>832</v>
      </c>
      <c r="AG62" s="3"/>
      <c r="AH62" s="3"/>
      <c r="AI62" s="3"/>
      <c r="AJ62" s="3"/>
      <c r="AK62" s="3"/>
      <c r="AL62" s="3" t="s">
        <v>427</v>
      </c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 t="s">
        <v>612</v>
      </c>
      <c r="AX62" s="3">
        <v>24101700</v>
      </c>
      <c r="AY62" s="3" t="s">
        <v>443</v>
      </c>
      <c r="AZ62" s="3" t="s">
        <v>320</v>
      </c>
      <c r="BA62" s="6" t="s">
        <v>554</v>
      </c>
      <c r="BB62" s="6" t="s">
        <v>840</v>
      </c>
      <c r="BC62" s="6" t="s">
        <v>567</v>
      </c>
      <c r="BD62" s="6" t="s">
        <v>841</v>
      </c>
      <c r="BE62" s="6" t="s">
        <v>569</v>
      </c>
      <c r="BF62" s="6" t="s">
        <v>614</v>
      </c>
      <c r="BG62" s="6" t="s">
        <v>561</v>
      </c>
      <c r="BH62" s="6"/>
      <c r="BI62" s="6" t="s">
        <v>562</v>
      </c>
      <c r="BJ62" s="6"/>
      <c r="BK62" s="6" t="s">
        <v>563</v>
      </c>
      <c r="BL62" s="6" t="s">
        <v>842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2" t="s">
        <v>905</v>
      </c>
    </row>
    <row r="63" spans="1:125" ht="12" customHeight="1">
      <c r="A63" s="1" t="s">
        <v>115</v>
      </c>
      <c r="B63" s="1" t="s">
        <v>66</v>
      </c>
      <c r="C63" s="3" t="s">
        <v>251</v>
      </c>
      <c r="D63" s="3" t="s">
        <v>636</v>
      </c>
      <c r="E63" s="4">
        <v>45125</v>
      </c>
      <c r="F63" s="3"/>
      <c r="G63" s="3"/>
      <c r="H63" s="3" t="s">
        <v>249</v>
      </c>
      <c r="I63" s="3" t="s">
        <v>249</v>
      </c>
      <c r="J63" s="3"/>
      <c r="K63" s="3" t="s">
        <v>87</v>
      </c>
      <c r="L63" s="3" t="s">
        <v>91</v>
      </c>
      <c r="M63" s="3">
        <v>1000</v>
      </c>
      <c r="N63" s="3" t="s">
        <v>250</v>
      </c>
      <c r="O63" s="3"/>
      <c r="P63" s="3"/>
      <c r="Q63" s="3"/>
      <c r="R63" s="3" t="s">
        <v>192</v>
      </c>
      <c r="S63" s="3"/>
      <c r="T63" s="3"/>
      <c r="U63" s="3"/>
      <c r="V63" s="3"/>
      <c r="W63" s="3" t="s">
        <v>388</v>
      </c>
      <c r="X63" s="3" t="s">
        <v>116</v>
      </c>
      <c r="Y63" s="3"/>
      <c r="Z63" s="3"/>
      <c r="AA63" s="3"/>
      <c r="AB63" s="3"/>
      <c r="AC63" s="3"/>
      <c r="AD63" s="3"/>
      <c r="AE63" s="3" t="s">
        <v>829</v>
      </c>
      <c r="AF63" s="3" t="s">
        <v>833</v>
      </c>
      <c r="AG63" s="3"/>
      <c r="AH63" s="3"/>
      <c r="AI63" s="3"/>
      <c r="AJ63" s="3"/>
      <c r="AK63" s="3"/>
      <c r="AL63" s="3" t="s">
        <v>427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 t="s">
        <v>612</v>
      </c>
      <c r="AX63" s="3">
        <v>24101700</v>
      </c>
      <c r="AY63" s="3" t="s">
        <v>443</v>
      </c>
      <c r="AZ63" s="3" t="s">
        <v>320</v>
      </c>
      <c r="BA63" s="6" t="s">
        <v>554</v>
      </c>
      <c r="BB63" s="6" t="s">
        <v>843</v>
      </c>
      <c r="BC63" s="6" t="s">
        <v>567</v>
      </c>
      <c r="BD63" s="6"/>
      <c r="BE63" s="6" t="s">
        <v>569</v>
      </c>
      <c r="BF63" s="6" t="s">
        <v>614</v>
      </c>
      <c r="BG63" s="6" t="s">
        <v>561</v>
      </c>
      <c r="BH63" s="6"/>
      <c r="BI63" s="6" t="s">
        <v>562</v>
      </c>
      <c r="BJ63" s="6"/>
      <c r="BK63" s="6" t="s">
        <v>563</v>
      </c>
      <c r="BL63" s="6" t="s">
        <v>834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2" t="s">
        <v>905</v>
      </c>
    </row>
    <row r="64" spans="1:125" ht="12" customHeight="1">
      <c r="A64" s="1" t="s">
        <v>115</v>
      </c>
      <c r="B64" s="1" t="s">
        <v>66</v>
      </c>
      <c r="C64" s="3" t="s">
        <v>251</v>
      </c>
      <c r="D64" s="3" t="s">
        <v>636</v>
      </c>
      <c r="E64" s="4">
        <v>45125</v>
      </c>
      <c r="F64" s="3"/>
      <c r="G64" s="3"/>
      <c r="H64" s="3" t="s">
        <v>245</v>
      </c>
      <c r="I64" s="3" t="s">
        <v>245</v>
      </c>
      <c r="J64" s="3"/>
      <c r="K64" s="3" t="s">
        <v>87</v>
      </c>
      <c r="L64" s="3" t="s">
        <v>91</v>
      </c>
      <c r="M64" s="3">
        <v>1000</v>
      </c>
      <c r="N64" s="3" t="s">
        <v>250</v>
      </c>
      <c r="O64" s="3"/>
      <c r="P64" s="3"/>
      <c r="Q64" s="3"/>
      <c r="R64" s="3" t="s">
        <v>302</v>
      </c>
      <c r="S64" s="3"/>
      <c r="T64" s="3"/>
      <c r="U64" s="3"/>
      <c r="V64" s="3"/>
      <c r="W64" s="3" t="s">
        <v>538</v>
      </c>
      <c r="X64" s="3" t="s">
        <v>360</v>
      </c>
      <c r="Y64" s="3"/>
      <c r="Z64" s="3"/>
      <c r="AA64" s="3"/>
      <c r="AB64" s="3" t="s">
        <v>376</v>
      </c>
      <c r="AC64" s="3" t="s">
        <v>61</v>
      </c>
      <c r="AD64" s="3"/>
      <c r="AE64" s="3" t="s">
        <v>829</v>
      </c>
      <c r="AF64" s="3" t="s">
        <v>833</v>
      </c>
      <c r="AG64" s="3"/>
      <c r="AH64" s="3"/>
      <c r="AI64" s="3"/>
      <c r="AJ64" s="3"/>
      <c r="AK64" s="3"/>
      <c r="AL64" s="3" t="s">
        <v>427</v>
      </c>
      <c r="AM64" s="3"/>
      <c r="AN64" s="3"/>
      <c r="AO64" s="3"/>
      <c r="AP64" s="3"/>
      <c r="AQ64" s="3"/>
      <c r="AR64" s="3"/>
      <c r="AS64" s="3"/>
      <c r="AT64" s="3"/>
      <c r="AU64" s="3"/>
      <c r="AV64" s="3" t="s">
        <v>61</v>
      </c>
      <c r="AW64" s="3" t="s">
        <v>612</v>
      </c>
      <c r="AX64" s="3">
        <v>24101700</v>
      </c>
      <c r="AY64" s="3" t="s">
        <v>443</v>
      </c>
      <c r="AZ64" s="3" t="s">
        <v>320</v>
      </c>
      <c r="BA64" s="6" t="s">
        <v>554</v>
      </c>
      <c r="BB64" s="6" t="s">
        <v>843</v>
      </c>
      <c r="BC64" s="6" t="s">
        <v>567</v>
      </c>
      <c r="BD64" s="6"/>
      <c r="BE64" s="6" t="s">
        <v>569</v>
      </c>
      <c r="BF64" s="6" t="s">
        <v>614</v>
      </c>
      <c r="BG64" s="6" t="s">
        <v>561</v>
      </c>
      <c r="BH64" s="6"/>
      <c r="BI64" s="6" t="s">
        <v>562</v>
      </c>
      <c r="BJ64" s="6"/>
      <c r="BK64" s="6" t="s">
        <v>563</v>
      </c>
      <c r="BL64" s="6" t="s">
        <v>834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2" t="s">
        <v>905</v>
      </c>
    </row>
    <row r="65" spans="1:125" ht="12" customHeight="1">
      <c r="A65" s="1" t="s">
        <v>115</v>
      </c>
      <c r="B65" s="1" t="s">
        <v>66</v>
      </c>
      <c r="C65" s="3" t="s">
        <v>251</v>
      </c>
      <c r="D65" s="3" t="s">
        <v>636</v>
      </c>
      <c r="E65" s="4">
        <v>45125</v>
      </c>
      <c r="F65" s="3"/>
      <c r="G65" s="5" t="s">
        <v>605</v>
      </c>
      <c r="H65" s="3" t="s">
        <v>454</v>
      </c>
      <c r="I65" s="3" t="s">
        <v>454</v>
      </c>
      <c r="J65" s="3"/>
      <c r="K65" s="3" t="s">
        <v>87</v>
      </c>
      <c r="L65" s="3" t="s">
        <v>91</v>
      </c>
      <c r="M65" s="3">
        <v>1000</v>
      </c>
      <c r="N65" s="3" t="s">
        <v>250</v>
      </c>
      <c r="O65" s="3"/>
      <c r="P65" s="3"/>
      <c r="Q65" s="3"/>
      <c r="R65" s="3" t="s">
        <v>499</v>
      </c>
      <c r="S65" s="3"/>
      <c r="T65" s="3"/>
      <c r="U65" s="3"/>
      <c r="V65" s="3"/>
      <c r="W65" s="3" t="s">
        <v>83</v>
      </c>
      <c r="X65" s="3" t="s">
        <v>444</v>
      </c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 t="s">
        <v>633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 t="s">
        <v>590</v>
      </c>
      <c r="AX65" s="3">
        <v>41121804</v>
      </c>
      <c r="AY65" s="3" t="s">
        <v>334</v>
      </c>
      <c r="AZ65" s="3" t="s">
        <v>522</v>
      </c>
      <c r="BA65" s="6" t="s">
        <v>554</v>
      </c>
      <c r="BB65" s="6" t="s">
        <v>639</v>
      </c>
      <c r="BC65" s="6" t="s">
        <v>555</v>
      </c>
      <c r="BD65" s="6" t="s">
        <v>638</v>
      </c>
      <c r="BE65" s="6" t="s">
        <v>569</v>
      </c>
      <c r="BF65" s="6"/>
      <c r="BG65" s="6" t="s">
        <v>586</v>
      </c>
      <c r="BH65" s="6"/>
      <c r="BI65" s="6" t="s">
        <v>587</v>
      </c>
      <c r="BJ65" s="6"/>
      <c r="BK65" s="6" t="s">
        <v>561</v>
      </c>
      <c r="BL65" s="6"/>
      <c r="BM65" s="6" t="s">
        <v>562</v>
      </c>
      <c r="BN65" s="6"/>
      <c r="BO65" s="6" t="s">
        <v>563</v>
      </c>
      <c r="BP65" s="6" t="s">
        <v>637</v>
      </c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2" t="s">
        <v>905</v>
      </c>
    </row>
    <row r="66" spans="1:125" ht="12" customHeight="1">
      <c r="A66" s="1" t="s">
        <v>115</v>
      </c>
      <c r="B66" s="1" t="s">
        <v>66</v>
      </c>
      <c r="C66" s="3" t="s">
        <v>251</v>
      </c>
      <c r="D66" s="3" t="s">
        <v>636</v>
      </c>
      <c r="E66" s="4">
        <v>45125</v>
      </c>
      <c r="F66" s="3"/>
      <c r="G66" s="5" t="s">
        <v>605</v>
      </c>
      <c r="H66" s="3" t="s">
        <v>256</v>
      </c>
      <c r="I66" s="3" t="s">
        <v>256</v>
      </c>
      <c r="J66" s="3"/>
      <c r="K66" s="3" t="s">
        <v>87</v>
      </c>
      <c r="L66" s="3" t="s">
        <v>91</v>
      </c>
      <c r="M66" s="3">
        <v>1000</v>
      </c>
      <c r="N66" s="3" t="s">
        <v>250</v>
      </c>
      <c r="O66" s="3"/>
      <c r="P66" s="3"/>
      <c r="Q66" s="3"/>
      <c r="R66" s="3" t="s">
        <v>520</v>
      </c>
      <c r="S66" s="3"/>
      <c r="T66" s="3"/>
      <c r="U66" s="3"/>
      <c r="V66" s="3"/>
      <c r="W66" s="3" t="s">
        <v>171</v>
      </c>
      <c r="X66" s="3" t="s">
        <v>325</v>
      </c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 t="s">
        <v>633</v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 t="s">
        <v>590</v>
      </c>
      <c r="AX66" s="3">
        <v>41121804</v>
      </c>
      <c r="AY66" s="3" t="s">
        <v>334</v>
      </c>
      <c r="AZ66" s="3" t="s">
        <v>522</v>
      </c>
      <c r="BA66" s="6" t="s">
        <v>554</v>
      </c>
      <c r="BB66" s="6" t="s">
        <v>639</v>
      </c>
      <c r="BC66" s="6" t="s">
        <v>555</v>
      </c>
      <c r="BD66" s="6" t="s">
        <v>640</v>
      </c>
      <c r="BE66" s="6" t="s">
        <v>569</v>
      </c>
      <c r="BF66" s="6"/>
      <c r="BG66" s="6" t="s">
        <v>586</v>
      </c>
      <c r="BH66" s="6"/>
      <c r="BI66" s="6" t="s">
        <v>587</v>
      </c>
      <c r="BJ66" s="6"/>
      <c r="BK66" s="6" t="s">
        <v>561</v>
      </c>
      <c r="BL66" s="6"/>
      <c r="BM66" s="6" t="s">
        <v>562</v>
      </c>
      <c r="BN66" s="6"/>
      <c r="BO66" s="6" t="s">
        <v>563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2" t="s">
        <v>905</v>
      </c>
    </row>
    <row r="67" spans="1:125" ht="12" customHeight="1">
      <c r="A67" s="1" t="s">
        <v>115</v>
      </c>
      <c r="B67" s="1" t="s">
        <v>66</v>
      </c>
      <c r="C67" s="3" t="s">
        <v>251</v>
      </c>
      <c r="D67" s="3" t="s">
        <v>636</v>
      </c>
      <c r="E67" s="4">
        <v>45125</v>
      </c>
      <c r="F67" s="3"/>
      <c r="G67" s="5" t="s">
        <v>605</v>
      </c>
      <c r="H67" s="3" t="s">
        <v>8</v>
      </c>
      <c r="I67" s="3" t="s">
        <v>8</v>
      </c>
      <c r="J67" s="3"/>
      <c r="K67" s="3" t="s">
        <v>87</v>
      </c>
      <c r="L67" s="3" t="s">
        <v>91</v>
      </c>
      <c r="M67" s="3">
        <v>1000</v>
      </c>
      <c r="N67" s="3" t="s">
        <v>250</v>
      </c>
      <c r="O67" s="3"/>
      <c r="P67" s="3"/>
      <c r="Q67" s="3"/>
      <c r="R67" s="3" t="s">
        <v>29</v>
      </c>
      <c r="S67" s="3"/>
      <c r="T67" s="3"/>
      <c r="U67" s="3"/>
      <c r="V67" s="3"/>
      <c r="W67" s="3" t="s">
        <v>495</v>
      </c>
      <c r="X67" s="3" t="s">
        <v>549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 t="s">
        <v>633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 t="s">
        <v>590</v>
      </c>
      <c r="AX67" s="3">
        <v>41121804</v>
      </c>
      <c r="AY67" s="3" t="s">
        <v>334</v>
      </c>
      <c r="AZ67" s="3" t="s">
        <v>522</v>
      </c>
      <c r="BA67" s="6" t="s">
        <v>554</v>
      </c>
      <c r="BB67" s="6" t="s">
        <v>639</v>
      </c>
      <c r="BC67" s="6" t="s">
        <v>555</v>
      </c>
      <c r="BD67" s="6" t="s">
        <v>641</v>
      </c>
      <c r="BE67" s="6" t="s">
        <v>569</v>
      </c>
      <c r="BF67" s="6"/>
      <c r="BG67" s="6" t="s">
        <v>586</v>
      </c>
      <c r="BH67" s="6"/>
      <c r="BI67" s="6" t="s">
        <v>587</v>
      </c>
      <c r="BJ67" s="6"/>
      <c r="BK67" s="6" t="s">
        <v>561</v>
      </c>
      <c r="BL67" s="6"/>
      <c r="BM67" s="6" t="s">
        <v>562</v>
      </c>
      <c r="BN67" s="6"/>
      <c r="BO67" s="6" t="s">
        <v>563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2" t="s">
        <v>905</v>
      </c>
    </row>
    <row r="68" spans="1:125" ht="12" customHeight="1">
      <c r="A68" s="1" t="s">
        <v>115</v>
      </c>
      <c r="B68" s="1" t="s">
        <v>66</v>
      </c>
      <c r="C68" s="3" t="s">
        <v>251</v>
      </c>
      <c r="D68" s="3" t="s">
        <v>636</v>
      </c>
      <c r="E68" s="4">
        <v>45125</v>
      </c>
      <c r="F68" s="3"/>
      <c r="G68" s="5" t="s">
        <v>589</v>
      </c>
      <c r="H68" s="3" t="s">
        <v>9</v>
      </c>
      <c r="I68" s="3" t="s">
        <v>9</v>
      </c>
      <c r="J68" s="3"/>
      <c r="K68" s="3" t="s">
        <v>87</v>
      </c>
      <c r="L68" s="3" t="s">
        <v>91</v>
      </c>
      <c r="M68" s="3">
        <v>1000</v>
      </c>
      <c r="N68" s="3" t="s">
        <v>250</v>
      </c>
      <c r="O68" s="3"/>
      <c r="P68" s="3"/>
      <c r="Q68" s="3"/>
      <c r="R68" s="3" t="s">
        <v>435</v>
      </c>
      <c r="S68" s="3"/>
      <c r="T68" s="3"/>
      <c r="U68" s="3"/>
      <c r="V68" s="3"/>
      <c r="W68" s="3" t="s">
        <v>462</v>
      </c>
      <c r="X68" s="3" t="s">
        <v>0</v>
      </c>
      <c r="Y68" s="3"/>
      <c r="Z68" s="3"/>
      <c r="AA68" s="3"/>
      <c r="AB68" s="3"/>
      <c r="AC68" s="3"/>
      <c r="AD68" s="3"/>
      <c r="AE68" s="3"/>
      <c r="AF68" s="3" t="s">
        <v>645</v>
      </c>
      <c r="AG68" s="3"/>
      <c r="AH68" s="3"/>
      <c r="AI68" s="3"/>
      <c r="AJ68" s="3"/>
      <c r="AK68" s="3"/>
      <c r="AL68" s="3" t="s">
        <v>633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 t="s">
        <v>590</v>
      </c>
      <c r="AX68" s="3">
        <v>41121804</v>
      </c>
      <c r="AY68" s="3" t="s">
        <v>334</v>
      </c>
      <c r="AZ68" s="3" t="s">
        <v>522</v>
      </c>
      <c r="BA68" s="6" t="s">
        <v>554</v>
      </c>
      <c r="BB68" s="6" t="s">
        <v>643</v>
      </c>
      <c r="BC68" s="6" t="s">
        <v>555</v>
      </c>
      <c r="BD68" s="6" t="s">
        <v>641</v>
      </c>
      <c r="BE68" s="6" t="s">
        <v>569</v>
      </c>
      <c r="BF68" s="6"/>
      <c r="BG68" s="6" t="s">
        <v>586</v>
      </c>
      <c r="BH68" s="6"/>
      <c r="BI68" s="6" t="s">
        <v>587</v>
      </c>
      <c r="BJ68" s="6"/>
      <c r="BK68" s="6" t="s">
        <v>561</v>
      </c>
      <c r="BL68" s="6"/>
      <c r="BM68" s="6" t="s">
        <v>562</v>
      </c>
      <c r="BN68" s="6"/>
      <c r="BO68" s="6" t="s">
        <v>563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2" t="s">
        <v>905</v>
      </c>
    </row>
    <row r="69" spans="1:125" ht="12" customHeight="1">
      <c r="A69" s="1" t="s">
        <v>115</v>
      </c>
      <c r="B69" s="1" t="s">
        <v>66</v>
      </c>
      <c r="C69" s="3" t="s">
        <v>251</v>
      </c>
      <c r="D69" s="3" t="s">
        <v>636</v>
      </c>
      <c r="E69" s="4">
        <v>45125</v>
      </c>
      <c r="F69" s="3"/>
      <c r="G69" s="3"/>
      <c r="H69" s="3" t="s">
        <v>452</v>
      </c>
      <c r="I69" s="3" t="s">
        <v>452</v>
      </c>
      <c r="J69" s="3"/>
      <c r="K69" s="3" t="s">
        <v>87</v>
      </c>
      <c r="L69" s="3" t="s">
        <v>91</v>
      </c>
      <c r="M69" s="3">
        <v>1000</v>
      </c>
      <c r="N69" s="3" t="s">
        <v>250</v>
      </c>
      <c r="O69" s="3"/>
      <c r="P69" s="3"/>
      <c r="Q69" s="3"/>
      <c r="R69" s="3" t="s">
        <v>354</v>
      </c>
      <c r="S69" s="3"/>
      <c r="T69" s="3"/>
      <c r="U69" s="3"/>
      <c r="V69" s="3"/>
      <c r="W69" s="3" t="s">
        <v>252</v>
      </c>
      <c r="X69" s="3" t="s">
        <v>104</v>
      </c>
      <c r="Y69" s="3"/>
      <c r="Z69" s="3"/>
      <c r="AA69" s="3"/>
      <c r="AB69" s="3"/>
      <c r="AC69" s="3"/>
      <c r="AD69" s="3"/>
      <c r="AE69" s="3" t="s">
        <v>647</v>
      </c>
      <c r="AF69" s="3" t="s">
        <v>646</v>
      </c>
      <c r="AG69" s="3"/>
      <c r="AH69" s="3"/>
      <c r="AI69" s="3"/>
      <c r="AJ69" s="3"/>
      <c r="AK69" s="3"/>
      <c r="AL69" s="3" t="s">
        <v>648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 t="s">
        <v>612</v>
      </c>
      <c r="AX69" s="3">
        <v>41121804</v>
      </c>
      <c r="AY69" s="3" t="s">
        <v>334</v>
      </c>
      <c r="AZ69" s="3" t="s">
        <v>522</v>
      </c>
      <c r="BA69" s="6" t="s">
        <v>554</v>
      </c>
      <c r="BB69" s="6" t="s">
        <v>649</v>
      </c>
      <c r="BC69" s="6" t="s">
        <v>555</v>
      </c>
      <c r="BD69" s="6" t="s">
        <v>644</v>
      </c>
      <c r="BE69" s="6" t="s">
        <v>569</v>
      </c>
      <c r="BF69" s="6" t="s">
        <v>650</v>
      </c>
      <c r="BG69" s="6" t="s">
        <v>586</v>
      </c>
      <c r="BH69" s="6"/>
      <c r="BI69" s="6" t="s">
        <v>587</v>
      </c>
      <c r="BJ69" s="6"/>
      <c r="BK69" s="6" t="s">
        <v>561</v>
      </c>
      <c r="BL69" s="6"/>
      <c r="BM69" s="6" t="s">
        <v>562</v>
      </c>
      <c r="BN69" s="6" t="s">
        <v>651</v>
      </c>
      <c r="BO69" s="6" t="s">
        <v>563</v>
      </c>
      <c r="BP69" s="6" t="s">
        <v>652</v>
      </c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2" t="s">
        <v>905</v>
      </c>
    </row>
    <row r="70" spans="1:125" ht="12" customHeight="1">
      <c r="A70" s="1" t="s">
        <v>115</v>
      </c>
      <c r="B70" s="1" t="s">
        <v>66</v>
      </c>
      <c r="C70" s="3" t="s">
        <v>251</v>
      </c>
      <c r="D70" s="3" t="s">
        <v>636</v>
      </c>
      <c r="E70" s="4">
        <v>45125</v>
      </c>
      <c r="F70" s="3"/>
      <c r="G70" s="5" t="s">
        <v>589</v>
      </c>
      <c r="H70" s="3" t="s">
        <v>479</v>
      </c>
      <c r="I70" s="3" t="s">
        <v>479</v>
      </c>
      <c r="J70" s="3"/>
      <c r="K70" s="3" t="s">
        <v>87</v>
      </c>
      <c r="L70" s="3" t="s">
        <v>91</v>
      </c>
      <c r="M70" s="3">
        <v>1000</v>
      </c>
      <c r="N70" s="3" t="s">
        <v>250</v>
      </c>
      <c r="O70" s="3"/>
      <c r="P70" s="3"/>
      <c r="Q70" s="3"/>
      <c r="R70" s="3" t="s">
        <v>160</v>
      </c>
      <c r="S70" s="3"/>
      <c r="T70" s="3"/>
      <c r="U70" s="3"/>
      <c r="V70" s="3"/>
      <c r="W70" s="3" t="s">
        <v>28</v>
      </c>
      <c r="X70" s="3" t="s">
        <v>257</v>
      </c>
      <c r="Y70" s="3"/>
      <c r="Z70" s="3"/>
      <c r="AA70" s="3"/>
      <c r="AB70" s="3"/>
      <c r="AC70" s="3"/>
      <c r="AD70" s="3"/>
      <c r="AE70" s="3"/>
      <c r="AF70" s="3">
        <v>2932</v>
      </c>
      <c r="AG70" s="3"/>
      <c r="AH70" s="3"/>
      <c r="AI70" s="3"/>
      <c r="AJ70" s="3"/>
      <c r="AK70" s="3"/>
      <c r="AL70" s="3" t="s">
        <v>633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 t="s">
        <v>590</v>
      </c>
      <c r="AX70" s="3">
        <v>41121804</v>
      </c>
      <c r="AY70" s="3" t="s">
        <v>334</v>
      </c>
      <c r="AZ70" s="3" t="s">
        <v>522</v>
      </c>
      <c r="BA70" s="6" t="s">
        <v>554</v>
      </c>
      <c r="BB70" s="6" t="s">
        <v>643</v>
      </c>
      <c r="BC70" s="6" t="s">
        <v>555</v>
      </c>
      <c r="BD70" s="6" t="s">
        <v>644</v>
      </c>
      <c r="BE70" s="6" t="s">
        <v>569</v>
      </c>
      <c r="BF70" s="6"/>
      <c r="BG70" s="6" t="s">
        <v>586</v>
      </c>
      <c r="BH70" s="6"/>
      <c r="BI70" s="6" t="s">
        <v>587</v>
      </c>
      <c r="BJ70" s="6"/>
      <c r="BK70" s="6" t="s">
        <v>561</v>
      </c>
      <c r="BL70" s="6"/>
      <c r="BM70" s="6" t="s">
        <v>562</v>
      </c>
      <c r="BN70" s="6"/>
      <c r="BO70" s="6" t="s">
        <v>563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2" t="s">
        <v>905</v>
      </c>
    </row>
    <row r="71" spans="1:125" ht="12" customHeight="1">
      <c r="A71" s="1" t="s">
        <v>115</v>
      </c>
      <c r="B71" s="1" t="s">
        <v>66</v>
      </c>
      <c r="C71" s="3" t="s">
        <v>251</v>
      </c>
      <c r="D71" s="3" t="s">
        <v>636</v>
      </c>
      <c r="E71" s="4">
        <v>45125</v>
      </c>
      <c r="F71" s="3"/>
      <c r="G71" s="5" t="s">
        <v>589</v>
      </c>
      <c r="H71" s="3" t="s">
        <v>453</v>
      </c>
      <c r="I71" s="3" t="s">
        <v>453</v>
      </c>
      <c r="J71" s="3"/>
      <c r="K71" s="3" t="s">
        <v>87</v>
      </c>
      <c r="L71" s="3" t="s">
        <v>91</v>
      </c>
      <c r="M71" s="3">
        <v>1000</v>
      </c>
      <c r="N71" s="3" t="s">
        <v>250</v>
      </c>
      <c r="O71" s="3"/>
      <c r="P71" s="3"/>
      <c r="Q71" s="3"/>
      <c r="R71" s="3" t="s">
        <v>25</v>
      </c>
      <c r="S71" s="3"/>
      <c r="T71" s="3"/>
      <c r="U71" s="3"/>
      <c r="V71" s="3"/>
      <c r="W71" s="3" t="s">
        <v>403</v>
      </c>
      <c r="X71" s="3" t="s">
        <v>410</v>
      </c>
      <c r="Y71" s="3"/>
      <c r="Z71" s="3"/>
      <c r="AA71" s="3"/>
      <c r="AB71" s="3"/>
      <c r="AC71" s="3"/>
      <c r="AD71" s="3"/>
      <c r="AE71" s="3"/>
      <c r="AF71" s="3">
        <v>913511</v>
      </c>
      <c r="AG71" s="3"/>
      <c r="AH71" s="3"/>
      <c r="AI71" s="3"/>
      <c r="AJ71" s="3"/>
      <c r="AK71" s="3"/>
      <c r="AL71" s="3" t="s">
        <v>633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 t="s">
        <v>590</v>
      </c>
      <c r="AX71" s="3">
        <v>41121804</v>
      </c>
      <c r="AY71" s="3" t="s">
        <v>334</v>
      </c>
      <c r="AZ71" s="3" t="s">
        <v>522</v>
      </c>
      <c r="BA71" s="6" t="s">
        <v>554</v>
      </c>
      <c r="BB71" s="6" t="s">
        <v>642</v>
      </c>
      <c r="BC71" s="6" t="s">
        <v>555</v>
      </c>
      <c r="BD71" s="6" t="s">
        <v>641</v>
      </c>
      <c r="BE71" s="6" t="s">
        <v>569</v>
      </c>
      <c r="BF71" s="6"/>
      <c r="BG71" s="6" t="s">
        <v>586</v>
      </c>
      <c r="BH71" s="6"/>
      <c r="BI71" s="6" t="s">
        <v>587</v>
      </c>
      <c r="BJ71" s="6"/>
      <c r="BK71" s="6" t="s">
        <v>561</v>
      </c>
      <c r="BL71" s="6"/>
      <c r="BM71" s="6" t="s">
        <v>562</v>
      </c>
      <c r="BN71" s="6"/>
      <c r="BO71" s="6" t="s">
        <v>563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2" t="s">
        <v>905</v>
      </c>
    </row>
    <row r="72" spans="1:125" ht="12" customHeight="1">
      <c r="A72" s="1" t="s">
        <v>115</v>
      </c>
      <c r="B72" s="1" t="s">
        <v>66</v>
      </c>
      <c r="C72" s="3" t="s">
        <v>251</v>
      </c>
      <c r="D72" s="3" t="s">
        <v>636</v>
      </c>
      <c r="E72" s="4">
        <v>45125</v>
      </c>
      <c r="F72" s="3"/>
      <c r="G72" s="5" t="s">
        <v>607</v>
      </c>
      <c r="H72" s="3" t="s">
        <v>397</v>
      </c>
      <c r="I72" s="3" t="s">
        <v>397</v>
      </c>
      <c r="J72" s="3" t="s">
        <v>409</v>
      </c>
      <c r="K72" s="3" t="s">
        <v>87</v>
      </c>
      <c r="L72" s="3" t="s">
        <v>91</v>
      </c>
      <c r="M72" s="3" t="s">
        <v>521</v>
      </c>
      <c r="N72" s="3" t="s">
        <v>140</v>
      </c>
      <c r="O72" s="3" t="s">
        <v>409</v>
      </c>
      <c r="P72" s="3" t="s">
        <v>409</v>
      </c>
      <c r="Q72" s="3"/>
      <c r="R72" s="3" t="s">
        <v>517</v>
      </c>
      <c r="S72" s="3"/>
      <c r="T72" s="3"/>
      <c r="U72" s="3"/>
      <c r="V72" s="3"/>
      <c r="W72" s="3" t="s">
        <v>11</v>
      </c>
      <c r="X72" s="3" t="s">
        <v>309</v>
      </c>
      <c r="Y72" s="3"/>
      <c r="Z72" s="3"/>
      <c r="AA72" s="3"/>
      <c r="AB72" s="3"/>
      <c r="AC72" s="3"/>
      <c r="AD72" s="3"/>
      <c r="AE72" s="3" t="s">
        <v>787</v>
      </c>
      <c r="AF72" s="3" t="s">
        <v>785</v>
      </c>
      <c r="AG72" s="3"/>
      <c r="AH72" s="3"/>
      <c r="AI72" s="3"/>
      <c r="AJ72" s="3"/>
      <c r="AK72" s="3"/>
      <c r="AL72" s="3" t="s">
        <v>788</v>
      </c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 t="s">
        <v>612</v>
      </c>
      <c r="AX72" s="3">
        <v>23153100</v>
      </c>
      <c r="AY72" s="3" t="s">
        <v>170</v>
      </c>
      <c r="AZ72" s="3" t="s">
        <v>320</v>
      </c>
      <c r="BA72" s="6" t="s">
        <v>554</v>
      </c>
      <c r="BB72" s="6" t="s">
        <v>790</v>
      </c>
      <c r="BC72" s="6" t="s">
        <v>567</v>
      </c>
      <c r="BD72" s="6" t="s">
        <v>791</v>
      </c>
      <c r="BE72" s="6" t="s">
        <v>569</v>
      </c>
      <c r="BF72" s="6" t="s">
        <v>793</v>
      </c>
      <c r="BG72" s="6" t="s">
        <v>577</v>
      </c>
      <c r="BH72" s="6"/>
      <c r="BI72" s="6" t="s">
        <v>588</v>
      </c>
      <c r="BJ72" s="6"/>
      <c r="BK72" s="6" t="s">
        <v>558</v>
      </c>
      <c r="BL72" s="6"/>
      <c r="BM72" s="6" t="s">
        <v>562</v>
      </c>
      <c r="BN72" s="6" t="s">
        <v>794</v>
      </c>
      <c r="BO72" s="6" t="s">
        <v>563</v>
      </c>
      <c r="BP72" s="6" t="s">
        <v>814</v>
      </c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2" t="s">
        <v>905</v>
      </c>
    </row>
    <row r="73" spans="1:125" ht="12" customHeight="1">
      <c r="A73" s="1" t="s">
        <v>115</v>
      </c>
      <c r="B73" s="1" t="s">
        <v>66</v>
      </c>
      <c r="C73" s="3" t="s">
        <v>251</v>
      </c>
      <c r="D73" s="3" t="s">
        <v>636</v>
      </c>
      <c r="E73" s="4">
        <v>45125</v>
      </c>
      <c r="F73" s="3"/>
      <c r="G73" s="5" t="s">
        <v>607</v>
      </c>
      <c r="H73" s="3" t="s">
        <v>53</v>
      </c>
      <c r="I73" s="3" t="s">
        <v>53</v>
      </c>
      <c r="J73" s="3" t="s">
        <v>409</v>
      </c>
      <c r="K73" s="3" t="s">
        <v>87</v>
      </c>
      <c r="L73" s="3" t="s">
        <v>91</v>
      </c>
      <c r="M73" s="3" t="s">
        <v>521</v>
      </c>
      <c r="N73" s="3" t="s">
        <v>140</v>
      </c>
      <c r="O73" s="3" t="s">
        <v>409</v>
      </c>
      <c r="P73" s="3" t="s">
        <v>409</v>
      </c>
      <c r="Q73" s="3"/>
      <c r="R73" s="3" t="s">
        <v>465</v>
      </c>
      <c r="S73" s="3"/>
      <c r="T73" s="3"/>
      <c r="U73" s="3"/>
      <c r="V73" s="3"/>
      <c r="W73" s="3" t="s">
        <v>103</v>
      </c>
      <c r="X73" s="3" t="s">
        <v>516</v>
      </c>
      <c r="Y73" s="3"/>
      <c r="Z73" s="3"/>
      <c r="AA73" s="3"/>
      <c r="AB73" s="3" t="s">
        <v>227</v>
      </c>
      <c r="AC73" s="3" t="s">
        <v>227</v>
      </c>
      <c r="AD73" s="3"/>
      <c r="AE73" s="3" t="s">
        <v>787</v>
      </c>
      <c r="AF73" s="3" t="s">
        <v>786</v>
      </c>
      <c r="AG73" s="3"/>
      <c r="AH73" s="3"/>
      <c r="AI73" s="3"/>
      <c r="AJ73" s="3"/>
      <c r="AK73" s="3"/>
      <c r="AL73" s="3" t="s">
        <v>789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 t="s">
        <v>612</v>
      </c>
      <c r="AX73" s="3">
        <v>23153100</v>
      </c>
      <c r="AY73" s="3" t="s">
        <v>170</v>
      </c>
      <c r="AZ73" s="3" t="s">
        <v>320</v>
      </c>
      <c r="BA73" s="6" t="s">
        <v>554</v>
      </c>
      <c r="BB73" s="6" t="s">
        <v>790</v>
      </c>
      <c r="BC73" s="6" t="s">
        <v>567</v>
      </c>
      <c r="BD73" s="6" t="s">
        <v>792</v>
      </c>
      <c r="BE73" s="6" t="s">
        <v>569</v>
      </c>
      <c r="BF73" s="6" t="s">
        <v>793</v>
      </c>
      <c r="BG73" s="6" t="s">
        <v>577</v>
      </c>
      <c r="BH73" s="6"/>
      <c r="BI73" s="6" t="s">
        <v>588</v>
      </c>
      <c r="BJ73" s="6"/>
      <c r="BK73" s="6" t="s">
        <v>558</v>
      </c>
      <c r="BL73" s="6"/>
      <c r="BM73" s="6" t="s">
        <v>562</v>
      </c>
      <c r="BN73" s="6" t="s">
        <v>794</v>
      </c>
      <c r="BO73" s="6" t="s">
        <v>563</v>
      </c>
      <c r="BP73" s="6" t="s">
        <v>815</v>
      </c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2" t="s">
        <v>905</v>
      </c>
    </row>
    <row r="74" spans="1:125" ht="12" customHeight="1">
      <c r="A74" s="1" t="s">
        <v>115</v>
      </c>
      <c r="B74" s="1" t="s">
        <v>66</v>
      </c>
      <c r="C74" s="3" t="s">
        <v>251</v>
      </c>
      <c r="D74" s="3" t="s">
        <v>636</v>
      </c>
      <c r="E74" s="4">
        <v>45125</v>
      </c>
      <c r="F74" s="3"/>
      <c r="G74" s="3"/>
      <c r="H74" s="3" t="s">
        <v>217</v>
      </c>
      <c r="I74" s="3" t="s">
        <v>217</v>
      </c>
      <c r="J74" s="3"/>
      <c r="K74" s="3" t="s">
        <v>87</v>
      </c>
      <c r="L74" s="3" t="s">
        <v>91</v>
      </c>
      <c r="M74" s="3">
        <v>1000</v>
      </c>
      <c r="N74" s="3" t="s">
        <v>250</v>
      </c>
      <c r="O74" s="3"/>
      <c r="P74" s="3"/>
      <c r="Q74" s="3"/>
      <c r="R74" s="3" t="s">
        <v>327</v>
      </c>
      <c r="S74" s="3"/>
      <c r="T74" s="3"/>
      <c r="U74" s="3"/>
      <c r="V74" s="3"/>
      <c r="W74" s="3" t="s">
        <v>379</v>
      </c>
      <c r="X74" s="3" t="s">
        <v>35</v>
      </c>
      <c r="Y74" s="3"/>
      <c r="Z74" s="3"/>
      <c r="AA74" s="3"/>
      <c r="AB74" s="3" t="s">
        <v>467</v>
      </c>
      <c r="AC74" s="3" t="s">
        <v>231</v>
      </c>
      <c r="AD74" s="3"/>
      <c r="AE74" s="3" t="s">
        <v>795</v>
      </c>
      <c r="AF74" s="3" t="s">
        <v>796</v>
      </c>
      <c r="AG74" s="3"/>
      <c r="AH74" s="3"/>
      <c r="AI74" s="3"/>
      <c r="AJ74" s="3"/>
      <c r="AK74" s="3"/>
      <c r="AL74" s="3" t="s">
        <v>798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 t="s">
        <v>612</v>
      </c>
      <c r="AX74" s="3">
        <v>23153100</v>
      </c>
      <c r="AY74" s="3" t="s">
        <v>170</v>
      </c>
      <c r="AZ74" s="3" t="s">
        <v>320</v>
      </c>
      <c r="BA74" s="6" t="s">
        <v>554</v>
      </c>
      <c r="BB74" s="6" t="s">
        <v>803</v>
      </c>
      <c r="BC74" s="6" t="s">
        <v>567</v>
      </c>
      <c r="BD74" s="6" t="s">
        <v>631</v>
      </c>
      <c r="BE74" s="6" t="s">
        <v>569</v>
      </c>
      <c r="BF74" s="6" t="s">
        <v>801</v>
      </c>
      <c r="BG74" s="6" t="s">
        <v>577</v>
      </c>
      <c r="BH74" s="6"/>
      <c r="BI74" s="6" t="s">
        <v>588</v>
      </c>
      <c r="BJ74" s="6" t="s">
        <v>800</v>
      </c>
      <c r="BK74" s="6" t="s">
        <v>558</v>
      </c>
      <c r="BL74" s="6"/>
      <c r="BM74" s="6" t="s">
        <v>562</v>
      </c>
      <c r="BN74" s="6" t="s">
        <v>805</v>
      </c>
      <c r="BO74" s="6" t="s">
        <v>563</v>
      </c>
      <c r="BP74" s="6" t="s">
        <v>802</v>
      </c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2" t="s">
        <v>905</v>
      </c>
    </row>
    <row r="75" spans="1:125" ht="12" customHeight="1">
      <c r="A75" s="1" t="s">
        <v>115</v>
      </c>
      <c r="B75" s="1" t="s">
        <v>66</v>
      </c>
      <c r="C75" s="3" t="s">
        <v>251</v>
      </c>
      <c r="D75" s="3" t="s">
        <v>636</v>
      </c>
      <c r="E75" s="4">
        <v>45125</v>
      </c>
      <c r="F75" s="3"/>
      <c r="G75" s="3"/>
      <c r="H75" s="3" t="s">
        <v>321</v>
      </c>
      <c r="I75" s="3" t="s">
        <v>321</v>
      </c>
      <c r="J75" s="3"/>
      <c r="K75" s="3" t="s">
        <v>87</v>
      </c>
      <c r="L75" s="3" t="s">
        <v>91</v>
      </c>
      <c r="M75" s="3">
        <v>1000</v>
      </c>
      <c r="N75" s="3" t="s">
        <v>250</v>
      </c>
      <c r="O75" s="3"/>
      <c r="P75" s="3"/>
      <c r="Q75" s="3"/>
      <c r="R75" s="3" t="s">
        <v>10</v>
      </c>
      <c r="S75" s="3"/>
      <c r="T75" s="3"/>
      <c r="U75" s="3"/>
      <c r="V75" s="3"/>
      <c r="W75" s="3" t="s">
        <v>347</v>
      </c>
      <c r="X75" s="3" t="s">
        <v>1</v>
      </c>
      <c r="Y75" s="3"/>
      <c r="Z75" s="3"/>
      <c r="AA75" s="3"/>
      <c r="AB75" s="3" t="s">
        <v>467</v>
      </c>
      <c r="AC75" s="3" t="s">
        <v>231</v>
      </c>
      <c r="AD75" s="3"/>
      <c r="AE75" s="3" t="s">
        <v>795</v>
      </c>
      <c r="AF75" s="3" t="s">
        <v>797</v>
      </c>
      <c r="AG75" s="3"/>
      <c r="AH75" s="3"/>
      <c r="AI75" s="3"/>
      <c r="AJ75" s="3"/>
      <c r="AK75" s="3"/>
      <c r="AL75" s="3" t="s">
        <v>799</v>
      </c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 t="s">
        <v>612</v>
      </c>
      <c r="AX75" s="3">
        <v>23153100</v>
      </c>
      <c r="AY75" s="3" t="s">
        <v>170</v>
      </c>
      <c r="AZ75" s="3" t="s">
        <v>320</v>
      </c>
      <c r="BA75" s="6" t="s">
        <v>554</v>
      </c>
      <c r="BB75" s="6" t="s">
        <v>804</v>
      </c>
      <c r="BC75" s="6" t="s">
        <v>567</v>
      </c>
      <c r="BD75" s="6" t="s">
        <v>630</v>
      </c>
      <c r="BE75" s="6" t="s">
        <v>569</v>
      </c>
      <c r="BF75" s="6" t="s">
        <v>801</v>
      </c>
      <c r="BG75" s="6" t="s">
        <v>577</v>
      </c>
      <c r="BH75" s="6"/>
      <c r="BI75" s="6" t="s">
        <v>588</v>
      </c>
      <c r="BJ75" s="6" t="s">
        <v>800</v>
      </c>
      <c r="BK75" s="6" t="s">
        <v>558</v>
      </c>
      <c r="BL75" s="6"/>
      <c r="BM75" s="6" t="s">
        <v>562</v>
      </c>
      <c r="BN75" s="6" t="s">
        <v>805</v>
      </c>
      <c r="BO75" s="6" t="s">
        <v>563</v>
      </c>
      <c r="BP75" s="6" t="s">
        <v>802</v>
      </c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2" t="s">
        <v>905</v>
      </c>
    </row>
    <row r="76" spans="1:125" ht="12" customHeight="1">
      <c r="A76" s="1" t="s">
        <v>115</v>
      </c>
      <c r="B76" s="1" t="s">
        <v>66</v>
      </c>
      <c r="C76" s="3" t="s">
        <v>251</v>
      </c>
      <c r="D76" s="3" t="s">
        <v>636</v>
      </c>
      <c r="E76" s="4">
        <v>45125</v>
      </c>
      <c r="F76" s="3"/>
      <c r="G76" s="3"/>
      <c r="H76" s="3" t="s">
        <v>52</v>
      </c>
      <c r="I76" s="3" t="s">
        <v>52</v>
      </c>
      <c r="J76" s="3"/>
      <c r="K76" s="3" t="s">
        <v>87</v>
      </c>
      <c r="L76" s="3" t="s">
        <v>91</v>
      </c>
      <c r="M76" s="3">
        <v>1000</v>
      </c>
      <c r="N76" s="3" t="s">
        <v>250</v>
      </c>
      <c r="O76" s="3"/>
      <c r="P76" s="3"/>
      <c r="Q76" s="3"/>
      <c r="R76" s="3" t="s">
        <v>275</v>
      </c>
      <c r="S76" s="3"/>
      <c r="T76" s="3"/>
      <c r="U76" s="3"/>
      <c r="V76" s="3"/>
      <c r="W76" s="3" t="s">
        <v>414</v>
      </c>
      <c r="X76" s="3" t="s">
        <v>368</v>
      </c>
      <c r="Y76" s="3"/>
      <c r="Z76" s="3"/>
      <c r="AA76" s="3"/>
      <c r="AB76" s="3" t="s">
        <v>291</v>
      </c>
      <c r="AC76" s="3" t="s">
        <v>291</v>
      </c>
      <c r="AD76" s="3"/>
      <c r="AE76" s="3" t="s">
        <v>291</v>
      </c>
      <c r="AF76" s="3" t="s">
        <v>806</v>
      </c>
      <c r="AG76" s="3"/>
      <c r="AH76" s="3"/>
      <c r="AI76" s="3"/>
      <c r="AJ76" s="3"/>
      <c r="AK76" s="3"/>
      <c r="AL76" s="3" t="s">
        <v>633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 t="s">
        <v>590</v>
      </c>
      <c r="AX76" s="3">
        <v>23153100</v>
      </c>
      <c r="AY76" s="3" t="s">
        <v>170</v>
      </c>
      <c r="AZ76" s="3" t="s">
        <v>320</v>
      </c>
      <c r="BA76" s="6" t="s">
        <v>554</v>
      </c>
      <c r="BB76" s="6" t="s">
        <v>807</v>
      </c>
      <c r="BC76" s="6" t="s">
        <v>567</v>
      </c>
      <c r="BD76" s="6"/>
      <c r="BE76" s="6" t="s">
        <v>569</v>
      </c>
      <c r="BF76" s="6"/>
      <c r="BG76" s="6" t="s">
        <v>577</v>
      </c>
      <c r="BH76" s="6"/>
      <c r="BI76" s="6" t="s">
        <v>588</v>
      </c>
      <c r="BJ76" s="6"/>
      <c r="BK76" s="6" t="s">
        <v>558</v>
      </c>
      <c r="BL76" s="6"/>
      <c r="BM76" s="6" t="s">
        <v>562</v>
      </c>
      <c r="BN76" s="6" t="s">
        <v>808</v>
      </c>
      <c r="BO76" s="6" t="s">
        <v>563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2" t="s">
        <v>905</v>
      </c>
    </row>
    <row r="77" spans="1:125" ht="12" customHeight="1">
      <c r="A77" s="1" t="s">
        <v>115</v>
      </c>
      <c r="B77" s="1" t="s">
        <v>66</v>
      </c>
      <c r="C77" s="3" t="s">
        <v>251</v>
      </c>
      <c r="D77" s="3" t="s">
        <v>636</v>
      </c>
      <c r="E77" s="4">
        <v>45125</v>
      </c>
      <c r="F77" s="3"/>
      <c r="G77" s="5" t="s">
        <v>589</v>
      </c>
      <c r="H77" s="3" t="s">
        <v>383</v>
      </c>
      <c r="I77" s="3" t="s">
        <v>383</v>
      </c>
      <c r="J77" s="3"/>
      <c r="K77" s="3" t="s">
        <v>87</v>
      </c>
      <c r="L77" s="3" t="s">
        <v>91</v>
      </c>
      <c r="M77" s="3">
        <v>1000</v>
      </c>
      <c r="N77" s="3" t="s">
        <v>250</v>
      </c>
      <c r="O77" s="3"/>
      <c r="P77" s="3"/>
      <c r="Q77" s="3"/>
      <c r="R77" s="3" t="s">
        <v>265</v>
      </c>
      <c r="S77" s="3"/>
      <c r="T77" s="3"/>
      <c r="U77" s="3"/>
      <c r="V77" s="3"/>
      <c r="W77" s="3" t="s">
        <v>292</v>
      </c>
      <c r="X77" s="3" t="s">
        <v>425</v>
      </c>
      <c r="Y77" s="3"/>
      <c r="Z77" s="3"/>
      <c r="AA77" s="3"/>
      <c r="AB77" s="3" t="s">
        <v>145</v>
      </c>
      <c r="AC77" s="3" t="s">
        <v>230</v>
      </c>
      <c r="AD77" s="3"/>
      <c r="AE77" s="3"/>
      <c r="AF77" s="3">
        <v>83729433</v>
      </c>
      <c r="AG77" s="3"/>
      <c r="AH77" s="3"/>
      <c r="AI77" s="3" t="s">
        <v>809</v>
      </c>
      <c r="AJ77" s="3"/>
      <c r="AK77" s="3"/>
      <c r="AL77" s="3" t="s">
        <v>816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 t="s">
        <v>612</v>
      </c>
      <c r="AX77" s="3">
        <v>24101600</v>
      </c>
      <c r="AY77" s="3" t="s">
        <v>170</v>
      </c>
      <c r="AZ77" s="3" t="s">
        <v>320</v>
      </c>
      <c r="BA77" s="6" t="s">
        <v>554</v>
      </c>
      <c r="BB77" s="6" t="s">
        <v>813</v>
      </c>
      <c r="BC77" s="6" t="s">
        <v>567</v>
      </c>
      <c r="BD77" s="6"/>
      <c r="BE77" s="6" t="s">
        <v>569</v>
      </c>
      <c r="BF77" s="6"/>
      <c r="BG77" s="6" t="s">
        <v>577</v>
      </c>
      <c r="BH77" s="6"/>
      <c r="BI77" s="6" t="s">
        <v>588</v>
      </c>
      <c r="BJ77" s="6"/>
      <c r="BK77" s="6" t="s">
        <v>558</v>
      </c>
      <c r="BL77" s="6"/>
      <c r="BM77" s="6" t="s">
        <v>562</v>
      </c>
      <c r="BN77" s="6"/>
      <c r="BO77" s="6" t="s">
        <v>563</v>
      </c>
      <c r="BP77" s="6" t="s">
        <v>820</v>
      </c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2" t="s">
        <v>905</v>
      </c>
    </row>
    <row r="78" spans="1:125" ht="12" customHeight="1">
      <c r="A78" s="1" t="s">
        <v>115</v>
      </c>
      <c r="B78" s="1" t="s">
        <v>66</v>
      </c>
      <c r="C78" s="3" t="s">
        <v>251</v>
      </c>
      <c r="D78" s="3" t="s">
        <v>636</v>
      </c>
      <c r="E78" s="4">
        <v>45125</v>
      </c>
      <c r="F78" s="3"/>
      <c r="G78" s="5" t="s">
        <v>589</v>
      </c>
      <c r="H78" s="3" t="s">
        <v>342</v>
      </c>
      <c r="I78" s="3" t="s">
        <v>342</v>
      </c>
      <c r="J78" s="3"/>
      <c r="K78" s="3" t="s">
        <v>87</v>
      </c>
      <c r="L78" s="3" t="s">
        <v>91</v>
      </c>
      <c r="M78" s="3">
        <v>1000</v>
      </c>
      <c r="N78" s="3" t="s">
        <v>250</v>
      </c>
      <c r="O78" s="3"/>
      <c r="P78" s="3"/>
      <c r="Q78" s="3"/>
      <c r="R78" s="3" t="s">
        <v>182</v>
      </c>
      <c r="S78" s="3"/>
      <c r="T78" s="3"/>
      <c r="U78" s="3"/>
      <c r="V78" s="3"/>
      <c r="W78" s="3" t="s">
        <v>109</v>
      </c>
      <c r="X78" s="3" t="s">
        <v>202</v>
      </c>
      <c r="Y78" s="3"/>
      <c r="Z78" s="3"/>
      <c r="AA78" s="3"/>
      <c r="AB78" s="3" t="s">
        <v>503</v>
      </c>
      <c r="AC78" s="3" t="s">
        <v>365</v>
      </c>
      <c r="AD78" s="3"/>
      <c r="AE78" s="3"/>
      <c r="AF78" s="3">
        <v>83529433</v>
      </c>
      <c r="AG78" s="3"/>
      <c r="AH78" s="3"/>
      <c r="AI78" s="3" t="s">
        <v>810</v>
      </c>
      <c r="AJ78" s="3"/>
      <c r="AK78" s="3"/>
      <c r="AL78" s="3" t="s">
        <v>817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 t="s">
        <v>612</v>
      </c>
      <c r="AX78" s="3">
        <v>24101600</v>
      </c>
      <c r="AY78" s="3" t="s">
        <v>170</v>
      </c>
      <c r="AZ78" s="3" t="s">
        <v>320</v>
      </c>
      <c r="BA78" s="6" t="s">
        <v>554</v>
      </c>
      <c r="BB78" s="6" t="s">
        <v>813</v>
      </c>
      <c r="BC78" s="6" t="s">
        <v>567</v>
      </c>
      <c r="BD78" s="6"/>
      <c r="BE78" s="6" t="s">
        <v>569</v>
      </c>
      <c r="BF78" s="6"/>
      <c r="BG78" s="6" t="s">
        <v>577</v>
      </c>
      <c r="BH78" s="6"/>
      <c r="BI78" s="6" t="s">
        <v>588</v>
      </c>
      <c r="BJ78" s="6"/>
      <c r="BK78" s="6" t="s">
        <v>558</v>
      </c>
      <c r="BL78" s="6"/>
      <c r="BM78" s="6" t="s">
        <v>562</v>
      </c>
      <c r="BN78" s="6"/>
      <c r="BO78" s="6" t="s">
        <v>563</v>
      </c>
      <c r="BP78" s="6" t="s">
        <v>821</v>
      </c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2" t="s">
        <v>905</v>
      </c>
    </row>
    <row r="79" spans="1:125" ht="12" customHeight="1">
      <c r="A79" s="1" t="s">
        <v>115</v>
      </c>
      <c r="B79" s="1" t="s">
        <v>66</v>
      </c>
      <c r="C79" s="3" t="s">
        <v>251</v>
      </c>
      <c r="D79" s="3" t="s">
        <v>636</v>
      </c>
      <c r="E79" s="4">
        <v>45125</v>
      </c>
      <c r="F79" s="3"/>
      <c r="G79" s="5" t="s">
        <v>589</v>
      </c>
      <c r="H79" s="3" t="s">
        <v>323</v>
      </c>
      <c r="I79" s="3" t="s">
        <v>323</v>
      </c>
      <c r="J79" s="3"/>
      <c r="K79" s="3" t="s">
        <v>87</v>
      </c>
      <c r="L79" s="3" t="s">
        <v>91</v>
      </c>
      <c r="M79" s="3">
        <v>1000</v>
      </c>
      <c r="N79" s="3" t="s">
        <v>250</v>
      </c>
      <c r="O79" s="3"/>
      <c r="P79" s="3"/>
      <c r="Q79" s="3"/>
      <c r="R79" s="3" t="s">
        <v>138</v>
      </c>
      <c r="S79" s="3"/>
      <c r="T79" s="3"/>
      <c r="U79" s="3"/>
      <c r="V79" s="3"/>
      <c r="W79" s="3" t="s">
        <v>482</v>
      </c>
      <c r="X79" s="3" t="s">
        <v>469</v>
      </c>
      <c r="Y79" s="3"/>
      <c r="Z79" s="3"/>
      <c r="AA79" s="3"/>
      <c r="AB79" s="3" t="s">
        <v>267</v>
      </c>
      <c r="AC79" s="3" t="s">
        <v>102</v>
      </c>
      <c r="AD79" s="3"/>
      <c r="AE79" s="3"/>
      <c r="AF79" s="3">
        <v>83816033</v>
      </c>
      <c r="AG79" s="3"/>
      <c r="AH79" s="3"/>
      <c r="AI79" s="3" t="s">
        <v>811</v>
      </c>
      <c r="AJ79" s="3"/>
      <c r="AK79" s="3"/>
      <c r="AL79" s="3" t="s">
        <v>818</v>
      </c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 t="s">
        <v>612</v>
      </c>
      <c r="AX79" s="3">
        <v>24101600</v>
      </c>
      <c r="AY79" s="3" t="s">
        <v>170</v>
      </c>
      <c r="AZ79" s="3" t="s">
        <v>320</v>
      </c>
      <c r="BA79" s="6" t="s">
        <v>554</v>
      </c>
      <c r="BB79" s="6" t="s">
        <v>813</v>
      </c>
      <c r="BC79" s="6" t="s">
        <v>567</v>
      </c>
      <c r="BD79" s="6"/>
      <c r="BE79" s="6" t="s">
        <v>569</v>
      </c>
      <c r="BF79" s="6"/>
      <c r="BG79" s="6" t="s">
        <v>577</v>
      </c>
      <c r="BH79" s="6"/>
      <c r="BI79" s="6" t="s">
        <v>588</v>
      </c>
      <c r="BJ79" s="6"/>
      <c r="BK79" s="6" t="s">
        <v>558</v>
      </c>
      <c r="BL79" s="6"/>
      <c r="BM79" s="6" t="s">
        <v>562</v>
      </c>
      <c r="BN79" s="6"/>
      <c r="BO79" s="6" t="s">
        <v>563</v>
      </c>
      <c r="BP79" s="6" t="s">
        <v>822</v>
      </c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2" t="s">
        <v>905</v>
      </c>
    </row>
    <row r="80" spans="1:125" ht="12" customHeight="1">
      <c r="A80" s="1" t="s">
        <v>115</v>
      </c>
      <c r="B80" s="1" t="s">
        <v>66</v>
      </c>
      <c r="C80" s="3" t="s">
        <v>251</v>
      </c>
      <c r="D80" s="3" t="s">
        <v>636</v>
      </c>
      <c r="E80" s="4">
        <v>45125</v>
      </c>
      <c r="F80" s="3"/>
      <c r="G80" s="5" t="s">
        <v>589</v>
      </c>
      <c r="H80" s="3" t="s">
        <v>344</v>
      </c>
      <c r="I80" s="3" t="s">
        <v>344</v>
      </c>
      <c r="J80" s="3"/>
      <c r="K80" s="3" t="s">
        <v>87</v>
      </c>
      <c r="L80" s="3" t="s">
        <v>91</v>
      </c>
      <c r="M80" s="3">
        <v>1000</v>
      </c>
      <c r="N80" s="3" t="s">
        <v>250</v>
      </c>
      <c r="O80" s="3"/>
      <c r="P80" s="3"/>
      <c r="Q80" s="3"/>
      <c r="R80" s="3" t="s">
        <v>369</v>
      </c>
      <c r="S80" s="3"/>
      <c r="T80" s="3"/>
      <c r="U80" s="3"/>
      <c r="V80" s="3"/>
      <c r="W80" s="3" t="s">
        <v>111</v>
      </c>
      <c r="X80" s="3" t="s">
        <v>163</v>
      </c>
      <c r="Y80" s="3"/>
      <c r="Z80" s="3"/>
      <c r="AA80" s="3"/>
      <c r="AB80" s="3" t="s">
        <v>274</v>
      </c>
      <c r="AC80" s="3" t="s">
        <v>502</v>
      </c>
      <c r="AD80" s="3"/>
      <c r="AE80" s="3"/>
      <c r="AF80" s="3">
        <v>83629433</v>
      </c>
      <c r="AG80" s="3"/>
      <c r="AH80" s="3"/>
      <c r="AI80" s="3" t="s">
        <v>812</v>
      </c>
      <c r="AJ80" s="3"/>
      <c r="AK80" s="3"/>
      <c r="AL80" s="3" t="s">
        <v>819</v>
      </c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 t="s">
        <v>612</v>
      </c>
      <c r="AX80" s="3">
        <v>24101600</v>
      </c>
      <c r="AY80" s="3" t="s">
        <v>170</v>
      </c>
      <c r="AZ80" s="3" t="s">
        <v>320</v>
      </c>
      <c r="BA80" s="6" t="s">
        <v>554</v>
      </c>
      <c r="BB80" s="6" t="s">
        <v>813</v>
      </c>
      <c r="BC80" s="6" t="s">
        <v>567</v>
      </c>
      <c r="BD80" s="6"/>
      <c r="BE80" s="6" t="s">
        <v>569</v>
      </c>
      <c r="BF80" s="6"/>
      <c r="BG80" s="6" t="s">
        <v>577</v>
      </c>
      <c r="BH80" s="6"/>
      <c r="BI80" s="6" t="s">
        <v>588</v>
      </c>
      <c r="BJ80" s="6"/>
      <c r="BK80" s="6" t="s">
        <v>558</v>
      </c>
      <c r="BL80" s="6"/>
      <c r="BM80" s="6" t="s">
        <v>562</v>
      </c>
      <c r="BN80" s="6"/>
      <c r="BO80" s="6" t="s">
        <v>563</v>
      </c>
      <c r="BP80" s="6" t="s">
        <v>823</v>
      </c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2" t="s">
        <v>905</v>
      </c>
    </row>
    <row r="81" spans="1:125" ht="12" customHeight="1">
      <c r="A81" s="1" t="s">
        <v>115</v>
      </c>
      <c r="B81" s="1" t="s">
        <v>66</v>
      </c>
      <c r="C81" s="3" t="s">
        <v>251</v>
      </c>
      <c r="D81" s="3" t="s">
        <v>636</v>
      </c>
      <c r="E81" s="4">
        <v>45125</v>
      </c>
      <c r="F81" s="3"/>
      <c r="G81" s="3"/>
      <c r="H81" s="3" t="s">
        <v>295</v>
      </c>
      <c r="I81" s="3" t="s">
        <v>295</v>
      </c>
      <c r="J81" s="3"/>
      <c r="K81" s="3" t="s">
        <v>87</v>
      </c>
      <c r="L81" s="3" t="s">
        <v>91</v>
      </c>
      <c r="M81" s="3">
        <v>1000</v>
      </c>
      <c r="N81" s="3" t="s">
        <v>250</v>
      </c>
      <c r="O81" s="3"/>
      <c r="P81" s="3"/>
      <c r="Q81" s="3"/>
      <c r="R81" s="3" t="s">
        <v>173</v>
      </c>
      <c r="S81" s="3"/>
      <c r="T81" s="3"/>
      <c r="U81" s="3"/>
      <c r="V81" s="3" t="s">
        <v>445</v>
      </c>
      <c r="W81" s="3" t="s">
        <v>167</v>
      </c>
      <c r="X81" s="3" t="s">
        <v>184</v>
      </c>
      <c r="Y81" s="3"/>
      <c r="Z81" s="3"/>
      <c r="AA81" s="3" t="s">
        <v>113</v>
      </c>
      <c r="AB81" s="3" t="s">
        <v>114</v>
      </c>
      <c r="AC81" s="3" t="s">
        <v>114</v>
      </c>
      <c r="AD81" s="3"/>
      <c r="AE81" s="3" t="s">
        <v>795</v>
      </c>
      <c r="AF81" s="3" t="s">
        <v>824</v>
      </c>
      <c r="AG81" s="3"/>
      <c r="AH81" s="3"/>
      <c r="AI81" s="3" t="s">
        <v>825</v>
      </c>
      <c r="AJ81" s="3"/>
      <c r="AK81" s="3"/>
      <c r="AL81" s="3" t="s">
        <v>633</v>
      </c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 t="s">
        <v>590</v>
      </c>
      <c r="AX81" s="3">
        <v>23153100</v>
      </c>
      <c r="AY81" s="3" t="s">
        <v>170</v>
      </c>
      <c r="AZ81" s="3" t="s">
        <v>320</v>
      </c>
      <c r="BA81" s="6" t="s">
        <v>554</v>
      </c>
      <c r="BB81" s="6"/>
      <c r="BC81" s="6" t="s">
        <v>567</v>
      </c>
      <c r="BD81" s="6"/>
      <c r="BE81" s="6" t="s">
        <v>569</v>
      </c>
      <c r="BF81" s="6"/>
      <c r="BG81" s="6" t="s">
        <v>577</v>
      </c>
      <c r="BH81" s="6"/>
      <c r="BI81" s="6" t="s">
        <v>588</v>
      </c>
      <c r="BJ81" s="6"/>
      <c r="BK81" s="6" t="s">
        <v>558</v>
      </c>
      <c r="BL81" s="6"/>
      <c r="BM81" s="6" t="s">
        <v>562</v>
      </c>
      <c r="BN81" s="6"/>
      <c r="BO81" s="6" t="s">
        <v>563</v>
      </c>
      <c r="BP81" s="6" t="s">
        <v>826</v>
      </c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2" t="s">
        <v>905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>
      <selection activeCell="E1" sqref="E1"/>
    </sheetView>
  </sheetViews>
  <sheetFormatPr defaultColWidth="9.1796875" defaultRowHeight="14.5"/>
  <cols>
    <col min="1" max="1" width="86.7265625" bestFit="1" customWidth="1"/>
    <col min="3" max="3" width="15.36328125" bestFit="1" customWidth="1"/>
    <col min="5" max="5" width="19" bestFit="1" customWidth="1"/>
    <col min="10" max="10" width="86.7265625" bestFit="1" customWidth="1"/>
  </cols>
  <sheetData>
    <row r="1" spans="1:8" ht="15" thickBot="1">
      <c r="A1" s="7" t="s">
        <v>603</v>
      </c>
      <c r="B1" t="s">
        <v>553</v>
      </c>
      <c r="C1" t="s">
        <v>553</v>
      </c>
      <c r="E1" t="s">
        <v>620</v>
      </c>
    </row>
    <row r="2" spans="1:8">
      <c r="A2" s="8" t="s">
        <v>604</v>
      </c>
      <c r="B2">
        <f>1/2</f>
        <v>0.5</v>
      </c>
      <c r="C2">
        <f>C3-40-80</f>
        <v>80</v>
      </c>
      <c r="E2" t="s">
        <v>621</v>
      </c>
    </row>
    <row r="3" spans="1:8">
      <c r="A3" s="8" t="s">
        <v>605</v>
      </c>
      <c r="B3">
        <f>1/4</f>
        <v>0.25</v>
      </c>
      <c r="C3">
        <v>200</v>
      </c>
      <c r="E3" t="s">
        <v>622</v>
      </c>
    </row>
    <row r="4" spans="1:8">
      <c r="A4" s="8" t="s">
        <v>606</v>
      </c>
      <c r="B4">
        <f>1/8</f>
        <v>0.125</v>
      </c>
      <c r="E4" t="s">
        <v>623</v>
      </c>
    </row>
    <row r="5" spans="1:8">
      <c r="A5" s="8" t="s">
        <v>607</v>
      </c>
      <c r="B5">
        <f>1/16</f>
        <v>6.25E-2</v>
      </c>
      <c r="E5" t="s">
        <v>624</v>
      </c>
    </row>
    <row r="6" spans="1:8">
      <c r="A6" s="8" t="s">
        <v>589</v>
      </c>
      <c r="B6">
        <f>1/32</f>
        <v>3.125E-2</v>
      </c>
      <c r="E6" t="s">
        <v>625</v>
      </c>
    </row>
    <row r="7" spans="1:8">
      <c r="A7" s="8" t="s">
        <v>608</v>
      </c>
      <c r="B7">
        <f>1/64</f>
        <v>1.5625E-2</v>
      </c>
      <c r="E7" t="s">
        <v>629</v>
      </c>
    </row>
    <row r="8" spans="1:8">
      <c r="A8" s="8" t="s">
        <v>609</v>
      </c>
      <c r="B8">
        <f>1/128</f>
        <v>7.8125E-3</v>
      </c>
      <c r="E8" t="s">
        <v>634</v>
      </c>
    </row>
    <row r="9" spans="1:8">
      <c r="A9" s="8" t="s">
        <v>610</v>
      </c>
      <c r="E9" t="s">
        <v>635</v>
      </c>
    </row>
    <row r="10" spans="1:8">
      <c r="A10" s="8" t="s">
        <v>611</v>
      </c>
      <c r="E10" t="s">
        <v>684</v>
      </c>
    </row>
    <row r="11" spans="1:8">
      <c r="E11" t="s">
        <v>904</v>
      </c>
    </row>
    <row r="13" spans="1:8">
      <c r="A13" t="s">
        <v>591</v>
      </c>
    </row>
    <row r="14" spans="1:8">
      <c r="A14" s="8" t="s">
        <v>592</v>
      </c>
    </row>
    <row r="15" spans="1:8">
      <c r="A15" s="8" t="s">
        <v>593</v>
      </c>
    </row>
    <row r="16" spans="1:8">
      <c r="A16" s="8" t="s">
        <v>594</v>
      </c>
      <c r="D16">
        <v>379</v>
      </c>
      <c r="E16" t="s">
        <v>615</v>
      </c>
      <c r="F16">
        <v>505</v>
      </c>
      <c r="H16">
        <v>4</v>
      </c>
    </row>
    <row r="17" spans="1:8">
      <c r="A17" s="8" t="s">
        <v>595</v>
      </c>
      <c r="D17">
        <v>320</v>
      </c>
      <c r="E17" t="s">
        <v>616</v>
      </c>
      <c r="F17">
        <v>260</v>
      </c>
      <c r="H17">
        <v>43</v>
      </c>
    </row>
    <row r="18" spans="1:8">
      <c r="A18" s="8" t="s">
        <v>596</v>
      </c>
      <c r="D18">
        <v>134</v>
      </c>
      <c r="E18" t="s">
        <v>617</v>
      </c>
      <c r="F18">
        <v>68</v>
      </c>
      <c r="H18">
        <v>6</v>
      </c>
    </row>
    <row r="19" spans="1:8">
      <c r="A19" s="8" t="s">
        <v>597</v>
      </c>
      <c r="H19">
        <v>81</v>
      </c>
    </row>
    <row r="20" spans="1:8">
      <c r="A20" s="8" t="s">
        <v>598</v>
      </c>
    </row>
    <row r="21" spans="1:8">
      <c r="A21" s="8" t="s">
        <v>599</v>
      </c>
    </row>
    <row r="22" spans="1:8">
      <c r="A22" s="8" t="s">
        <v>600</v>
      </c>
    </row>
    <row r="23" spans="1:8">
      <c r="A23" s="8" t="s">
        <v>601</v>
      </c>
    </row>
    <row r="24" spans="1:8">
      <c r="A24" s="8" t="s">
        <v>602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cp:lastPrinted>2023-07-19T11:50:08Z</cp:lastPrinted>
  <dcterms:created xsi:type="dcterms:W3CDTF">2013-06-26T05:33:36Z</dcterms:created>
  <dcterms:modified xsi:type="dcterms:W3CDTF">2023-07-20T15:20:43Z</dcterms:modified>
  <cp:category/>
</cp:coreProperties>
</file>