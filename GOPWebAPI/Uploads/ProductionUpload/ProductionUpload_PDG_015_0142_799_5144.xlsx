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Sheet1!$A$1:$CG$22</definedName>
  </definedNames>
  <calcPr calcId="145621"/>
  <webPublishing codePage="0"/>
</workbook>
</file>

<file path=xl/calcChain.xml><?xml version="1.0" encoding="utf-8"?>
<calcChain xmlns="http://schemas.openxmlformats.org/spreadsheetml/2006/main">
  <c r="AU22" i="1" l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<sst xmlns="http://schemas.openxmlformats.org/spreadsheetml/2006/main" count="1115" uniqueCount="608">
  <si>
    <t>3M HEALTH CARE-CSC ONLY</t>
  </si>
  <si>
    <t>42295111</t>
  </si>
  <si>
    <t>Sterile</t>
  </si>
  <si>
    <t>HANDPIECE W/COAX BN CLEAN TIP</t>
  </si>
  <si>
    <t>SET EXT 90IN SMALL BORE</t>
  </si>
  <si>
    <t>MEDLINE INDUSTRIES INC</t>
  </si>
  <si>
    <t>42141504</t>
  </si>
  <si>
    <t>36395654</t>
  </si>
  <si>
    <t>ITEM</t>
  </si>
  <si>
    <t>NIPPLE BOTTLE NARROW NEWBORN STANDARD WITH COLLAR</t>
  </si>
  <si>
    <t>BSMH_SIZE</t>
  </si>
  <si>
    <t>SWABSTICK MEDICATED BENZOIN TINCTURE STERILE</t>
  </si>
  <si>
    <t>S1015</t>
  </si>
  <si>
    <t>500907</t>
  </si>
  <si>
    <t>34689571</t>
  </si>
  <si>
    <t>BrandName1</t>
  </si>
  <si>
    <t>WALK VASCULAR LLC</t>
  </si>
  <si>
    <t>2566391</t>
  </si>
  <si>
    <t>102515</t>
  </si>
  <si>
    <t>THROMBECTOMY KIT ALL IN ONE 6 FRX120 CM STERILE JETI  6FR</t>
  </si>
  <si>
    <t>102518</t>
  </si>
  <si>
    <t>102520</t>
  </si>
  <si>
    <t>Location</t>
  </si>
  <si>
    <t>2808478</t>
  </si>
  <si>
    <t>42311527</t>
  </si>
  <si>
    <t>WV8803A</t>
  </si>
  <si>
    <t>THROMBECTOMY KIT ALL IN ONE 8 FRX100 CM STERILE JETI</t>
  </si>
  <si>
    <t>ASIS Description (Long  Desc 4000)</t>
  </si>
  <si>
    <t>Material</t>
  </si>
  <si>
    <t>12272887</t>
  </si>
  <si>
    <t>MANUF-DIVISION</t>
  </si>
  <si>
    <t>DE Code</t>
  </si>
  <si>
    <t>RefCat</t>
  </si>
  <si>
    <t>HANDI CRAFT COMPANY.</t>
  </si>
  <si>
    <t>Job No</t>
  </si>
  <si>
    <t>Short Desc 30</t>
  </si>
  <si>
    <t>PACK ANESTHESIA CIRCUIT ORMC</t>
  </si>
  <si>
    <t>PrimaryDimension(IDXODXWXHXDXTHKXL)</t>
  </si>
  <si>
    <t>POSITIONER PATIENT SQUARE 7X7X1 IN FOAM DEVON</t>
  </si>
  <si>
    <t>BOTTLE FEED SNS 150ML</t>
  </si>
  <si>
    <t>POSITIONER FOAM ARMBRD 3X5X24</t>
  </si>
  <si>
    <t>ALBA HEALTH/ENCOMPASS GROUP</t>
  </si>
  <si>
    <t>42211503</t>
  </si>
  <si>
    <t>VEN-ITEM</t>
  </si>
  <si>
    <t>Henry Schein TRUE METRIX Pro Blood Glucose Test Strip 50/Bx</t>
  </si>
  <si>
    <t>Description Duplicate</t>
  </si>
  <si>
    <t>MINN</t>
  </si>
  <si>
    <t>3M MINNESOTA MINNING</t>
  </si>
  <si>
    <t>41300433</t>
  </si>
  <si>
    <t>102523</t>
  </si>
  <si>
    <t>Classification Remarks</t>
  </si>
  <si>
    <t>UNSPSC v24.0301</t>
  </si>
  <si>
    <t>Long Description Creation | UNSPSC Classification</t>
  </si>
  <si>
    <t>BSMH Long 254 Desc</t>
  </si>
  <si>
    <t>41300432</t>
  </si>
  <si>
    <t>MEDELA INC</t>
  </si>
  <si>
    <t>JETI</t>
  </si>
  <si>
    <t>Latex</t>
  </si>
  <si>
    <t>CARDINAL HEALTHCARE</t>
  </si>
  <si>
    <t>494236</t>
  </si>
  <si>
    <t>URL</t>
  </si>
  <si>
    <t>1168115</t>
  </si>
  <si>
    <t>A9270</t>
  </si>
  <si>
    <t>BSMH_Volume/Weight</t>
  </si>
  <si>
    <t>102516</t>
  </si>
  <si>
    <t>NIPPLE BTL INFANT STD LVL T</t>
  </si>
  <si>
    <t>HEAL</t>
  </si>
  <si>
    <t>AN01237</t>
  </si>
  <si>
    <t>HENRY SCHEIN</t>
  </si>
  <si>
    <t>HCPCS Description</t>
  </si>
  <si>
    <t>NIPPLE BOTTLE NARROW NEWBORN STANDARD WITH COLLAR W/COLLAR</t>
  </si>
  <si>
    <t>NC100</t>
  </si>
  <si>
    <t>POSITIONER BODY ALIGN SQ FOAM</t>
  </si>
  <si>
    <t>Accepted Date</t>
  </si>
  <si>
    <t>36395655</t>
  </si>
  <si>
    <t>42241502</t>
  </si>
  <si>
    <t>42221604</t>
  </si>
  <si>
    <t>LongDescription</t>
  </si>
  <si>
    <t>Production User</t>
  </si>
  <si>
    <t>11943071</t>
  </si>
  <si>
    <t>Volume/Weight</t>
  </si>
  <si>
    <t>Remarks</t>
  </si>
  <si>
    <t>SN715-MED</t>
  </si>
  <si>
    <t>CONNECTOR INFUSION CLV NTRN</t>
  </si>
  <si>
    <t>THROMBECTOMY KIT ALL IN ONE NON STERILE JETI NONSTERILE</t>
  </si>
  <si>
    <t>102521</t>
  </si>
  <si>
    <t>42203445</t>
  </si>
  <si>
    <t>102519</t>
  </si>
  <si>
    <t>LAB</t>
  </si>
  <si>
    <t>A6257</t>
  </si>
  <si>
    <t>989803179111</t>
  </si>
  <si>
    <t>DYNJ066006</t>
  </si>
  <si>
    <t>1400933</t>
  </si>
  <si>
    <t>33675682</t>
  </si>
  <si>
    <t>WYTEX</t>
  </si>
  <si>
    <t>B2119</t>
  </si>
  <si>
    <t>Ref#</t>
  </si>
  <si>
    <t>41116215</t>
  </si>
  <si>
    <t>102514</t>
  </si>
  <si>
    <t>SlNo</t>
  </si>
  <si>
    <t>102524</t>
  </si>
  <si>
    <t>DRSG TRANS TGDRM CHG 6.2X4.9CM</t>
  </si>
  <si>
    <t>REGARD</t>
  </si>
  <si>
    <t>QE Comments</t>
  </si>
  <si>
    <t>KIT THROMB CATH JETI 6FR 120CM</t>
  </si>
  <si>
    <t>41300431</t>
  </si>
  <si>
    <t>ProdigoReferenceID</t>
  </si>
  <si>
    <t>1033693</t>
  </si>
  <si>
    <t>NON081344</t>
  </si>
  <si>
    <t>PHILLIPS MED SYSTEMS</t>
  </si>
  <si>
    <t/>
  </si>
  <si>
    <t>E0190</t>
  </si>
  <si>
    <t>102527</t>
  </si>
  <si>
    <t>42231807</t>
  </si>
  <si>
    <t>Modifier</t>
  </si>
  <si>
    <t>Corrected By</t>
  </si>
  <si>
    <t>Verified MFR Num</t>
  </si>
  <si>
    <t>PDG</t>
  </si>
  <si>
    <t>EXTENSION SET SMALLBORE 90 IN BIFUSE 2 ANTISIPHON VALVE CLAMP LUER LOCK 90IN EXT W VALVES CLAMPS</t>
  </si>
  <si>
    <t>Len</t>
  </si>
  <si>
    <t>Quality A/R</t>
  </si>
  <si>
    <t>SUPPORT ARMBRD 16X7.5X1.75</t>
  </si>
  <si>
    <t>SE Code</t>
  </si>
  <si>
    <t>34684214</t>
  </si>
  <si>
    <t>42221802</t>
  </si>
  <si>
    <t>INTERPULSE</t>
  </si>
  <si>
    <t>101043648</t>
  </si>
  <si>
    <t>STRYKER MEDICAL INSTRUM (ACI)</t>
  </si>
  <si>
    <t>2013</t>
  </si>
  <si>
    <t>Start Date</t>
  </si>
  <si>
    <t>Ref</t>
  </si>
  <si>
    <t>13108342</t>
  </si>
  <si>
    <t>MANUF-CODE</t>
  </si>
  <si>
    <t>42221616</t>
  </si>
  <si>
    <t>BSMH_SecondaryDimension(IDXODXLXWXHXDXTHK)</t>
  </si>
  <si>
    <t>501805</t>
  </si>
  <si>
    <t>APVENMAST#VENDOR-VNAME</t>
  </si>
  <si>
    <t>DEVON</t>
  </si>
  <si>
    <t>0210-110-100</t>
  </si>
  <si>
    <t>PROTGB241OZ</t>
  </si>
  <si>
    <t>ITEMMAST#DESCRIPTION</t>
  </si>
  <si>
    <t>500905</t>
  </si>
  <si>
    <t>FP-FMSQ7</t>
  </si>
  <si>
    <t>BSMH_Adjective</t>
  </si>
  <si>
    <t>Disposable</t>
  </si>
  <si>
    <t>Sort Comment</t>
  </si>
  <si>
    <t>DJ ORTHOPEDICS LLC</t>
  </si>
  <si>
    <t>D5951</t>
  </si>
  <si>
    <t>BSMH_PrimaryDimension(IDXODXLXWXHXDXTHK)</t>
  </si>
  <si>
    <t>Packaging Comment</t>
  </si>
  <si>
    <t>500910</t>
  </si>
  <si>
    <t>102522</t>
  </si>
  <si>
    <t>500906</t>
  </si>
  <si>
    <t>1028431</t>
  </si>
  <si>
    <t>THROMBECTOMY KIT ALL IN ONE 6 FRX120 CM STERILE JETI</t>
  </si>
  <si>
    <t>PHILIPS ELECTRONICS NA CORP</t>
  </si>
  <si>
    <t>TEGADERM</t>
  </si>
  <si>
    <t>Activities</t>
  </si>
  <si>
    <t>QE Code</t>
  </si>
  <si>
    <t>1421173</t>
  </si>
  <si>
    <t>1017350</t>
  </si>
  <si>
    <t>015-Diff142-21</t>
  </si>
  <si>
    <t>79-90820</t>
  </si>
  <si>
    <t>102517</t>
  </si>
  <si>
    <t>EXTENSION SET SMALLBORE 90 IN BIFUSE 2 ANTISIPHON VALVE 2 CLAMP LUER LOCK</t>
  </si>
  <si>
    <t>MANUF-NBR</t>
  </si>
  <si>
    <t>Conc</t>
  </si>
  <si>
    <t>CRADLE POSITIONING PRONE 24X5X3 IN ARM FOAM PURPLE LATEX FREE DISPOSABLE</t>
  </si>
  <si>
    <t>3M HEALTH CARE CARDIO SYS</t>
  </si>
  <si>
    <t>Customer Code</t>
  </si>
  <si>
    <t>42311553</t>
  </si>
  <si>
    <t>ICU MEDICAL</t>
  </si>
  <si>
    <t>Size</t>
  </si>
  <si>
    <t>1036791</t>
  </si>
  <si>
    <t>Orlando Long 300 Desc</t>
  </si>
  <si>
    <t>Status</t>
  </si>
  <si>
    <t>ICU/BMP MEDICAL</t>
  </si>
  <si>
    <t>DRESSING PETROLATUM OIL EMULSION NONADHESIVE 3INW X 8INL CELLULOSE ACETATE FABRIC GAUZE ADAPTIC STERILE 36/CT</t>
  </si>
  <si>
    <t>504001</t>
  </si>
  <si>
    <t>Verified MFR Name</t>
  </si>
  <si>
    <t>178588</t>
  </si>
  <si>
    <t>BSMH_Material</t>
  </si>
  <si>
    <t>31928279</t>
  </si>
  <si>
    <t>THROMBECTOMY KIT ALL IN ONE NON STERILE JETI</t>
  </si>
  <si>
    <t>102525</t>
  </si>
  <si>
    <t>BSMH_Modifier</t>
  </si>
  <si>
    <t>HANDI-CRAFT</t>
  </si>
  <si>
    <t>1010921</t>
  </si>
  <si>
    <t>S-1106</t>
  </si>
  <si>
    <t>Color</t>
  </si>
  <si>
    <t>PADDING CAST STERILE 6"X4YD</t>
  </si>
  <si>
    <t>STRYKER INSTRUMENTS</t>
  </si>
  <si>
    <t>PAD GEL 3X3 CM CHLORHEXIDINE GLUCONATE TEGADERM</t>
  </si>
  <si>
    <t>42312315</t>
  </si>
  <si>
    <t>1660</t>
  </si>
  <si>
    <t>PROCARE</t>
  </si>
  <si>
    <t>ABBOTT LABORATORIES</t>
  </si>
  <si>
    <t>BSMH_Brandname</t>
  </si>
  <si>
    <t>PAD ARMBOARD FOAM ARM PROCARE</t>
  </si>
  <si>
    <t>SWABSTICK MEDICATED BENZOIN TINCTURE STERILE MEDLINE COMPOUND SWABSTICKS</t>
  </si>
  <si>
    <t>MEDLINE STERILE WYTEX UNDERCAST PADDING PAD CAST UNDER 4 YDX6 IN STERILE WYTEX</t>
  </si>
  <si>
    <t>HANDPIECE IRRIGATION COAXIAL KIT WITH SUCTION TUBE BATTERY POWERED FOR BONE CLEANING TIP INTERPULSE</t>
  </si>
  <si>
    <t>CANNULA NSL L4M O2 AD FILTERLINE</t>
  </si>
  <si>
    <t>HCPCS</t>
  </si>
  <si>
    <t>574513</t>
  </si>
  <si>
    <t>ROI CPS LLC-VMI  CSC ONLY</t>
  </si>
  <si>
    <t>MEDELA</t>
  </si>
  <si>
    <t>BSMH_NOUN</t>
  </si>
  <si>
    <t>GlobalUNSPSC</t>
  </si>
  <si>
    <t>VENDOR</t>
  </si>
  <si>
    <t>PAD CAST UNDER 4 YDX6 IN STERILE WYTEX</t>
  </si>
  <si>
    <t>BSMH_Location</t>
  </si>
  <si>
    <t>CANNULA NASAL L4M OXYGEN ADULT FILTERLINE</t>
  </si>
  <si>
    <t>500911</t>
  </si>
  <si>
    <t>OP2 LABS</t>
  </si>
  <si>
    <t>KIT THROMB CATH JETI 8FR 100CM</t>
  </si>
  <si>
    <t>BrandName</t>
  </si>
  <si>
    <t>THROMBECTOMY KIT ALL IN ONE 8 FRX100 CM STERILE JETI  8FR</t>
  </si>
  <si>
    <t>APLS1106</t>
  </si>
  <si>
    <t>42271503</t>
  </si>
  <si>
    <t>HENRY SCHEIN INC</t>
  </si>
  <si>
    <t>DRESSING TRANSPARENT IV SECUREMENT GEL PAD ANTIMICROBIAL BREATHABILITY CHLORHEXIDINE GLUCONATE TEGADERM LATEX FREE</t>
  </si>
  <si>
    <t>85509</t>
  </si>
  <si>
    <t>A4649</t>
  </si>
  <si>
    <t>BSMH_Gender</t>
  </si>
  <si>
    <t>Noun</t>
  </si>
  <si>
    <t>STOCKINETTE 9 X 48IN WHT/BLUE</t>
  </si>
  <si>
    <t>102526</t>
  </si>
  <si>
    <t>6707867</t>
  </si>
  <si>
    <t>RefName</t>
  </si>
  <si>
    <t>957883</t>
  </si>
  <si>
    <t>Final</t>
  </si>
  <si>
    <t>36395656</t>
  </si>
  <si>
    <t>KIT ACCESSORY JETI NON STRL</t>
  </si>
  <si>
    <t>BSMH_AGE</t>
  </si>
  <si>
    <t>500909</t>
  </si>
  <si>
    <t>ICU MEDICAL INC-CSC ONLY</t>
  </si>
  <si>
    <t>HCPCS1</t>
  </si>
  <si>
    <t>Short Desc</t>
  </si>
  <si>
    <t>DRSG ADAPTIC STRL 3 X 8IN</t>
  </si>
  <si>
    <t>BLOOD GLUCOSE TEST STRIP PRO B</t>
  </si>
  <si>
    <t>STOCKINETTE IMPERVIOUS MEDIUM 48X9IN COTTON WHITE BLUE STERILE LATEX FREE</t>
  </si>
  <si>
    <t>Secondary Dimension(IDXODXWXHXDXTHKXL)</t>
  </si>
  <si>
    <t>Property</t>
  </si>
  <si>
    <t>CND</t>
  </si>
  <si>
    <t>BSMH_Property</t>
  </si>
  <si>
    <t>5820194</t>
  </si>
  <si>
    <t>ShortDescription</t>
  </si>
  <si>
    <t>CE Comments</t>
  </si>
  <si>
    <t>WV6203A</t>
  </si>
  <si>
    <t>DRSG TRANSP TGDRM CHG 7X8.5CM</t>
  </si>
  <si>
    <t>3717005</t>
  </si>
  <si>
    <t>83013600</t>
  </si>
  <si>
    <t>R3099P-450</t>
  </si>
  <si>
    <t>Potential Duplicate</t>
  </si>
  <si>
    <t>STRIP SKIN SWBSTK BENZOIN TINC</t>
  </si>
  <si>
    <t>Production Comments</t>
  </si>
  <si>
    <t>Miscellaneous</t>
  </si>
  <si>
    <t>5700327</t>
  </si>
  <si>
    <t>OPAOTGB241OZ</t>
  </si>
  <si>
    <t>BXTFPFMSQ7</t>
  </si>
  <si>
    <t>FORMULA PROT GOLD LIQ BERRY</t>
  </si>
  <si>
    <t>42311524</t>
  </si>
  <si>
    <t>WV1500A</t>
  </si>
  <si>
    <t>BSMH_Packaging for drugs and solutions</t>
  </si>
  <si>
    <t>MEDLINE INDUSTRIES</t>
  </si>
  <si>
    <t>CONNECTOR INTRAVENOUS LUER LOCK 0.10 IN MALE NEEDLEFREE ADAPTER STERILE NEUTRON</t>
  </si>
  <si>
    <t>303050</t>
  </si>
  <si>
    <t>PAD ARMBOARD FOAM ARM PROCARE BOARD PADS</t>
  </si>
  <si>
    <t>CANNULA NASAL ADLT 4M  O2</t>
  </si>
  <si>
    <t>Potential / Duplicate Across Consolidated</t>
  </si>
  <si>
    <t>SE Comments</t>
  </si>
  <si>
    <t>1664</t>
  </si>
  <si>
    <t>500908</t>
  </si>
  <si>
    <t>3297296</t>
  </si>
  <si>
    <t>5052043</t>
  </si>
  <si>
    <t>SOURCED</t>
  </si>
  <si>
    <t>THIRD PARTY</t>
  </si>
  <si>
    <t>UNSOURCED</t>
  </si>
  <si>
    <t>OK</t>
  </si>
  <si>
    <t>ICU MEDICAL INC</t>
  </si>
  <si>
    <t>HANDI-CRAFT COMPANY</t>
  </si>
  <si>
    <t>ALBA WALDENSIAN INC</t>
  </si>
  <si>
    <t>KONINKLIJKE PHILIPS ELECTRONICS NV</t>
  </si>
  <si>
    <t>DJO INC</t>
  </si>
  <si>
    <t>3M HEALTHCARE</t>
  </si>
  <si>
    <t>ROI CPS LLC</t>
  </si>
  <si>
    <t>STRYKER CORP</t>
  </si>
  <si>
    <t>CARDINAL HEALTH INC</t>
  </si>
  <si>
    <t>MEDELA_101043648</t>
  </si>
  <si>
    <t>MEDLINE</t>
  </si>
  <si>
    <t>MEDLINE_DYNJ066006</t>
  </si>
  <si>
    <t>ICU MEDICAL_NC100</t>
  </si>
  <si>
    <t>SN715MED</t>
  </si>
  <si>
    <t>HANDI-CRAFT_SN715MED</t>
  </si>
  <si>
    <t>ICU MEDICAL_B2119</t>
  </si>
  <si>
    <t>S1106</t>
  </si>
  <si>
    <t>MEDLINE_S1106</t>
  </si>
  <si>
    <t>ALBA</t>
  </si>
  <si>
    <t>ALBA_85509</t>
  </si>
  <si>
    <t>PHILIPS</t>
  </si>
  <si>
    <t>PHILIPS_989803179111</t>
  </si>
  <si>
    <t>DJO</t>
  </si>
  <si>
    <t>DJO_7990820</t>
  </si>
  <si>
    <t>3M</t>
  </si>
  <si>
    <t>3M_2013</t>
  </si>
  <si>
    <t>ROI</t>
  </si>
  <si>
    <t>ROI_AN01237</t>
  </si>
  <si>
    <t>R3099P450</t>
  </si>
  <si>
    <t>HENRY SCHEIN_R3099P450</t>
  </si>
  <si>
    <t>ABBOTT</t>
  </si>
  <si>
    <t>ABBOTT_WV8803A</t>
  </si>
  <si>
    <t>OP2 LABS_PROTGB241OZ</t>
  </si>
  <si>
    <t>STRYKER</t>
  </si>
  <si>
    <t>0210110100</t>
  </si>
  <si>
    <t>STRYKER_0210110100</t>
  </si>
  <si>
    <t>3M_1664</t>
  </si>
  <si>
    <t>3M_1660</t>
  </si>
  <si>
    <t>ABBOTT_WV1500A</t>
  </si>
  <si>
    <t>ABBOTT_WV6203A</t>
  </si>
  <si>
    <t>MEDLINE_NON081344</t>
  </si>
  <si>
    <t>CARDINAL</t>
  </si>
  <si>
    <t>FPFMSQ7</t>
  </si>
  <si>
    <t>CARDINAL_FPFMSQ7</t>
  </si>
  <si>
    <t>42231808  Feeding bottles</t>
  </si>
  <si>
    <t>FEEDING AID</t>
  </si>
  <si>
    <t>Supplemental Nursing System</t>
  </si>
  <si>
    <t>BOTTLE, FEEDING, 5.16X4.61X2.46 IN, 150 CC, SUPPLEMENTAL NURSING SYSTEM</t>
  </si>
  <si>
    <t>BOTTLE, FEEDING, SUPPLEMENTAL NURSING SYSTEM, 4.61X2.46X5.16IN, 150ML</t>
  </si>
  <si>
    <t>BTL, FEED, SUPPL NRSG SYS, 4.61X2.46X5.16IN, 150ML</t>
  </si>
  <si>
    <t>BOTTLE, FEED, 4.61X2.46X5.16IN</t>
  </si>
  <si>
    <t>BOTTLE</t>
  </si>
  <si>
    <t>FEEDING</t>
  </si>
  <si>
    <t>SUPPLEMENTAL NURSING SYSTEM</t>
  </si>
  <si>
    <t>4.61X2.46X5.16IN</t>
  </si>
  <si>
    <t>5.16X4.61X2.46 IN</t>
  </si>
  <si>
    <t>150ML</t>
  </si>
  <si>
    <t>150 CC</t>
  </si>
  <si>
    <t>https://www.medela.us/breastfeeding-professionals/products/breastmilk-storage-and-feeding/supplemental-nursing-system-sns</t>
  </si>
  <si>
    <t>42241502  Cast or splint padding materials</t>
  </si>
  <si>
    <t>Q4051</t>
  </si>
  <si>
    <t>SPLINT SUPPLIES, MISCELLANEOUS (INCLUDES THERMOPLASTICS, STRAPPING, FASTENERS, PADDING AND OTHER SUPPLIES)</t>
  </si>
  <si>
    <t>Wytex Sterile Undercast Padding 6 x 4 yd.</t>
  </si>
  <si>
    <t>PADDING, UNDERCAST, 4 YDX6 IN, COTTON, STERILE, WYTEX</t>
  </si>
  <si>
    <t>PADDING, UNDERCAST, WYTEX, 6INX4YD, COTTON, STERILE</t>
  </si>
  <si>
    <t>PAD, UNDERCAST, WYTEX, 6INX4YD, COTTON, STRL</t>
  </si>
  <si>
    <t>PADDING, UNDERCAST, 6INX4YD, STRL</t>
  </si>
  <si>
    <t>PADDING</t>
  </si>
  <si>
    <t>UNDERCAST</t>
  </si>
  <si>
    <t>6INX4YD</t>
  </si>
  <si>
    <t>4 YDX6 IN</t>
  </si>
  <si>
    <t>COTTON</t>
  </si>
  <si>
    <t>STERILE</t>
  </si>
  <si>
    <t>https://punchout.medline.com/sku/item/MDPDYNJ066006;ecomsessionid=TXYOkHqPaESnRWNrXR09OMOt4hTB3sdFKDJ_U1VK.OCA03-b2b?skuIndex=S7&amp;question=&amp;flowType=&amp;indexCount=</t>
  </si>
  <si>
    <t>42221604  Intravenous or arterial tubing adapter or connector</t>
  </si>
  <si>
    <t>Neutron 0.06</t>
  </si>
  <si>
    <t>CONNECTOR, INFUSION, 0.10 IN, INTRAVENOUS, MALE LUER LOCK, NEEDLE FREE ADAPTER, CLAVE TECHNOLOGY, STERILE, NEUTRON</t>
  </si>
  <si>
    <t>CONNECTOR, INFUSION, NEUTRON, 0.10IN, INTRAVENOUS, MALE LUER LOCK, NEEDLE FREE ADAPTER, CLAVE TECHNOLOGY, STERILE</t>
  </si>
  <si>
    <t>CONN, INFSN, NEUTRON, 0.10IN, IV, MALE LUER LCK, NDL FREE ADPTR, CLAVE TECHNOLOGY, STRL</t>
  </si>
  <si>
    <t>CONN, INFSN, NEUTRON, 0.10IN, IV</t>
  </si>
  <si>
    <t>CONNECTOR</t>
  </si>
  <si>
    <t>INFUSION</t>
  </si>
  <si>
    <t>NEUTRON</t>
  </si>
  <si>
    <t>0.10IN</t>
  </si>
  <si>
    <t>0.10 IN</t>
  </si>
  <si>
    <t>INTRAVENOUS</t>
  </si>
  <si>
    <t>MALE LUER LOCK, NEEDLE FREE ADAPTER, CLAVE TECHNOLOGY</t>
  </si>
  <si>
    <t>https://www.icumed.com/media/14634/p21-5201-iv-consumables-nicu-picu-catalog_v10_web.pdf</t>
  </si>
  <si>
    <t>42231807  Nursing bottle nipples</t>
  </si>
  <si>
    <t>Narrow Level T Nipple With Collar</t>
  </si>
  <si>
    <t>NIPPLE, BOTTLE, T, STANDARD, INFANT, NEWBORN, 6.7X6.7X5.4 IN, NARROW LEVEL, WITH COLLAR, SILICONE</t>
  </si>
  <si>
    <t>NIPPLE, BOTTLE, STANDARD, INFANT, NEWBORN, 6.7X5.4X6.7IN, SILICONE, T, NARROW LEVEL, WITH COLLAR</t>
  </si>
  <si>
    <t>NIPPLE, BTL, STD, INFANT, NUBRN, 6.7X5.4X6.7IN, SIL, T, NAR LVL, W/ COLR</t>
  </si>
  <si>
    <t>NIPPLE, BTL, STD, 6.7X5.4X6.7IN</t>
  </si>
  <si>
    <t>NIPPLE</t>
  </si>
  <si>
    <t>T</t>
  </si>
  <si>
    <t>STANDARD, INFANT, NEWBORN</t>
  </si>
  <si>
    <t>STANDARD</t>
  </si>
  <si>
    <t>INFANT, NEWBORN</t>
  </si>
  <si>
    <t>6.7X5.4X6.7IN</t>
  </si>
  <si>
    <t>6.7X6.7X5.4 IN</t>
  </si>
  <si>
    <t>SILICONE</t>
  </si>
  <si>
    <t>T, NARROW LEVEL, WITH COLLAR</t>
  </si>
  <si>
    <t>NARROW LEVEL, WITH COLLAR</t>
  </si>
  <si>
    <t>https://www.drbrownsmedical.com/wp-content/uploads/2016/08/SS_F1_All-Narrow-Nipples_PROOF.pdf</t>
  </si>
  <si>
    <t>42221616  Intravenous or arterial tubing extension sets</t>
  </si>
  <si>
    <t>IV TUBING EXTENSION SET</t>
  </si>
  <si>
    <t>SET EXTENSION IV 90IN SMALLBORE BIFUSE W/2 ANTI-SIPHON VALVES 2 CLAMPS LUER LOCK DEHP-FREE LATEX-FREE</t>
  </si>
  <si>
    <t>EXTENSION SET, SMALL BORE, 90 IN, BIFUSE, 2 ANTI-SIPHON VALVE, CLAMP, LUER LOCK, LATEX-FREE</t>
  </si>
  <si>
    <t>SET, EXTENSION, 90IN, BIFUSE, SMALL BORE, 2 ANTI-SIPHON VALVE, CLAMP, LUER LOCK, LATEX FREE</t>
  </si>
  <si>
    <t>SET, EXTSN, 90IN, BIFUSE, SM BORE, 2 ANTI-SIPHON VALVE, CLP, LL, LTXFREE</t>
  </si>
  <si>
    <t>SET, EXTSN, 90IN, BIFUSE, SM BORE</t>
  </si>
  <si>
    <t>SET</t>
  </si>
  <si>
    <t>EXTENSION SET</t>
  </si>
  <si>
    <t>EXTENSION</t>
  </si>
  <si>
    <t>SMALL BORE</t>
  </si>
  <si>
    <t>90IN</t>
  </si>
  <si>
    <t>90 IN</t>
  </si>
  <si>
    <t>BIFUSE, SMALL BORE, 2 ANTI-SIPHON VALVE, CLAMP, LUER LOCK</t>
  </si>
  <si>
    <t>BIFUSE, 2 ANTI-SIPHON VALVE, CLAMP, LUER LOCK</t>
  </si>
  <si>
    <t>LATEX FREE</t>
  </si>
  <si>
    <t>https://www.ciamedical.com/icu-medical-b2119-case-set-extension-iv-90in-smallbore-bifuse-w-2-anti-siphon-valves-2-clamps-luer-lock-dehp-free-latex-</t>
  </si>
  <si>
    <t>42141504  Medicated applicators or absorbents or swabstick</t>
  </si>
  <si>
    <t>Benzoin Tincture Swabstick Sterile</t>
  </si>
  <si>
    <t>SWABSTICK, MEDICATED, STRIP, SKIN, COMPOUND BENZOIN TINCTURE, STERILE, LATEX-FREE</t>
  </si>
  <si>
    <t>SWABSTICK, MEDICATED, COMPOUND BENZOIN TINCTURE, SKIN, STRIP, STERILE, LATEX FREE</t>
  </si>
  <si>
    <t>SWABSTICK, MDCTD, COMPOUND BENZOIN TINCTURE, SKIN, STRIP, STRL, LTXFREE</t>
  </si>
  <si>
    <t>SWABSTICK, MDCTD, BENZOIN, SKIN</t>
  </si>
  <si>
    <t>SWABSTICK</t>
  </si>
  <si>
    <t>MEDICATED</t>
  </si>
  <si>
    <t>STRIP</t>
  </si>
  <si>
    <t>COMPOUND BENZOIN TINCTURE</t>
  </si>
  <si>
    <t>SKIN</t>
  </si>
  <si>
    <t>https://punchout.medline.com/sku/item/MDPAPLS1106</t>
  </si>
  <si>
    <t>42311553  Medical or surgical stockinette</t>
  </si>
  <si>
    <t>Impervious Stockinette White/Blue 9x48</t>
  </si>
  <si>
    <t>STOCKINETTE, IMPERVIOUS, MEDIUM, 48X9 IN, COTTON, WHITE, BLUE, STERILE, LATEX-FREE, DISPOSABLE</t>
  </si>
  <si>
    <t>STOCKINETTE, IMPERVIOUS, MEDIUM, 9X48IN, COTTON, WHITE, BLUE, STERILE, LATEX FREE, DISPOSABLE</t>
  </si>
  <si>
    <t>STOCKINETTE, IMPERV, MED, 9X48IN, COTTON, WHT, BLUE, STRL, LTXFREE, DISP</t>
  </si>
  <si>
    <t>STOCKINETTE, IMPERV, MED, 9X48IN</t>
  </si>
  <si>
    <t>STOCKINETTE</t>
  </si>
  <si>
    <t>IMPERVIOUS</t>
  </si>
  <si>
    <t>MEDIUM</t>
  </si>
  <si>
    <t>9X48IN</t>
  </si>
  <si>
    <t>48X9 IN</t>
  </si>
  <si>
    <t>WHITE, BLUE</t>
  </si>
  <si>
    <t>DISPOSABLE</t>
  </si>
  <si>
    <t>https://www.henryschein.com/us-en/Shopping/ProductDetails.aspx?productid=3717005&amp;cdivId=specialmarkets_d&amp;name=Stockinette%20Impervious%20Cotton%209x48&amp;quot;%20White/Blue%20LF%20Strl%2012/CS&amp;ShowProductCompare=true&amp;FullPageMode=true</t>
  </si>
  <si>
    <t>42271709  Medical nasal cannulas</t>
  </si>
  <si>
    <t>A4615</t>
  </si>
  <si>
    <t>CANNULA, NASAL</t>
  </si>
  <si>
    <t>Microstream CapnoLine O2 adult 4m</t>
  </si>
  <si>
    <t>CANNULA, NASAL, O2, ADULT, 4 MR, MICROSTREAM, CAPNOLINE, FILTERLINE</t>
  </si>
  <si>
    <t>CANNULA, NASAL, MICROSTREAM, CAPNOLINE, FILTERLINE, ADULT, 4MR, O2</t>
  </si>
  <si>
    <t>CANN, NASAL, MCRSTRM, CAPNOLINE, FILTERLINE, ADLT, 4MR, O2</t>
  </si>
  <si>
    <t>CANNULA, NASAL, MCRSTRM, ADLT, 4MR</t>
  </si>
  <si>
    <t>CANNULA</t>
  </si>
  <si>
    <t>NASAL</t>
  </si>
  <si>
    <t>MICROSTREAM, CAPNOLINE, FILTERLINE</t>
  </si>
  <si>
    <t>O2</t>
  </si>
  <si>
    <t>ADULT</t>
  </si>
  <si>
    <t>4MR</t>
  </si>
  <si>
    <t>4 MR</t>
  </si>
  <si>
    <t>https://www.philips.co.uk/healthcare/product/HC989803179111/microstream-capnoline-o2-adult-4m-capnography</t>
  </si>
  <si>
    <t>42241801  Arm orthopedic softgoods</t>
  </si>
  <si>
    <t>Procare Armboard Pad Arm Foam 16x7.5x1.75</t>
  </si>
  <si>
    <t>PAD, ARMBOARD, 16X7.5X1.75 IN, ARM, SUPPORT, FOAM, BLUE, NON STERILE, PROCARE, REUSABLE</t>
  </si>
  <si>
    <t>PAD, ARMBOARD, PROCARE, 7.5X1.75X16IN, FOAM, ARM, BLUE, SUPPORT, NON STERILE, REUSABLE</t>
  </si>
  <si>
    <t>PAD, ARMBOARD, PRCRE, 7.5X1.75X16IN, FOAM, ARM, BLUE, SPPRT, NON STRL, REUSE</t>
  </si>
  <si>
    <t>PAD, ARMBOARD, 7.5X1.75X16IN</t>
  </si>
  <si>
    <t>PAD</t>
  </si>
  <si>
    <t>ARMBOARD</t>
  </si>
  <si>
    <t>7.5X1.75X16IN</t>
  </si>
  <si>
    <t>16X7.5X1.75 IN</t>
  </si>
  <si>
    <t>FOAM</t>
  </si>
  <si>
    <t>ARM</t>
  </si>
  <si>
    <t>BLUE</t>
  </si>
  <si>
    <t>SUPPORT</t>
  </si>
  <si>
    <t>NON STERILE</t>
  </si>
  <si>
    <t>REUSABLE</t>
  </si>
  <si>
    <t>https://www.henryschein.com/us-en/Search.aspx?searchkeyWord=79-90820</t>
  </si>
  <si>
    <t>42311524  Petrolatum dressings</t>
  </si>
  <si>
    <t>Adaptic Cellulose Acetate Wound Contact Layer Dressing 3x8 Non-Adherent</t>
  </si>
  <si>
    <t>DRESSING, PETROLATUM, NON ADHESIVE, 8X3 IN, WOUND, CONTACT LAYER, OIL EMULSION, FABRIC GAUZE, CELLULOSE ACETATE, STERILE, ADAPTIC</t>
  </si>
  <si>
    <t>DRESSING, PETROLATUM, ADAPTIC, 3X8IN, CELLULOSE ACETATE, NON ADHESIVE, WOUND, CONTACT LAYER, OIL EMULSION, FABRIC GAUZE, STERILE</t>
  </si>
  <si>
    <t>DRSG, PETRO, ADPTC, 3X8IN, CELLULOSE ACETATE, NON ADH, WND, CNTCT LAYER, OIL EMULSION, FABRIC GAUZE, STRL</t>
  </si>
  <si>
    <t>DRESSING, PETRO, ADPTC, 3X8IN</t>
  </si>
  <si>
    <t>DRESSING</t>
  </si>
  <si>
    <t>PETROLATUM</t>
  </si>
  <si>
    <t>ADAPTIC</t>
  </si>
  <si>
    <t>NON ADHESIVE</t>
  </si>
  <si>
    <t>3X8IN</t>
  </si>
  <si>
    <t>8X3 IN</t>
  </si>
  <si>
    <t>CELLULOSE ACETATE</t>
  </si>
  <si>
    <t>NON ADHESIVE, WOUND, CONTACT LAYER, OIL EMULSION, FABRIC GAUZE</t>
  </si>
  <si>
    <t>WOUND, CONTACT LAYER, OIL EMULSION, FABRIC GAUZE</t>
  </si>
  <si>
    <t>36/CT</t>
  </si>
  <si>
    <t>https://www.henryschein.com/us-en/medical/p/medical-surgical-supplies/wound-care/adaptic-dressing-sterile/1400933</t>
  </si>
  <si>
    <t>42295414  Surgical specialty procedure packs</t>
  </si>
  <si>
    <t>A4550</t>
  </si>
  <si>
    <t>SURGICAL TRAYS</t>
  </si>
  <si>
    <t>SURGICAL PROCEDURE PACK, ANESTHESIA, CIRCUIT, ORMC</t>
  </si>
  <si>
    <t>PACK, SURGICAL PROCEDURE, ANESTHESIA, CIRCUIT, ORMC</t>
  </si>
  <si>
    <t>PK, SURG PROC, ANES, CRCT, ORMC</t>
  </si>
  <si>
    <t>PACK, SURG PROC, ANES, CRCT, ORMC</t>
  </si>
  <si>
    <t>PACK</t>
  </si>
  <si>
    <t>SURGICAL PROCEDURE PACK</t>
  </si>
  <si>
    <t>SURGICAL PROCEDURE</t>
  </si>
  <si>
    <t>ANESTHESIA</t>
  </si>
  <si>
    <t>ANESTHESIA, CIRCUIT, ORMC</t>
  </si>
  <si>
    <t>CIRCUIT, ORMC</t>
  </si>
  <si>
    <t>URL NOT FOUND</t>
  </si>
  <si>
    <t>41116215  Glucose test monitor or meter accessories</t>
  </si>
  <si>
    <t>Henry Schein TRUE METRIX Pro Blood Glucose Test Strip CLIA Waived</t>
  </si>
  <si>
    <t>STRIP, GLUCOSE TEST, CLIA WAIVED, TRUE METRIX PRO</t>
  </si>
  <si>
    <t>STRIP, GLUCOSE TEST, TRUE METRIX PRO, CLIA WAIVED</t>
  </si>
  <si>
    <t>STRIP, GLUCOSE TEST, TRUE METRIX</t>
  </si>
  <si>
    <t>GLUCOSE TEST</t>
  </si>
  <si>
    <t>TRUE METRIX PRO</t>
  </si>
  <si>
    <t>CLIA WAIVED</t>
  </si>
  <si>
    <t>50/BX</t>
  </si>
  <si>
    <t>https://www.henryschein.com/us-en/Search.aspx?searchkeyWord=R3099P-450</t>
  </si>
  <si>
    <t>42203445  Thrombectomy or embolectomy catheter sets</t>
  </si>
  <si>
    <t>JETi Sterile Kit 8Fr (100 cm)</t>
  </si>
  <si>
    <t>THROMBECTOMY KIT, 8 FRX100 CM, CATHETER, PUMP SET, SUCTION TUBING, ALL IN ONE, STERILE, JETI, DISPOSABLE</t>
  </si>
  <si>
    <t>KIT, THROMBECTOMY, JETI, 8FRX100CM, CATHETER, PUMP SET, SUCTION TUBING, ALL IN ONE, STERILE, DISPOSABLE</t>
  </si>
  <si>
    <t>KIT, THROMB, JETI, 8FRX100CM, CATH, PUMP SET, SUCT TBNG, ALL IN ONE, STRL, DISP</t>
  </si>
  <si>
    <t>KIT, THROMB, JETI, 8FRX100CM, CATH</t>
  </si>
  <si>
    <t>KIT</t>
  </si>
  <si>
    <t>THROMBECTOMY KIT</t>
  </si>
  <si>
    <t>THROMBECTOMY</t>
  </si>
  <si>
    <t>8FRX100CM</t>
  </si>
  <si>
    <t>8 FRX100 CM</t>
  </si>
  <si>
    <t>CATHETER, PUMP SET, SUCTION TUBING, ALL IN ONE</t>
  </si>
  <si>
    <t>https://www.cardiovascular.abbott/us/en/hcp/products/peripheral-intervention/jeti-peripheral-thrombectomy-device/ordering-information.html</t>
  </si>
  <si>
    <t>42231801  Adult supplemental formulas or bars or puddings for general use</t>
  </si>
  <si>
    <t>ProT Gold Liquid Protein Berry 1 oz.</t>
  </si>
  <si>
    <t>FORMULA, SUPPLEMENTAL, LIQUID PROTEIN, 1 OZ, BERRY, PROT GOLD, LATEX-FREE</t>
  </si>
  <si>
    <t>FORMULA, SUPPLEMENTAL, PROT GOLD, 1 OZ, LIQUID PROTEIN, BERRY, LATEX FREE</t>
  </si>
  <si>
    <t>FMLA, SUPPL, PROT GOLD, 1 OZ, LIQUID PROTEIN, BERRY, LTXFREE</t>
  </si>
  <si>
    <t>FORMULA, SUPPL, PROT GOLD, 1 OZ</t>
  </si>
  <si>
    <t>FORMULA</t>
  </si>
  <si>
    <t>SUPPLEMENTAL</t>
  </si>
  <si>
    <t>PROT GOLD</t>
  </si>
  <si>
    <t>LIQUID PROTEIN</t>
  </si>
  <si>
    <t>1 OZ</t>
  </si>
  <si>
    <t>BERRY</t>
  </si>
  <si>
    <t>https://punchout.medline.com/sku/item/MDPOPAOTGB241OZ</t>
  </si>
  <si>
    <t>42312315  Pulsed lavage system accessories for wound treatment</t>
  </si>
  <si>
    <t>InterPulse Handpiece with suction and Coaxial Bone Cleaning Tip</t>
  </si>
  <si>
    <t>HANDPIECE, IRRIGATION, COAXIAL, KIT, WITH SUCTION TUBE, BATTERY POWERED, FOR BONE CLEANING TIP, INTERPULSE</t>
  </si>
  <si>
    <t>HANDPIECE, IRRIGATION, INTERPULSE, COAXIAL, KIT, WITH SUCTION TUBE, BATTERY POWERED, FOR BONE CLEANING TIP</t>
  </si>
  <si>
    <t>HNDPC, IRRGTN, INTPLS, COAXIAL, KIT, W/ SUCT TUBE, BATT POWERED, FOR BN CLNG TIP</t>
  </si>
  <si>
    <t>HANDPIECE, IRRGTN, INTPLS, SUCT</t>
  </si>
  <si>
    <t>HANDPIECE</t>
  </si>
  <si>
    <t>IRRIGATION</t>
  </si>
  <si>
    <t>COAXIAL</t>
  </si>
  <si>
    <t>COAXIAL, KIT, WITH SUCTION TUBE, BATTERY POWERED, FOR BONE CLEANING TIP</t>
  </si>
  <si>
    <t>KIT, WITH SUCTION TUBE, BATTERY POWERED, FOR BONE CLEANING TIP</t>
  </si>
  <si>
    <t>https://grupoeee.com/cms_grupoeee/assets/pdf/productos/interpulse-para-limpieza-de-canal-femoral-stryker-kiv.pdf</t>
  </si>
  <si>
    <t>Potential Duplicate Across Consolidated, Ref Id 566375</t>
  </si>
  <si>
    <t>42311527  Transparent film dressings</t>
  </si>
  <si>
    <t>TRANSPARENT FILM, STERILE, 16 SQ. IN. OR LESS, EACH DRESSING</t>
  </si>
  <si>
    <t>Tegaderm CHG Chlorhexidine Gluconate Gel Pad</t>
  </si>
  <si>
    <t>DRESSING, TRANSPARENT, IV SECUREMENT, 6.2X4.9 CM, 3X3 CM, GEL PAD, ANTIMICROBIAL, BREATHABILITY, CHLORHEXIDINE GLUCONATE, TEGADERM, LATEX-FREE</t>
  </si>
  <si>
    <t>DRESSING, TRANSPARENT, TEGADERM, 4.9X6.2CM, 3X3CM, CHLORHEXIDINE GLUCONATE, IV SECUREMENT, GEL PAD, ANTIMICROBIAL, BREATHABILITY, LATEX FREE</t>
  </si>
  <si>
    <t>DRSG, TRANSP, TGDRM, 4.9X6.2CM, 3X3CM, CHLORHEXIDINE GLUCONATE, IV SECRMNT, GEL PAD, ANTIMIC, BREATHABILITY, LTXFREE</t>
  </si>
  <si>
    <t>DRESSING, TRANSP, 4.9X6.2CM, 3CM</t>
  </si>
  <si>
    <t>TRANSPARENT</t>
  </si>
  <si>
    <t>IV SECUREMENT</t>
  </si>
  <si>
    <t>4.9X6.2CM</t>
  </si>
  <si>
    <t>6.2X4.9 CM</t>
  </si>
  <si>
    <t>3X3CM</t>
  </si>
  <si>
    <t>3X3 CM</t>
  </si>
  <si>
    <t>CHLORHEXIDINE GLUCONATE</t>
  </si>
  <si>
    <t>IV SECUREMENT, GEL PAD, ANTIMICROBIAL, BREATHABILITY</t>
  </si>
  <si>
    <t>GEL PAD, ANTIMICROBIAL, BREATHABILITY</t>
  </si>
  <si>
    <t>https://multimedia.3m.com/mws/media/1888626O/ttps-multimedia-3m-com-mws-media-587466o-tegaderm-chg-dressing-evaluation-of-gel-pad-dressing-pdf.pdf</t>
  </si>
  <si>
    <t>Tegaderm CHG Chlorhexidine Gluconate I.V. Securement Dressing</t>
  </si>
  <si>
    <t>DRESSING, TRANSPARENT, IV SECUREMENT, 8.5X7 CM, GEL PAD, ANTIMICROBIAL, BREATHABILITY, CHLORHEXIDINE GLUCONATE, TEGADERM, LATEX-FREE</t>
  </si>
  <si>
    <t>DRESSING, TRANSPARENT, TEGADERM, 7X8.5CM, CHLORHEXIDINE GLUCONATE, IV SECUREMENT, GEL PAD, ANTIMICROBIAL, BREATHABILITY, LATEX FREE</t>
  </si>
  <si>
    <t>DRSG, TRANSP, TGDRM, 7X8.5CM, CHLORHEXIDINE GLUCONATE, IV SECRMNT, GEL PAD, ANTIMIC, BREATHABILITY, LTXFREE</t>
  </si>
  <si>
    <t>DRESSING, TRANSP, TGDRM, 7X8.5CM</t>
  </si>
  <si>
    <t>7X8.5CM</t>
  </si>
  <si>
    <t>8.5X7 CM</t>
  </si>
  <si>
    <t>https://www.3m.com/3M/en_US/p/d/b00035615/</t>
  </si>
  <si>
    <t>JETi Non-Sterile Disposable Accessory Kit</t>
  </si>
  <si>
    <t>THROMBECTOMY KIT, ACCESSORY, ALL IN ONE, NON STERILE, JETI, DISPOSABLE</t>
  </si>
  <si>
    <t>KIT, THROMBECTOMY, JETI, ACCESSORY, ALL IN ONE, NON STERILE, DISPOSABLE</t>
  </si>
  <si>
    <t>KIT, THROMB, JETI, ACCSRY, ALL IN ONE, NON STRL, DISP</t>
  </si>
  <si>
    <t>KIT, THROMB, JETI, ACCSRY, DISP</t>
  </si>
  <si>
    <t>ACCESSORY, ALL IN ONE</t>
  </si>
  <si>
    <t>JETi Sterile Kit 6Fr (120 cm)</t>
  </si>
  <si>
    <t>THROMBECTOMY KIT, 6 FRX120 CM, CATHETER, PUMP SET, SUCTION TUBING, ALL IN ONE, STERILE, JETI, DISPOSABLE</t>
  </si>
  <si>
    <t>KIT, THROMBECTOMY, JETI, 6FRX120CM, CATHETER, PUMP SET, SUCTION TUBING, ALL IN ONE, STERILE, DISPOSABLE</t>
  </si>
  <si>
    <t>KIT, THROMB, JETI, 6FRX120CM, CATH, PUMP SET, SUCT TBNG, ALL IN ONE, STRL, DISP</t>
  </si>
  <si>
    <t>KIT, THROMB, JETI, 6FRX120CM, CATH</t>
  </si>
  <si>
    <t>6FRX120CM</t>
  </si>
  <si>
    <t>6 FRX120 CM</t>
  </si>
  <si>
    <t>42211503  Positioning devices</t>
  </si>
  <si>
    <t>POSITIONING CUSHION/PILLOW/WEDGE, ANY SHAPE OR SIZE, INCLUDES ALL COMPONENTS AND ACCESSORIES</t>
  </si>
  <si>
    <t>Positioning Cradle 24x5x3</t>
  </si>
  <si>
    <t>CRADLE, POSITIONING, 24X5X3 IN, PRONE ARM, ARMBOARD, FOAM, PURPLE, LATEX-FREE, DISPOSABLE</t>
  </si>
  <si>
    <t>CRADLE, POSITIONING, 5X3X24IN, FOAM, PRONE ARM, PURPLE, ARMBOARD, LATEX FREE, DISPOSABLE</t>
  </si>
  <si>
    <t>CRADLE, PSTNG, 5X3X24IN, FOAM, PRONE ARM, PRPL, ARMBOARD, LTXFREE, DISP</t>
  </si>
  <si>
    <t>CRADLE, PSTNG, 5X3X24IN, FOAM, ARM</t>
  </si>
  <si>
    <t>CRADLE</t>
  </si>
  <si>
    <t>POSITIONING</t>
  </si>
  <si>
    <t>5X3X24IN</t>
  </si>
  <si>
    <t>24X5X3 IN</t>
  </si>
  <si>
    <t>PRONE ARM</t>
  </si>
  <si>
    <t>PURPLE</t>
  </si>
  <si>
    <t>https://www.henryschein.com/us-en/Search.aspx?searchkeyWord=NON081344</t>
  </si>
  <si>
    <t>42295111  Operating room patient positioning devices for general use</t>
  </si>
  <si>
    <t>Body Alignment Square Foam Positioner</t>
  </si>
  <si>
    <t>POSITIONER, PATIENT, SQUARE, 7X7X1 IN, BODY ALIGNMENT, FOAM, DEVON, LATEX-FREE</t>
  </si>
  <si>
    <t>POSITIONER, PATIENT, DEVON, 7X1X7IN, FOAM, SQUARE, BODY ALIGNMENT, LATEX FREE</t>
  </si>
  <si>
    <t>PSTNR, PT, DEVON, 7X1X7IN, FOAM, SQ, BODY ALGNMT, LTXFREE</t>
  </si>
  <si>
    <t>POSITIONER, PT, DEVON, 7X1X7IN, SQ</t>
  </si>
  <si>
    <t>POSITIONER</t>
  </si>
  <si>
    <t>PATIENT</t>
  </si>
  <si>
    <t>SQUARE</t>
  </si>
  <si>
    <t>7X1X7IN</t>
  </si>
  <si>
    <t>7X7X1 IN</t>
  </si>
  <si>
    <t>SQUARE, BODY ALIGNMENT</t>
  </si>
  <si>
    <t>BODY ALIGNMENT</t>
  </si>
  <si>
    <t>https://punchout.medline.com/sku/item/MDPBXTFPFMSQ7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</si>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</sst>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quotePrefix="1" applyFont="1" applyAlignment="1">
      <alignment horizontal="left"/>
    </xf>
    <xf numFmtId="0" fontId="8" fillId="0" borderId="1" xfId="0" quotePrefix="1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1.42578125" style="1" customWidth="1"/>
    <col min="21" max="21" width="16.28515625" style="1" customWidth="1"/>
    <col min="22" max="22" width="32.42578125" style="1" customWidth="1"/>
    <col min="23" max="23" width="15.85546875" style="1" customWidth="1"/>
    <col min="24" max="24" width="17.42578125" style="1" customWidth="1"/>
    <col min="25" max="25" width="14.855468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.85546875" style="1" customWidth="1"/>
    <col min="32" max="32" width="17.85546875" style="1" customWidth="1"/>
    <col min="33" max="34" width="120.5703125" style="1" customWidth="1"/>
    <col min="35" max="35" width="13.140625" style="1" customWidth="1"/>
    <col min="36" max="36" width="8.140625" style="1" customWidth="1"/>
    <col min="37" max="37" width="13.425781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169</v>
      </c>
      <c r="B1" s="3" t="s">
        <v>34</v>
      </c>
      <c r="C1" s="2" t="s">
        <v>122</v>
      </c>
      <c r="D1" s="2" t="s">
        <v>271</v>
      </c>
      <c r="E1" s="2" t="s">
        <v>78</v>
      </c>
      <c r="F1" s="2" t="s">
        <v>248</v>
      </c>
      <c r="G1" s="2" t="s">
        <v>157</v>
      </c>
      <c r="H1" s="2" t="s">
        <v>145</v>
      </c>
      <c r="I1" s="2" t="s">
        <v>31</v>
      </c>
      <c r="J1" s="2" t="s">
        <v>158</v>
      </c>
      <c r="K1" s="2" t="s">
        <v>103</v>
      </c>
      <c r="L1" s="2" t="s">
        <v>115</v>
      </c>
      <c r="M1" s="2" t="s">
        <v>129</v>
      </c>
      <c r="N1" s="2" t="s">
        <v>73</v>
      </c>
      <c r="O1" s="2" t="s">
        <v>120</v>
      </c>
      <c r="P1" s="4" t="s">
        <v>130</v>
      </c>
      <c r="Q1" s="4" t="s">
        <v>99</v>
      </c>
      <c r="R1" s="5" t="s">
        <v>8</v>
      </c>
      <c r="S1" s="5" t="s">
        <v>209</v>
      </c>
      <c r="T1" s="5" t="s">
        <v>136</v>
      </c>
      <c r="U1" s="5" t="s">
        <v>43</v>
      </c>
      <c r="V1" s="5" t="s">
        <v>132</v>
      </c>
      <c r="W1" s="5" t="s">
        <v>30</v>
      </c>
      <c r="X1" s="6" t="s">
        <v>179</v>
      </c>
      <c r="Y1" s="5" t="s">
        <v>165</v>
      </c>
      <c r="Z1" s="6" t="s">
        <v>116</v>
      </c>
      <c r="AA1" s="7" t="s">
        <v>229</v>
      </c>
      <c r="AB1" s="7" t="s">
        <v>32</v>
      </c>
      <c r="AC1" s="8" t="s">
        <v>96</v>
      </c>
      <c r="AD1" s="7" t="s">
        <v>166</v>
      </c>
      <c r="AE1" s="5" t="s">
        <v>140</v>
      </c>
      <c r="AF1" s="9" t="s">
        <v>106</v>
      </c>
      <c r="AG1" s="10" t="s">
        <v>77</v>
      </c>
      <c r="AH1" s="10" t="s">
        <v>247</v>
      </c>
      <c r="AI1" s="10" t="s">
        <v>208</v>
      </c>
      <c r="AJ1" s="10" t="s">
        <v>237</v>
      </c>
      <c r="AK1" s="10" t="s">
        <v>15</v>
      </c>
      <c r="AL1" s="6" t="s">
        <v>51</v>
      </c>
      <c r="AM1" s="11" t="s">
        <v>203</v>
      </c>
      <c r="AN1" s="11" t="s">
        <v>69</v>
      </c>
      <c r="AO1" s="12" t="s">
        <v>27</v>
      </c>
      <c r="AP1" s="12" t="s">
        <v>231</v>
      </c>
      <c r="AQ1" s="6" t="s">
        <v>53</v>
      </c>
      <c r="AR1" s="6" t="s">
        <v>174</v>
      </c>
      <c r="AS1" s="6" t="s">
        <v>238</v>
      </c>
      <c r="AT1" s="6" t="s">
        <v>35</v>
      </c>
      <c r="AU1" s="13" t="s">
        <v>119</v>
      </c>
      <c r="AV1" s="14" t="s">
        <v>225</v>
      </c>
      <c r="AW1" s="15" t="s">
        <v>207</v>
      </c>
      <c r="AX1" s="14" t="s">
        <v>114</v>
      </c>
      <c r="AY1" s="15" t="s">
        <v>185</v>
      </c>
      <c r="AZ1" s="14" t="s">
        <v>216</v>
      </c>
      <c r="BA1" s="15" t="s">
        <v>197</v>
      </c>
      <c r="BB1" s="15" t="s">
        <v>143</v>
      </c>
      <c r="BC1" s="14" t="s">
        <v>172</v>
      </c>
      <c r="BD1" s="15" t="s">
        <v>10</v>
      </c>
      <c r="BE1" s="15" t="s">
        <v>234</v>
      </c>
      <c r="BF1" s="14" t="s">
        <v>37</v>
      </c>
      <c r="BG1" s="15" t="s">
        <v>148</v>
      </c>
      <c r="BH1" s="14" t="s">
        <v>242</v>
      </c>
      <c r="BI1" s="15" t="s">
        <v>134</v>
      </c>
      <c r="BJ1" s="14" t="s">
        <v>80</v>
      </c>
      <c r="BK1" s="15" t="s">
        <v>63</v>
      </c>
      <c r="BL1" s="15" t="s">
        <v>224</v>
      </c>
      <c r="BM1" s="14" t="s">
        <v>28</v>
      </c>
      <c r="BN1" s="15" t="s">
        <v>181</v>
      </c>
      <c r="BO1" s="14" t="s">
        <v>22</v>
      </c>
      <c r="BP1" s="15" t="s">
        <v>211</v>
      </c>
      <c r="BQ1" s="14" t="s">
        <v>189</v>
      </c>
      <c r="BR1" s="14" t="s">
        <v>243</v>
      </c>
      <c r="BS1" s="15" t="s">
        <v>245</v>
      </c>
      <c r="BT1" s="14" t="s">
        <v>2</v>
      </c>
      <c r="BU1" s="14" t="s">
        <v>57</v>
      </c>
      <c r="BV1" s="14" t="s">
        <v>144</v>
      </c>
      <c r="BW1" s="15" t="s">
        <v>264</v>
      </c>
      <c r="BX1" s="14" t="s">
        <v>257</v>
      </c>
      <c r="BY1" s="16" t="s">
        <v>60</v>
      </c>
      <c r="BZ1" s="17" t="s">
        <v>254</v>
      </c>
      <c r="CA1" s="17" t="s">
        <v>45</v>
      </c>
      <c r="CB1" s="17" t="s">
        <v>149</v>
      </c>
      <c r="CC1" s="7" t="s">
        <v>81</v>
      </c>
      <c r="CD1" s="18" t="s">
        <v>50</v>
      </c>
      <c r="CE1" s="18" t="s">
        <v>270</v>
      </c>
      <c r="CF1" s="18" t="s">
        <v>256</v>
      </c>
      <c r="CG1" s="1" t="s">
        <v>175</v>
      </c>
    </row>
    <row r="2" spans="1:85" ht="12" customHeight="1" x14ac:dyDescent="0.25">
      <c r="A2" s="19" t="s">
        <v>117</v>
      </c>
      <c r="B2" s="19" t="s">
        <v>161</v>
      </c>
      <c r="C2" t="s">
        <v>244</v>
      </c>
      <c r="D2" s="20" t="s">
        <v>276</v>
      </c>
      <c r="E2" t="s">
        <v>244</v>
      </c>
      <c r="F2" s="20" t="s">
        <v>279</v>
      </c>
      <c r="G2" s="19" t="s">
        <v>52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98</v>
      </c>
      <c r="S2" t="s">
        <v>135</v>
      </c>
      <c r="T2" t="s">
        <v>55</v>
      </c>
      <c r="U2" t="s">
        <v>126</v>
      </c>
      <c r="V2" t="s">
        <v>206</v>
      </c>
      <c r="W2" t="s">
        <v>110</v>
      </c>
      <c r="X2" s="20" t="s">
        <v>55</v>
      </c>
      <c r="Y2" t="s">
        <v>126</v>
      </c>
      <c r="Z2" s="20" t="s">
        <v>126</v>
      </c>
      <c r="AA2" s="20" t="s">
        <v>206</v>
      </c>
      <c r="AB2" s="20" t="s">
        <v>126</v>
      </c>
      <c r="AC2" s="20" t="s">
        <v>126</v>
      </c>
      <c r="AD2" s="20" t="s">
        <v>289</v>
      </c>
      <c r="AE2" t="s">
        <v>39</v>
      </c>
      <c r="AF2" t="s">
        <v>105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s="20" t="s">
        <v>324</v>
      </c>
      <c r="AM2" s="20" t="s">
        <v>147</v>
      </c>
      <c r="AN2" s="20" t="s">
        <v>325</v>
      </c>
      <c r="AO2" s="20" t="s">
        <v>326</v>
      </c>
      <c r="AP2" s="20" t="s">
        <v>326</v>
      </c>
      <c r="AQ2" s="20" t="s">
        <v>327</v>
      </c>
      <c r="AR2" s="20" t="s">
        <v>328</v>
      </c>
      <c r="AS2" s="20" t="s">
        <v>329</v>
      </c>
      <c r="AT2" s="20" t="s">
        <v>330</v>
      </c>
      <c r="AU2" s="20">
        <f t="shared" ref="AU2:AU22" si="0">LEN(SUBSTITUTE(AT2, ", "," "))</f>
        <v>28</v>
      </c>
      <c r="AV2" s="21" t="s">
        <v>331</v>
      </c>
      <c r="AW2" s="21" t="s">
        <v>331</v>
      </c>
      <c r="AX2" s="21" t="s">
        <v>332</v>
      </c>
      <c r="AY2" s="21" t="s">
        <v>332</v>
      </c>
      <c r="AZ2" s="21" t="s">
        <v>333</v>
      </c>
      <c r="BA2" s="21" t="s">
        <v>333</v>
      </c>
      <c r="BB2" s="20"/>
      <c r="BC2" s="20"/>
      <c r="BD2" s="20"/>
      <c r="BE2" s="20"/>
      <c r="BF2" s="21" t="s">
        <v>334</v>
      </c>
      <c r="BG2" s="21" t="s">
        <v>335</v>
      </c>
      <c r="BH2" s="20"/>
      <c r="BI2" s="20"/>
      <c r="BJ2" s="21" t="s">
        <v>336</v>
      </c>
      <c r="BK2" s="21" t="s">
        <v>337</v>
      </c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 t="s">
        <v>338</v>
      </c>
      <c r="BZ2" s="20"/>
      <c r="CA2" s="20"/>
      <c r="CB2" s="20"/>
      <c r="CC2" s="20"/>
      <c r="CD2" s="20"/>
      <c r="CE2" s="20"/>
      <c r="CF2"/>
      <c r="CG2" s="1" t="s">
        <v>607</v>
      </c>
    </row>
    <row r="3" spans="1:85" ht="12" customHeight="1" x14ac:dyDescent="0.25">
      <c r="A3" s="19" t="s">
        <v>117</v>
      </c>
      <c r="B3" s="19" t="s">
        <v>161</v>
      </c>
      <c r="C3" t="s">
        <v>244</v>
      </c>
      <c r="D3" s="20" t="s">
        <v>276</v>
      </c>
      <c r="E3" t="s">
        <v>244</v>
      </c>
      <c r="F3" s="20" t="s">
        <v>279</v>
      </c>
      <c r="G3" s="19" t="s">
        <v>52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21</v>
      </c>
      <c r="S3" t="s">
        <v>178</v>
      </c>
      <c r="T3" t="s">
        <v>5</v>
      </c>
      <c r="U3" t="s">
        <v>91</v>
      </c>
      <c r="V3" t="s">
        <v>265</v>
      </c>
      <c r="W3" t="s">
        <v>110</v>
      </c>
      <c r="X3" s="20" t="s">
        <v>5</v>
      </c>
      <c r="Y3" t="s">
        <v>91</v>
      </c>
      <c r="Z3" s="20" t="s">
        <v>91</v>
      </c>
      <c r="AA3" s="20" t="s">
        <v>290</v>
      </c>
      <c r="AB3" s="20" t="s">
        <v>91</v>
      </c>
      <c r="AC3" s="20" t="s">
        <v>91</v>
      </c>
      <c r="AD3" s="20" t="s">
        <v>291</v>
      </c>
      <c r="AE3" t="s">
        <v>190</v>
      </c>
      <c r="AF3" t="s">
        <v>230</v>
      </c>
      <c r="AG3" t="s">
        <v>200</v>
      </c>
      <c r="AH3" t="s">
        <v>210</v>
      </c>
      <c r="AI3" t="s">
        <v>75</v>
      </c>
      <c r="AJ3" t="s">
        <v>62</v>
      </c>
      <c r="AK3" t="s">
        <v>94</v>
      </c>
      <c r="AL3" s="20" t="s">
        <v>339</v>
      </c>
      <c r="AM3" s="20" t="s">
        <v>340</v>
      </c>
      <c r="AN3" s="20" t="s">
        <v>341</v>
      </c>
      <c r="AO3" s="20" t="s">
        <v>342</v>
      </c>
      <c r="AP3" s="20" t="s">
        <v>342</v>
      </c>
      <c r="AQ3" s="20" t="s">
        <v>343</v>
      </c>
      <c r="AR3" s="20" t="s">
        <v>344</v>
      </c>
      <c r="AS3" s="20" t="s">
        <v>345</v>
      </c>
      <c r="AT3" s="20" t="s">
        <v>346</v>
      </c>
      <c r="AU3" s="20">
        <f t="shared" si="0"/>
        <v>30</v>
      </c>
      <c r="AV3" s="21" t="s">
        <v>347</v>
      </c>
      <c r="AW3" s="21" t="s">
        <v>347</v>
      </c>
      <c r="AX3" s="21" t="s">
        <v>348</v>
      </c>
      <c r="AY3" s="21" t="s">
        <v>348</v>
      </c>
      <c r="AZ3" s="21" t="s">
        <v>94</v>
      </c>
      <c r="BA3" s="21" t="s">
        <v>94</v>
      </c>
      <c r="BB3" s="20"/>
      <c r="BC3" s="20"/>
      <c r="BD3" s="20"/>
      <c r="BE3" s="20"/>
      <c r="BF3" s="21" t="s">
        <v>349</v>
      </c>
      <c r="BG3" s="21" t="s">
        <v>350</v>
      </c>
      <c r="BH3" s="20"/>
      <c r="BI3" s="20"/>
      <c r="BJ3" s="20"/>
      <c r="BK3" s="20"/>
      <c r="BL3" s="20"/>
      <c r="BM3" s="21" t="s">
        <v>351</v>
      </c>
      <c r="BN3" s="21" t="s">
        <v>351</v>
      </c>
      <c r="BO3" s="20"/>
      <c r="BP3" s="20"/>
      <c r="BQ3" s="20"/>
      <c r="BR3" s="20"/>
      <c r="BS3" s="20"/>
      <c r="BT3" s="21" t="s">
        <v>352</v>
      </c>
      <c r="BU3" s="20"/>
      <c r="BV3" s="20"/>
      <c r="BW3" s="20"/>
      <c r="BX3" s="20"/>
      <c r="BY3" s="20" t="s">
        <v>353</v>
      </c>
      <c r="BZ3" s="20"/>
      <c r="CA3" s="20"/>
      <c r="CB3" s="20"/>
      <c r="CC3" s="20"/>
      <c r="CD3" s="20"/>
      <c r="CE3" s="20"/>
      <c r="CF3"/>
      <c r="CG3" s="1" t="s">
        <v>607</v>
      </c>
    </row>
    <row r="4" spans="1:85" ht="12" customHeight="1" x14ac:dyDescent="0.25">
      <c r="A4" s="19" t="s">
        <v>117</v>
      </c>
      <c r="B4" s="19" t="s">
        <v>161</v>
      </c>
      <c r="C4" t="s">
        <v>244</v>
      </c>
      <c r="D4" s="20" t="s">
        <v>276</v>
      </c>
      <c r="E4" t="s">
        <v>244</v>
      </c>
      <c r="F4" s="20" t="s">
        <v>279</v>
      </c>
      <c r="G4" s="19" t="s">
        <v>52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64</v>
      </c>
      <c r="S4" t="s">
        <v>160</v>
      </c>
      <c r="T4" t="s">
        <v>236</v>
      </c>
      <c r="U4" t="s">
        <v>71</v>
      </c>
      <c r="V4" t="s">
        <v>176</v>
      </c>
      <c r="W4" t="s">
        <v>110</v>
      </c>
      <c r="X4" s="20" t="s">
        <v>280</v>
      </c>
      <c r="Y4" t="s">
        <v>71</v>
      </c>
      <c r="Z4" s="20" t="s">
        <v>71</v>
      </c>
      <c r="AA4" s="20" t="s">
        <v>171</v>
      </c>
      <c r="AB4" s="20" t="s">
        <v>71</v>
      </c>
      <c r="AC4" s="20" t="s">
        <v>71</v>
      </c>
      <c r="AD4" s="20" t="s">
        <v>292</v>
      </c>
      <c r="AE4" t="s">
        <v>83</v>
      </c>
      <c r="AF4" t="s">
        <v>275</v>
      </c>
      <c r="AG4" t="s">
        <v>266</v>
      </c>
      <c r="AH4" t="s">
        <v>266</v>
      </c>
      <c r="AI4" t="s">
        <v>76</v>
      </c>
      <c r="AJ4" t="s">
        <v>110</v>
      </c>
      <c r="AK4" t="s">
        <v>171</v>
      </c>
      <c r="AL4" s="20" t="s">
        <v>354</v>
      </c>
      <c r="AM4" s="20"/>
      <c r="AN4" s="20"/>
      <c r="AO4" s="20" t="s">
        <v>355</v>
      </c>
      <c r="AP4" s="20" t="s">
        <v>355</v>
      </c>
      <c r="AQ4" s="20" t="s">
        <v>356</v>
      </c>
      <c r="AR4" s="20" t="s">
        <v>357</v>
      </c>
      <c r="AS4" s="20" t="s">
        <v>358</v>
      </c>
      <c r="AT4" s="20" t="s">
        <v>359</v>
      </c>
      <c r="AU4" s="20">
        <f t="shared" si="0"/>
        <v>28</v>
      </c>
      <c r="AV4" s="21" t="s">
        <v>360</v>
      </c>
      <c r="AW4" s="21" t="s">
        <v>360</v>
      </c>
      <c r="AX4" s="21" t="s">
        <v>361</v>
      </c>
      <c r="AY4" s="21" t="s">
        <v>361</v>
      </c>
      <c r="AZ4" s="21" t="s">
        <v>362</v>
      </c>
      <c r="BA4" s="21" t="s">
        <v>362</v>
      </c>
      <c r="BB4" s="20"/>
      <c r="BC4" s="20"/>
      <c r="BD4" s="20"/>
      <c r="BE4" s="20"/>
      <c r="BF4" s="21" t="s">
        <v>363</v>
      </c>
      <c r="BG4" s="23" t="s">
        <v>364</v>
      </c>
      <c r="BH4" s="20"/>
      <c r="BI4" s="20"/>
      <c r="BJ4" s="20"/>
      <c r="BK4" s="20"/>
      <c r="BL4" s="20"/>
      <c r="BM4" s="20"/>
      <c r="BN4" s="20"/>
      <c r="BO4" s="21" t="s">
        <v>365</v>
      </c>
      <c r="BP4" s="21" t="s">
        <v>365</v>
      </c>
      <c r="BQ4" s="20"/>
      <c r="BR4" s="21" t="s">
        <v>366</v>
      </c>
      <c r="BS4" s="21" t="s">
        <v>366</v>
      </c>
      <c r="BT4" s="21" t="s">
        <v>352</v>
      </c>
      <c r="BU4" s="20"/>
      <c r="BV4" s="20"/>
      <c r="BW4" s="20"/>
      <c r="BX4" s="20"/>
      <c r="BY4" s="20" t="s">
        <v>367</v>
      </c>
      <c r="BZ4" s="20"/>
      <c r="CA4" s="20"/>
      <c r="CB4" s="20"/>
      <c r="CC4" s="20"/>
      <c r="CD4" s="20"/>
      <c r="CE4" s="20"/>
      <c r="CF4"/>
      <c r="CG4" s="1" t="s">
        <v>607</v>
      </c>
    </row>
    <row r="5" spans="1:85" ht="12" customHeight="1" x14ac:dyDescent="0.25">
      <c r="A5" s="19" t="s">
        <v>117</v>
      </c>
      <c r="B5" s="19" t="s">
        <v>161</v>
      </c>
      <c r="C5" t="s">
        <v>244</v>
      </c>
      <c r="D5" s="20" t="s">
        <v>276</v>
      </c>
      <c r="E5" t="s">
        <v>244</v>
      </c>
      <c r="F5" s="20" t="s">
        <v>279</v>
      </c>
      <c r="G5" s="19" t="s">
        <v>52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100</v>
      </c>
      <c r="S5" t="s">
        <v>153</v>
      </c>
      <c r="T5" t="s">
        <v>33</v>
      </c>
      <c r="U5" t="s">
        <v>82</v>
      </c>
      <c r="V5" t="s">
        <v>186</v>
      </c>
      <c r="W5" t="s">
        <v>110</v>
      </c>
      <c r="X5" s="20" t="s">
        <v>281</v>
      </c>
      <c r="Y5" t="s">
        <v>82</v>
      </c>
      <c r="Z5" s="20" t="s">
        <v>82</v>
      </c>
      <c r="AA5" s="20" t="s">
        <v>186</v>
      </c>
      <c r="AB5" s="20" t="s">
        <v>82</v>
      </c>
      <c r="AC5" s="20" t="s">
        <v>293</v>
      </c>
      <c r="AD5" s="20" t="s">
        <v>294</v>
      </c>
      <c r="AE5" t="s">
        <v>65</v>
      </c>
      <c r="AF5" t="s">
        <v>123</v>
      </c>
      <c r="AG5" t="s">
        <v>70</v>
      </c>
      <c r="AH5" t="s">
        <v>9</v>
      </c>
      <c r="AI5" t="s">
        <v>113</v>
      </c>
      <c r="AJ5" t="s">
        <v>147</v>
      </c>
      <c r="AK5" t="s">
        <v>110</v>
      </c>
      <c r="AL5" s="20" t="s">
        <v>368</v>
      </c>
      <c r="AM5" s="20" t="s">
        <v>147</v>
      </c>
      <c r="AN5" s="20" t="s">
        <v>325</v>
      </c>
      <c r="AO5" s="20" t="s">
        <v>369</v>
      </c>
      <c r="AP5" s="20" t="s">
        <v>369</v>
      </c>
      <c r="AQ5" s="20" t="s">
        <v>370</v>
      </c>
      <c r="AR5" s="20" t="s">
        <v>371</v>
      </c>
      <c r="AS5" s="20" t="s">
        <v>372</v>
      </c>
      <c r="AT5" s="20" t="s">
        <v>373</v>
      </c>
      <c r="AU5" s="20">
        <f t="shared" si="0"/>
        <v>28</v>
      </c>
      <c r="AV5" s="21" t="s">
        <v>374</v>
      </c>
      <c r="AW5" s="21" t="s">
        <v>374</v>
      </c>
      <c r="AX5" s="21" t="s">
        <v>331</v>
      </c>
      <c r="AY5" s="21" t="s">
        <v>331</v>
      </c>
      <c r="AZ5" s="20"/>
      <c r="BA5" s="20"/>
      <c r="BB5" s="21" t="s">
        <v>375</v>
      </c>
      <c r="BC5" s="21" t="s">
        <v>376</v>
      </c>
      <c r="BD5" s="21" t="s">
        <v>377</v>
      </c>
      <c r="BE5" s="21" t="s">
        <v>378</v>
      </c>
      <c r="BF5" s="21" t="s">
        <v>379</v>
      </c>
      <c r="BG5" s="21" t="s">
        <v>380</v>
      </c>
      <c r="BH5" s="20"/>
      <c r="BI5" s="20"/>
      <c r="BJ5" s="20"/>
      <c r="BK5" s="20"/>
      <c r="BL5" s="20"/>
      <c r="BM5" s="21" t="s">
        <v>381</v>
      </c>
      <c r="BN5" s="21" t="s">
        <v>381</v>
      </c>
      <c r="BO5" s="20"/>
      <c r="BP5" s="20"/>
      <c r="BQ5" s="20"/>
      <c r="BR5" s="21" t="s">
        <v>382</v>
      </c>
      <c r="BS5" s="21" t="s">
        <v>383</v>
      </c>
      <c r="BT5" s="20"/>
      <c r="BU5" s="20"/>
      <c r="BV5" s="20"/>
      <c r="BW5" s="20"/>
      <c r="BX5" s="20"/>
      <c r="BY5" s="20" t="s">
        <v>384</v>
      </c>
      <c r="BZ5" s="20"/>
      <c r="CA5" s="20"/>
      <c r="CB5" s="20"/>
      <c r="CC5" s="20"/>
      <c r="CD5" s="20"/>
      <c r="CE5" s="20"/>
      <c r="CF5"/>
      <c r="CG5" s="1" t="s">
        <v>607</v>
      </c>
    </row>
    <row r="6" spans="1:85" ht="12" customHeight="1" x14ac:dyDescent="0.25">
      <c r="A6" s="19" t="s">
        <v>117</v>
      </c>
      <c r="B6" s="19" t="s">
        <v>161</v>
      </c>
      <c r="C6" t="s">
        <v>244</v>
      </c>
      <c r="D6" s="20" t="s">
        <v>277</v>
      </c>
      <c r="E6" t="s">
        <v>244</v>
      </c>
      <c r="F6" s="20" t="s">
        <v>279</v>
      </c>
      <c r="G6" s="19" t="s">
        <v>52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87</v>
      </c>
      <c r="S6" t="s">
        <v>160</v>
      </c>
      <c r="T6" t="s">
        <v>236</v>
      </c>
      <c r="U6" t="s">
        <v>95</v>
      </c>
      <c r="V6" t="s">
        <v>176</v>
      </c>
      <c r="W6" t="s">
        <v>110</v>
      </c>
      <c r="X6" s="20" t="s">
        <v>280</v>
      </c>
      <c r="Y6" t="s">
        <v>95</v>
      </c>
      <c r="Z6" s="20" t="s">
        <v>95</v>
      </c>
      <c r="AA6" s="20" t="s">
        <v>171</v>
      </c>
      <c r="AB6" s="20" t="s">
        <v>95</v>
      </c>
      <c r="AC6" s="20" t="s">
        <v>95</v>
      </c>
      <c r="AD6" s="20" t="s">
        <v>295</v>
      </c>
      <c r="AE6" t="s">
        <v>4</v>
      </c>
      <c r="AF6" t="s">
        <v>131</v>
      </c>
      <c r="AG6" t="s">
        <v>118</v>
      </c>
      <c r="AH6" t="s">
        <v>164</v>
      </c>
      <c r="AI6" t="s">
        <v>133</v>
      </c>
      <c r="AJ6" t="s">
        <v>12</v>
      </c>
      <c r="AK6" t="s">
        <v>171</v>
      </c>
      <c r="AL6" s="20" t="s">
        <v>385</v>
      </c>
      <c r="AM6" s="20" t="s">
        <v>12</v>
      </c>
      <c r="AN6" s="20" t="s">
        <v>386</v>
      </c>
      <c r="AO6" s="20" t="s">
        <v>387</v>
      </c>
      <c r="AP6" s="20" t="s">
        <v>387</v>
      </c>
      <c r="AQ6" s="20" t="s">
        <v>388</v>
      </c>
      <c r="AR6" s="20" t="s">
        <v>389</v>
      </c>
      <c r="AS6" s="20" t="s">
        <v>390</v>
      </c>
      <c r="AT6" s="20" t="s">
        <v>391</v>
      </c>
      <c r="AU6" s="20">
        <f t="shared" si="0"/>
        <v>29</v>
      </c>
      <c r="AV6" s="21" t="s">
        <v>392</v>
      </c>
      <c r="AW6" s="21" t="s">
        <v>393</v>
      </c>
      <c r="AX6" s="21" t="s">
        <v>394</v>
      </c>
      <c r="AY6" s="20"/>
      <c r="AZ6" s="20"/>
      <c r="BA6" s="20"/>
      <c r="BB6" s="21" t="s">
        <v>395</v>
      </c>
      <c r="BC6" s="20"/>
      <c r="BD6" s="20"/>
      <c r="BE6" s="20"/>
      <c r="BF6" s="21" t="s">
        <v>396</v>
      </c>
      <c r="BG6" s="21" t="s">
        <v>397</v>
      </c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1" t="s">
        <v>398</v>
      </c>
      <c r="BS6" s="21" t="s">
        <v>399</v>
      </c>
      <c r="BT6" s="20"/>
      <c r="BU6" s="21" t="s">
        <v>400</v>
      </c>
      <c r="BV6" s="20"/>
      <c r="BW6" s="20"/>
      <c r="BX6" s="20"/>
      <c r="BY6" s="20" t="s">
        <v>401</v>
      </c>
      <c r="BZ6" s="20"/>
      <c r="CA6" s="20"/>
      <c r="CB6" s="20"/>
      <c r="CC6" s="20"/>
      <c r="CD6" s="20"/>
      <c r="CE6" s="20"/>
      <c r="CF6"/>
      <c r="CG6" s="1" t="s">
        <v>607</v>
      </c>
    </row>
    <row r="7" spans="1:85" ht="12" customHeight="1" x14ac:dyDescent="0.25">
      <c r="A7" s="19" t="s">
        <v>117</v>
      </c>
      <c r="B7" s="19" t="s">
        <v>161</v>
      </c>
      <c r="C7" t="s">
        <v>244</v>
      </c>
      <c r="D7" s="20" t="s">
        <v>276</v>
      </c>
      <c r="E7" t="s">
        <v>244</v>
      </c>
      <c r="F7" s="20" t="s">
        <v>279</v>
      </c>
      <c r="G7" s="19" t="s">
        <v>52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112</v>
      </c>
      <c r="S7" t="s">
        <v>178</v>
      </c>
      <c r="T7" t="s">
        <v>5</v>
      </c>
      <c r="U7" t="s">
        <v>218</v>
      </c>
      <c r="V7" t="s">
        <v>265</v>
      </c>
      <c r="W7" t="s">
        <v>110</v>
      </c>
      <c r="X7" s="20" t="s">
        <v>5</v>
      </c>
      <c r="Y7" t="s">
        <v>188</v>
      </c>
      <c r="Z7" s="20" t="s">
        <v>188</v>
      </c>
      <c r="AA7" s="20" t="s">
        <v>290</v>
      </c>
      <c r="AB7" s="20" t="s">
        <v>188</v>
      </c>
      <c r="AC7" s="20" t="s">
        <v>296</v>
      </c>
      <c r="AD7" s="20" t="s">
        <v>297</v>
      </c>
      <c r="AE7" t="s">
        <v>255</v>
      </c>
      <c r="AF7" t="s">
        <v>182</v>
      </c>
      <c r="AG7" t="s">
        <v>199</v>
      </c>
      <c r="AH7" t="s">
        <v>11</v>
      </c>
      <c r="AI7" t="s">
        <v>6</v>
      </c>
      <c r="AJ7" t="s">
        <v>110</v>
      </c>
      <c r="AK7" t="s">
        <v>110</v>
      </c>
      <c r="AL7" s="20" t="s">
        <v>402</v>
      </c>
      <c r="AM7" s="20"/>
      <c r="AN7" s="20"/>
      <c r="AO7" s="20" t="s">
        <v>403</v>
      </c>
      <c r="AP7" s="20" t="s">
        <v>403</v>
      </c>
      <c r="AQ7" s="20" t="s">
        <v>404</v>
      </c>
      <c r="AR7" s="20" t="s">
        <v>405</v>
      </c>
      <c r="AS7" s="20" t="s">
        <v>406</v>
      </c>
      <c r="AT7" s="20" t="s">
        <v>407</v>
      </c>
      <c r="AU7" s="20">
        <f t="shared" si="0"/>
        <v>28</v>
      </c>
      <c r="AV7" s="21" t="s">
        <v>408</v>
      </c>
      <c r="AW7" s="21" t="s">
        <v>408</v>
      </c>
      <c r="AX7" s="21" t="s">
        <v>409</v>
      </c>
      <c r="AY7" s="21" t="s">
        <v>409</v>
      </c>
      <c r="AZ7" s="20"/>
      <c r="BA7" s="20"/>
      <c r="BB7" s="21" t="s">
        <v>410</v>
      </c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1" t="s">
        <v>411</v>
      </c>
      <c r="BN7" s="21" t="s">
        <v>411</v>
      </c>
      <c r="BO7" s="21" t="s">
        <v>412</v>
      </c>
      <c r="BP7" s="21" t="s">
        <v>412</v>
      </c>
      <c r="BQ7" s="20"/>
      <c r="BR7" s="21" t="s">
        <v>410</v>
      </c>
      <c r="BS7" s="20"/>
      <c r="BT7" s="21" t="s">
        <v>352</v>
      </c>
      <c r="BU7" s="21" t="s">
        <v>400</v>
      </c>
      <c r="BV7" s="20"/>
      <c r="BW7" s="20"/>
      <c r="BX7" s="20"/>
      <c r="BY7" s="20" t="s">
        <v>413</v>
      </c>
      <c r="BZ7" s="20"/>
      <c r="CA7" s="20"/>
      <c r="CB7" s="20"/>
      <c r="CC7" s="20"/>
      <c r="CD7" s="20"/>
      <c r="CE7" s="20"/>
      <c r="CF7"/>
      <c r="CG7" s="1" t="s">
        <v>607</v>
      </c>
    </row>
    <row r="8" spans="1:85" ht="12" customHeight="1" x14ac:dyDescent="0.25">
      <c r="A8" s="19" t="s">
        <v>117</v>
      </c>
      <c r="B8" s="19" t="s">
        <v>161</v>
      </c>
      <c r="C8" t="s">
        <v>244</v>
      </c>
      <c r="D8" s="20" t="s">
        <v>276</v>
      </c>
      <c r="E8" t="s">
        <v>244</v>
      </c>
      <c r="F8" s="20" t="s">
        <v>279</v>
      </c>
      <c r="G8" s="19" t="s">
        <v>52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235</v>
      </c>
      <c r="S8" t="s">
        <v>187</v>
      </c>
      <c r="T8" t="s">
        <v>220</v>
      </c>
      <c r="U8" t="s">
        <v>251</v>
      </c>
      <c r="V8" t="s">
        <v>41</v>
      </c>
      <c r="W8" t="s">
        <v>110</v>
      </c>
      <c r="X8" s="20" t="s">
        <v>282</v>
      </c>
      <c r="Y8" t="s">
        <v>222</v>
      </c>
      <c r="Z8" s="20" t="s">
        <v>222</v>
      </c>
      <c r="AA8" s="20" t="s">
        <v>298</v>
      </c>
      <c r="AB8" s="20" t="s">
        <v>222</v>
      </c>
      <c r="AC8" s="20" t="s">
        <v>222</v>
      </c>
      <c r="AD8" s="20" t="s">
        <v>299</v>
      </c>
      <c r="AE8" t="s">
        <v>226</v>
      </c>
      <c r="AF8" t="s">
        <v>23</v>
      </c>
      <c r="AG8" t="s">
        <v>241</v>
      </c>
      <c r="AH8" t="s">
        <v>241</v>
      </c>
      <c r="AI8" t="s">
        <v>170</v>
      </c>
      <c r="AJ8" t="s">
        <v>110</v>
      </c>
      <c r="AK8" t="s">
        <v>110</v>
      </c>
      <c r="AL8" s="20" t="s">
        <v>414</v>
      </c>
      <c r="AM8" s="20"/>
      <c r="AN8" s="20"/>
      <c r="AO8" s="20" t="s">
        <v>415</v>
      </c>
      <c r="AP8" s="20" t="s">
        <v>415</v>
      </c>
      <c r="AQ8" s="20" t="s">
        <v>416</v>
      </c>
      <c r="AR8" s="20" t="s">
        <v>417</v>
      </c>
      <c r="AS8" s="20" t="s">
        <v>418</v>
      </c>
      <c r="AT8" s="20" t="s">
        <v>419</v>
      </c>
      <c r="AU8" s="20">
        <f t="shared" si="0"/>
        <v>29</v>
      </c>
      <c r="AV8" s="21" t="s">
        <v>420</v>
      </c>
      <c r="AW8" s="21" t="s">
        <v>420</v>
      </c>
      <c r="AX8" s="21" t="s">
        <v>421</v>
      </c>
      <c r="AY8" s="21" t="s">
        <v>421</v>
      </c>
      <c r="AZ8" s="20"/>
      <c r="BA8" s="20"/>
      <c r="BB8" s="20"/>
      <c r="BC8" s="21" t="s">
        <v>422</v>
      </c>
      <c r="BD8" s="21" t="s">
        <v>422</v>
      </c>
      <c r="BE8" s="20"/>
      <c r="BF8" s="21" t="s">
        <v>423</v>
      </c>
      <c r="BG8" s="21" t="s">
        <v>424</v>
      </c>
      <c r="BH8" s="20"/>
      <c r="BI8" s="20"/>
      <c r="BJ8" s="20"/>
      <c r="BK8" s="20"/>
      <c r="BL8" s="20"/>
      <c r="BM8" s="21" t="s">
        <v>351</v>
      </c>
      <c r="BN8" s="21" t="s">
        <v>351</v>
      </c>
      <c r="BO8" s="20"/>
      <c r="BP8" s="20"/>
      <c r="BQ8" s="21" t="s">
        <v>425</v>
      </c>
      <c r="BR8" s="20"/>
      <c r="BS8" s="20"/>
      <c r="BT8" s="21" t="s">
        <v>352</v>
      </c>
      <c r="BU8" s="21" t="s">
        <v>400</v>
      </c>
      <c r="BV8" s="21" t="s">
        <v>426</v>
      </c>
      <c r="BW8" s="20"/>
      <c r="BX8" s="20"/>
      <c r="BY8" s="20" t="s">
        <v>427</v>
      </c>
      <c r="BZ8" s="20"/>
      <c r="CA8" s="20"/>
      <c r="CB8" s="20"/>
      <c r="CC8" s="20"/>
      <c r="CD8" s="20"/>
      <c r="CE8" s="20"/>
      <c r="CF8"/>
      <c r="CG8" s="1" t="s">
        <v>607</v>
      </c>
    </row>
    <row r="9" spans="1:85" ht="12" customHeight="1" x14ac:dyDescent="0.25">
      <c r="A9" s="19" t="s">
        <v>117</v>
      </c>
      <c r="B9" s="19" t="s">
        <v>161</v>
      </c>
      <c r="C9" t="s">
        <v>244</v>
      </c>
      <c r="D9" s="20" t="s">
        <v>276</v>
      </c>
      <c r="E9" t="s">
        <v>244</v>
      </c>
      <c r="F9" s="20" t="s">
        <v>279</v>
      </c>
      <c r="G9" s="19" t="s">
        <v>52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184</v>
      </c>
      <c r="S9" t="s">
        <v>267</v>
      </c>
      <c r="T9" t="s">
        <v>155</v>
      </c>
      <c r="U9" t="s">
        <v>90</v>
      </c>
      <c r="V9" t="s">
        <v>109</v>
      </c>
      <c r="W9" t="s">
        <v>110</v>
      </c>
      <c r="X9" s="20" t="s">
        <v>283</v>
      </c>
      <c r="Y9" t="s">
        <v>90</v>
      </c>
      <c r="Z9" s="20" t="s">
        <v>90</v>
      </c>
      <c r="AA9" s="20" t="s">
        <v>300</v>
      </c>
      <c r="AB9" s="20" t="s">
        <v>90</v>
      </c>
      <c r="AC9" s="20" t="s">
        <v>90</v>
      </c>
      <c r="AD9" s="20" t="s">
        <v>301</v>
      </c>
      <c r="AE9" t="s">
        <v>269</v>
      </c>
      <c r="AF9" t="s">
        <v>228</v>
      </c>
      <c r="AG9" t="s">
        <v>212</v>
      </c>
      <c r="AH9" t="s">
        <v>202</v>
      </c>
      <c r="AI9" t="s">
        <v>219</v>
      </c>
      <c r="AJ9" t="s">
        <v>110</v>
      </c>
      <c r="AK9" t="s">
        <v>110</v>
      </c>
      <c r="AL9" s="20" t="s">
        <v>428</v>
      </c>
      <c r="AM9" s="20" t="s">
        <v>429</v>
      </c>
      <c r="AN9" s="20" t="s">
        <v>430</v>
      </c>
      <c r="AO9" s="20" t="s">
        <v>431</v>
      </c>
      <c r="AP9" s="20" t="s">
        <v>431</v>
      </c>
      <c r="AQ9" s="20" t="s">
        <v>432</v>
      </c>
      <c r="AR9" s="20" t="s">
        <v>433</v>
      </c>
      <c r="AS9" s="20" t="s">
        <v>434</v>
      </c>
      <c r="AT9" s="20" t="s">
        <v>435</v>
      </c>
      <c r="AU9" s="20">
        <f t="shared" si="0"/>
        <v>30</v>
      </c>
      <c r="AV9" s="21" t="s">
        <v>436</v>
      </c>
      <c r="AW9" s="21" t="s">
        <v>436</v>
      </c>
      <c r="AX9" s="21" t="s">
        <v>437</v>
      </c>
      <c r="AY9" s="21" t="s">
        <v>437</v>
      </c>
      <c r="AZ9" s="21" t="s">
        <v>438</v>
      </c>
      <c r="BA9" s="21" t="s">
        <v>438</v>
      </c>
      <c r="BB9" s="21" t="s">
        <v>439</v>
      </c>
      <c r="BC9" s="21" t="s">
        <v>440</v>
      </c>
      <c r="BD9" s="20"/>
      <c r="BE9" s="21" t="s">
        <v>440</v>
      </c>
      <c r="BF9" s="21" t="s">
        <v>441</v>
      </c>
      <c r="BG9" s="21" t="s">
        <v>442</v>
      </c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1" t="s">
        <v>439</v>
      </c>
      <c r="BS9" s="20"/>
      <c r="BT9" s="20"/>
      <c r="BU9" s="20"/>
      <c r="BV9" s="20"/>
      <c r="BW9" s="20"/>
      <c r="BX9" s="20"/>
      <c r="BY9" s="20" t="s">
        <v>443</v>
      </c>
      <c r="BZ9" s="20"/>
      <c r="CA9" s="20"/>
      <c r="CB9" s="20"/>
      <c r="CC9" s="20"/>
      <c r="CD9" s="20"/>
      <c r="CE9" s="20"/>
      <c r="CF9"/>
      <c r="CG9" s="1" t="s">
        <v>607</v>
      </c>
    </row>
    <row r="10" spans="1:85" ht="12" customHeight="1" x14ac:dyDescent="0.25">
      <c r="A10" s="19" t="s">
        <v>117</v>
      </c>
      <c r="B10" s="19" t="s">
        <v>161</v>
      </c>
      <c r="C10" t="s">
        <v>244</v>
      </c>
      <c r="D10" s="20" t="s">
        <v>276</v>
      </c>
      <c r="E10" t="s">
        <v>244</v>
      </c>
      <c r="F10" s="20" t="s">
        <v>279</v>
      </c>
      <c r="G10" s="19" t="s">
        <v>52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273</v>
      </c>
      <c r="S10" t="s">
        <v>187</v>
      </c>
      <c r="T10" t="s">
        <v>220</v>
      </c>
      <c r="U10" t="s">
        <v>61</v>
      </c>
      <c r="V10" t="s">
        <v>146</v>
      </c>
      <c r="W10" t="s">
        <v>110</v>
      </c>
      <c r="X10" s="20" t="s">
        <v>284</v>
      </c>
      <c r="Y10" t="s">
        <v>162</v>
      </c>
      <c r="Z10" s="20" t="s">
        <v>162</v>
      </c>
      <c r="AA10" s="20" t="s">
        <v>302</v>
      </c>
      <c r="AB10" s="20" t="s">
        <v>162</v>
      </c>
      <c r="AC10" s="20">
        <v>7990820</v>
      </c>
      <c r="AD10" s="20" t="s">
        <v>303</v>
      </c>
      <c r="AE10" t="s">
        <v>121</v>
      </c>
      <c r="AF10" t="s">
        <v>17</v>
      </c>
      <c r="AG10" t="s">
        <v>268</v>
      </c>
      <c r="AH10" t="s">
        <v>198</v>
      </c>
      <c r="AI10" t="s">
        <v>124</v>
      </c>
      <c r="AJ10" t="s">
        <v>110</v>
      </c>
      <c r="AK10" t="s">
        <v>195</v>
      </c>
      <c r="AL10" s="20" t="s">
        <v>444</v>
      </c>
      <c r="AM10" s="20"/>
      <c r="AN10" s="20"/>
      <c r="AO10" s="20" t="s">
        <v>445</v>
      </c>
      <c r="AP10" s="20" t="s">
        <v>445</v>
      </c>
      <c r="AQ10" s="20" t="s">
        <v>446</v>
      </c>
      <c r="AR10" s="20" t="s">
        <v>447</v>
      </c>
      <c r="AS10" s="20" t="s">
        <v>448</v>
      </c>
      <c r="AT10" s="20" t="s">
        <v>449</v>
      </c>
      <c r="AU10" s="20">
        <f t="shared" si="0"/>
        <v>26</v>
      </c>
      <c r="AV10" s="21" t="s">
        <v>450</v>
      </c>
      <c r="AW10" s="21" t="s">
        <v>450</v>
      </c>
      <c r="AX10" s="21" t="s">
        <v>451</v>
      </c>
      <c r="AY10" s="21" t="s">
        <v>451</v>
      </c>
      <c r="AZ10" s="21" t="s">
        <v>195</v>
      </c>
      <c r="BA10" s="21" t="s">
        <v>195</v>
      </c>
      <c r="BB10" s="20"/>
      <c r="BC10" s="20"/>
      <c r="BD10" s="20"/>
      <c r="BE10" s="20"/>
      <c r="BF10" s="21" t="s">
        <v>452</v>
      </c>
      <c r="BG10" s="21" t="s">
        <v>453</v>
      </c>
      <c r="BH10" s="20"/>
      <c r="BI10" s="20"/>
      <c r="BJ10" s="20"/>
      <c r="BK10" s="20"/>
      <c r="BL10" s="20"/>
      <c r="BM10" s="21" t="s">
        <v>454</v>
      </c>
      <c r="BN10" s="21" t="s">
        <v>454</v>
      </c>
      <c r="BO10" s="21" t="s">
        <v>455</v>
      </c>
      <c r="BP10" s="21" t="s">
        <v>455</v>
      </c>
      <c r="BQ10" s="21" t="s">
        <v>456</v>
      </c>
      <c r="BR10" s="21" t="s">
        <v>457</v>
      </c>
      <c r="BS10" s="21" t="s">
        <v>457</v>
      </c>
      <c r="BT10" s="21" t="s">
        <v>458</v>
      </c>
      <c r="BU10" s="20"/>
      <c r="BV10" s="21" t="s">
        <v>459</v>
      </c>
      <c r="BW10" s="20"/>
      <c r="BX10" s="20"/>
      <c r="BY10" s="20" t="s">
        <v>460</v>
      </c>
      <c r="BZ10" s="20"/>
      <c r="CA10" s="20"/>
      <c r="CB10" s="20"/>
      <c r="CC10" s="20"/>
      <c r="CD10" s="20"/>
      <c r="CE10" s="20"/>
      <c r="CF10"/>
      <c r="CG10" s="1" t="s">
        <v>607</v>
      </c>
    </row>
    <row r="11" spans="1:85" ht="12" customHeight="1" x14ac:dyDescent="0.25">
      <c r="A11" s="19" t="s">
        <v>117</v>
      </c>
      <c r="B11" s="19" t="s">
        <v>161</v>
      </c>
      <c r="C11" t="s">
        <v>244</v>
      </c>
      <c r="D11" s="20" t="s">
        <v>276</v>
      </c>
      <c r="E11" t="s">
        <v>244</v>
      </c>
      <c r="F11" s="20" t="s">
        <v>279</v>
      </c>
      <c r="G11" s="19" t="s">
        <v>52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141</v>
      </c>
      <c r="S11" t="s">
        <v>187</v>
      </c>
      <c r="T11" t="s">
        <v>220</v>
      </c>
      <c r="U11" t="s">
        <v>92</v>
      </c>
      <c r="V11" t="s">
        <v>168</v>
      </c>
      <c r="W11" t="s">
        <v>66</v>
      </c>
      <c r="X11" s="20" t="s">
        <v>285</v>
      </c>
      <c r="Y11" t="s">
        <v>128</v>
      </c>
      <c r="Z11" s="20" t="s">
        <v>128</v>
      </c>
      <c r="AA11" s="20" t="s">
        <v>304</v>
      </c>
      <c r="AB11" s="20" t="s">
        <v>128</v>
      </c>
      <c r="AC11" s="20" t="s">
        <v>128</v>
      </c>
      <c r="AD11" s="20" t="s">
        <v>305</v>
      </c>
      <c r="AE11" t="s">
        <v>239</v>
      </c>
      <c r="AF11" t="s">
        <v>14</v>
      </c>
      <c r="AG11" t="s">
        <v>177</v>
      </c>
      <c r="AH11" t="s">
        <v>110</v>
      </c>
      <c r="AI11" t="s">
        <v>262</v>
      </c>
      <c r="AJ11" t="s">
        <v>110</v>
      </c>
      <c r="AK11" t="s">
        <v>110</v>
      </c>
      <c r="AL11" s="20" t="s">
        <v>461</v>
      </c>
      <c r="AM11" s="20"/>
      <c r="AN11" s="20"/>
      <c r="AO11" s="20" t="s">
        <v>462</v>
      </c>
      <c r="AP11" s="20" t="s">
        <v>462</v>
      </c>
      <c r="AQ11" s="20" t="s">
        <v>463</v>
      </c>
      <c r="AR11" s="20" t="s">
        <v>464</v>
      </c>
      <c r="AS11" s="20" t="s">
        <v>465</v>
      </c>
      <c r="AT11" s="20" t="s">
        <v>466</v>
      </c>
      <c r="AU11" s="20">
        <f t="shared" si="0"/>
        <v>26</v>
      </c>
      <c r="AV11" s="21" t="s">
        <v>467</v>
      </c>
      <c r="AW11" s="21" t="s">
        <v>467</v>
      </c>
      <c r="AX11" s="21" t="s">
        <v>468</v>
      </c>
      <c r="AY11" s="21" t="s">
        <v>468</v>
      </c>
      <c r="AZ11" s="21" t="s">
        <v>469</v>
      </c>
      <c r="BA11" s="21" t="s">
        <v>469</v>
      </c>
      <c r="BB11" s="21" t="s">
        <v>470</v>
      </c>
      <c r="BC11" s="20"/>
      <c r="BD11" s="20"/>
      <c r="BE11" s="20"/>
      <c r="BF11" s="21" t="s">
        <v>471</v>
      </c>
      <c r="BG11" s="21" t="s">
        <v>472</v>
      </c>
      <c r="BH11" s="20"/>
      <c r="BI11" s="20"/>
      <c r="BJ11" s="20"/>
      <c r="BK11" s="20"/>
      <c r="BL11" s="20"/>
      <c r="BM11" s="21" t="s">
        <v>473</v>
      </c>
      <c r="BN11" s="21" t="s">
        <v>473</v>
      </c>
      <c r="BO11" s="20"/>
      <c r="BP11" s="20"/>
      <c r="BQ11" s="20"/>
      <c r="BR11" s="21" t="s">
        <v>474</v>
      </c>
      <c r="BS11" s="21" t="s">
        <v>475</v>
      </c>
      <c r="BT11" s="21" t="s">
        <v>352</v>
      </c>
      <c r="BU11" s="20"/>
      <c r="BV11" s="20"/>
      <c r="BW11" s="20"/>
      <c r="BX11" s="21" t="s">
        <v>476</v>
      </c>
      <c r="BY11" s="20" t="s">
        <v>477</v>
      </c>
      <c r="BZ11" s="20"/>
      <c r="CA11" s="20"/>
      <c r="CB11" s="20"/>
      <c r="CC11" s="20"/>
      <c r="CD11" s="20"/>
      <c r="CE11" s="20"/>
      <c r="CF11"/>
      <c r="CG11" s="1" t="s">
        <v>607</v>
      </c>
    </row>
    <row r="12" spans="1:85" ht="12" customHeight="1" x14ac:dyDescent="0.25">
      <c r="A12" s="19" t="s">
        <v>117</v>
      </c>
      <c r="B12" s="19" t="s">
        <v>161</v>
      </c>
      <c r="C12" t="s">
        <v>244</v>
      </c>
      <c r="D12" s="20" t="s">
        <v>278</v>
      </c>
      <c r="E12" t="s">
        <v>244</v>
      </c>
      <c r="F12" s="20" t="s">
        <v>279</v>
      </c>
      <c r="G12" s="19" t="s">
        <v>52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18</v>
      </c>
      <c r="S12" t="s">
        <v>173</v>
      </c>
      <c r="T12" t="s">
        <v>205</v>
      </c>
      <c r="U12" t="s">
        <v>252</v>
      </c>
      <c r="V12" t="s">
        <v>102</v>
      </c>
      <c r="W12" t="s">
        <v>110</v>
      </c>
      <c r="X12" s="20" t="s">
        <v>286</v>
      </c>
      <c r="Y12" t="s">
        <v>67</v>
      </c>
      <c r="Z12" s="20" t="s">
        <v>67</v>
      </c>
      <c r="AA12" s="20" t="s">
        <v>306</v>
      </c>
      <c r="AB12" s="20" t="s">
        <v>67</v>
      </c>
      <c r="AC12" s="20" t="s">
        <v>67</v>
      </c>
      <c r="AD12" s="20" t="s">
        <v>307</v>
      </c>
      <c r="AE12" t="s">
        <v>36</v>
      </c>
      <c r="AF12" t="s">
        <v>54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s="20" t="s">
        <v>478</v>
      </c>
      <c r="AM12" s="20" t="s">
        <v>479</v>
      </c>
      <c r="AN12" s="20" t="s">
        <v>480</v>
      </c>
      <c r="AO12" s="20" t="s">
        <v>36</v>
      </c>
      <c r="AP12" s="20" t="s">
        <v>36</v>
      </c>
      <c r="AQ12" s="20" t="s">
        <v>481</v>
      </c>
      <c r="AR12" s="20" t="s">
        <v>482</v>
      </c>
      <c r="AS12" s="20" t="s">
        <v>483</v>
      </c>
      <c r="AT12" s="20" t="s">
        <v>484</v>
      </c>
      <c r="AU12" s="20">
        <f t="shared" si="0"/>
        <v>29</v>
      </c>
      <c r="AV12" s="21" t="s">
        <v>485</v>
      </c>
      <c r="AW12" s="21" t="s">
        <v>486</v>
      </c>
      <c r="AX12" s="21" t="s">
        <v>487</v>
      </c>
      <c r="AY12" s="20"/>
      <c r="AZ12" s="20"/>
      <c r="BA12" s="20"/>
      <c r="BB12" s="21" t="s">
        <v>488</v>
      </c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1" t="s">
        <v>489</v>
      </c>
      <c r="BS12" s="21" t="s">
        <v>490</v>
      </c>
      <c r="BT12" s="20"/>
      <c r="BU12" s="20"/>
      <c r="BV12" s="20"/>
      <c r="BW12" s="20"/>
      <c r="BX12" s="20"/>
      <c r="BY12" s="20" t="s">
        <v>491</v>
      </c>
      <c r="BZ12" s="20"/>
      <c r="CA12" s="20"/>
      <c r="CB12" s="20"/>
      <c r="CC12" s="20"/>
      <c r="CD12" s="20"/>
      <c r="CE12" s="20"/>
      <c r="CF12"/>
      <c r="CG12" s="1" t="s">
        <v>607</v>
      </c>
    </row>
    <row r="13" spans="1:85" ht="12" customHeight="1" x14ac:dyDescent="0.25">
      <c r="A13" s="19" t="s">
        <v>117</v>
      </c>
      <c r="B13" s="19" t="s">
        <v>161</v>
      </c>
      <c r="C13" t="s">
        <v>244</v>
      </c>
      <c r="D13" s="20" t="s">
        <v>276</v>
      </c>
      <c r="E13" t="s">
        <v>244</v>
      </c>
      <c r="F13" s="20" t="s">
        <v>279</v>
      </c>
      <c r="G13" s="19" t="s">
        <v>52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213</v>
      </c>
      <c r="S13" t="s">
        <v>187</v>
      </c>
      <c r="T13" t="s">
        <v>220</v>
      </c>
      <c r="U13" t="s">
        <v>258</v>
      </c>
      <c r="V13" t="s">
        <v>68</v>
      </c>
      <c r="W13" t="s">
        <v>110</v>
      </c>
      <c r="X13" s="20" t="s">
        <v>220</v>
      </c>
      <c r="Y13" t="s">
        <v>253</v>
      </c>
      <c r="Z13" s="20" t="s">
        <v>253</v>
      </c>
      <c r="AA13" s="20" t="s">
        <v>68</v>
      </c>
      <c r="AB13" s="20" t="s">
        <v>253</v>
      </c>
      <c r="AC13" s="20" t="s">
        <v>308</v>
      </c>
      <c r="AD13" s="20" t="s">
        <v>309</v>
      </c>
      <c r="AE13" t="s">
        <v>240</v>
      </c>
      <c r="AF13" t="s">
        <v>159</v>
      </c>
      <c r="AG13" t="s">
        <v>44</v>
      </c>
      <c r="AH13" t="s">
        <v>110</v>
      </c>
      <c r="AI13" t="s">
        <v>97</v>
      </c>
      <c r="AJ13" t="s">
        <v>110</v>
      </c>
      <c r="AK13" t="s">
        <v>110</v>
      </c>
      <c r="AL13" s="20" t="s">
        <v>492</v>
      </c>
      <c r="AM13" s="20"/>
      <c r="AN13" s="20"/>
      <c r="AO13" s="20" t="s">
        <v>493</v>
      </c>
      <c r="AP13" s="20" t="s">
        <v>493</v>
      </c>
      <c r="AQ13" s="20" t="s">
        <v>494</v>
      </c>
      <c r="AR13" s="20" t="s">
        <v>495</v>
      </c>
      <c r="AS13" s="20" t="s">
        <v>495</v>
      </c>
      <c r="AT13" s="20" t="s">
        <v>496</v>
      </c>
      <c r="AU13" s="20">
        <f t="shared" si="0"/>
        <v>30</v>
      </c>
      <c r="AV13" s="21" t="s">
        <v>410</v>
      </c>
      <c r="AW13" s="21" t="s">
        <v>410</v>
      </c>
      <c r="AX13" s="21" t="s">
        <v>497</v>
      </c>
      <c r="AY13" s="21" t="s">
        <v>497</v>
      </c>
      <c r="AZ13" s="21" t="s">
        <v>498</v>
      </c>
      <c r="BA13" s="21" t="s">
        <v>498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1" t="s">
        <v>499</v>
      </c>
      <c r="BS13" s="21" t="s">
        <v>499</v>
      </c>
      <c r="BT13" s="20"/>
      <c r="BU13" s="20"/>
      <c r="BV13" s="20"/>
      <c r="BW13" s="20"/>
      <c r="BX13" s="21" t="s">
        <v>500</v>
      </c>
      <c r="BY13" s="20" t="s">
        <v>501</v>
      </c>
      <c r="BZ13" s="20"/>
      <c r="CA13" s="20"/>
      <c r="CB13" s="20"/>
      <c r="CC13" s="20"/>
      <c r="CD13" s="20"/>
      <c r="CE13" s="20"/>
      <c r="CF13"/>
      <c r="CG13" s="1" t="s">
        <v>607</v>
      </c>
    </row>
    <row r="14" spans="1:85" ht="12" customHeight="1" x14ac:dyDescent="0.25">
      <c r="A14" s="19" t="s">
        <v>117</v>
      </c>
      <c r="B14" s="19" t="s">
        <v>161</v>
      </c>
      <c r="C14" t="s">
        <v>244</v>
      </c>
      <c r="D14" s="20" t="s">
        <v>276</v>
      </c>
      <c r="E14" t="s">
        <v>244</v>
      </c>
      <c r="F14" s="20" t="s">
        <v>279</v>
      </c>
      <c r="G14" s="19" t="s">
        <v>52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151</v>
      </c>
      <c r="S14" t="s">
        <v>107</v>
      </c>
      <c r="T14" t="s">
        <v>196</v>
      </c>
      <c r="U14" t="s">
        <v>25</v>
      </c>
      <c r="V14" t="s">
        <v>16</v>
      </c>
      <c r="W14" t="s">
        <v>110</v>
      </c>
      <c r="X14" s="20" t="s">
        <v>196</v>
      </c>
      <c r="Y14" t="s">
        <v>25</v>
      </c>
      <c r="Z14" s="20" t="s">
        <v>25</v>
      </c>
      <c r="AA14" s="20" t="s">
        <v>310</v>
      </c>
      <c r="AB14" s="20" t="s">
        <v>25</v>
      </c>
      <c r="AC14" s="20" t="s">
        <v>25</v>
      </c>
      <c r="AD14" s="20" t="s">
        <v>311</v>
      </c>
      <c r="AE14" t="s">
        <v>215</v>
      </c>
      <c r="AF14" t="s">
        <v>232</v>
      </c>
      <c r="AG14" t="s">
        <v>217</v>
      </c>
      <c r="AH14" t="s">
        <v>26</v>
      </c>
      <c r="AI14" t="s">
        <v>86</v>
      </c>
      <c r="AJ14" t="s">
        <v>110</v>
      </c>
      <c r="AK14" t="s">
        <v>56</v>
      </c>
      <c r="AL14" s="20" t="s">
        <v>502</v>
      </c>
      <c r="AM14" s="20"/>
      <c r="AN14" s="20"/>
      <c r="AO14" s="20" t="s">
        <v>503</v>
      </c>
      <c r="AP14" s="20" t="s">
        <v>503</v>
      </c>
      <c r="AQ14" s="20" t="s">
        <v>504</v>
      </c>
      <c r="AR14" s="20" t="s">
        <v>505</v>
      </c>
      <c r="AS14" s="20" t="s">
        <v>506</v>
      </c>
      <c r="AT14" s="20" t="s">
        <v>507</v>
      </c>
      <c r="AU14" s="20">
        <f t="shared" si="0"/>
        <v>30</v>
      </c>
      <c r="AV14" s="21" t="s">
        <v>508</v>
      </c>
      <c r="AW14" s="21" t="s">
        <v>509</v>
      </c>
      <c r="AX14" s="21" t="s">
        <v>510</v>
      </c>
      <c r="AY14" s="20"/>
      <c r="AZ14" s="21" t="s">
        <v>56</v>
      </c>
      <c r="BA14" s="21" t="s">
        <v>56</v>
      </c>
      <c r="BB14" s="20"/>
      <c r="BC14" s="20"/>
      <c r="BD14" s="20"/>
      <c r="BE14" s="20"/>
      <c r="BF14" s="21" t="s">
        <v>511</v>
      </c>
      <c r="BG14" s="21" t="s">
        <v>512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1" t="s">
        <v>513</v>
      </c>
      <c r="BS14" s="21" t="s">
        <v>513</v>
      </c>
      <c r="BT14" s="21" t="s">
        <v>352</v>
      </c>
      <c r="BU14" s="20"/>
      <c r="BV14" s="21" t="s">
        <v>426</v>
      </c>
      <c r="BW14" s="20"/>
      <c r="BX14" s="20"/>
      <c r="BY14" s="20" t="s">
        <v>514</v>
      </c>
      <c r="BZ14" s="20"/>
      <c r="CA14" s="20"/>
      <c r="CB14" s="20"/>
      <c r="CC14" s="20"/>
      <c r="CD14" s="20"/>
      <c r="CE14" s="20"/>
      <c r="CF14"/>
      <c r="CG14" s="1" t="s">
        <v>607</v>
      </c>
    </row>
    <row r="15" spans="1:85" ht="12" customHeight="1" x14ac:dyDescent="0.25">
      <c r="A15" s="19" t="s">
        <v>117</v>
      </c>
      <c r="B15" s="19" t="s">
        <v>161</v>
      </c>
      <c r="C15" t="s">
        <v>244</v>
      </c>
      <c r="D15" s="20" t="s">
        <v>276</v>
      </c>
      <c r="E15" t="s">
        <v>244</v>
      </c>
      <c r="F15" s="20" t="s">
        <v>279</v>
      </c>
      <c r="G15" s="19" t="s">
        <v>52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227</v>
      </c>
      <c r="S15" t="s">
        <v>178</v>
      </c>
      <c r="T15" t="s">
        <v>5</v>
      </c>
      <c r="U15" t="s">
        <v>259</v>
      </c>
      <c r="V15" t="s">
        <v>214</v>
      </c>
      <c r="W15" t="s">
        <v>88</v>
      </c>
      <c r="X15" s="21" t="s">
        <v>214</v>
      </c>
      <c r="Y15" t="s">
        <v>139</v>
      </c>
      <c r="Z15" s="20" t="s">
        <v>139</v>
      </c>
      <c r="AA15" s="21" t="s">
        <v>214</v>
      </c>
      <c r="AB15" s="20" t="s">
        <v>139</v>
      </c>
      <c r="AC15" s="20" t="s">
        <v>139</v>
      </c>
      <c r="AD15" s="20" t="s">
        <v>312</v>
      </c>
      <c r="AE15" t="s">
        <v>261</v>
      </c>
      <c r="AF15" t="s">
        <v>48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s="20" t="s">
        <v>515</v>
      </c>
      <c r="AM15" s="20"/>
      <c r="AN15" s="20"/>
      <c r="AO15" s="20" t="s">
        <v>516</v>
      </c>
      <c r="AP15" s="20" t="s">
        <v>516</v>
      </c>
      <c r="AQ15" s="20" t="s">
        <v>517</v>
      </c>
      <c r="AR15" s="20" t="s">
        <v>518</v>
      </c>
      <c r="AS15" s="20" t="s">
        <v>519</v>
      </c>
      <c r="AT15" s="20" t="s">
        <v>520</v>
      </c>
      <c r="AU15" s="20">
        <f t="shared" si="0"/>
        <v>28</v>
      </c>
      <c r="AV15" s="21" t="s">
        <v>521</v>
      </c>
      <c r="AW15" s="21" t="s">
        <v>521</v>
      </c>
      <c r="AX15" s="21" t="s">
        <v>522</v>
      </c>
      <c r="AY15" s="21" t="s">
        <v>522</v>
      </c>
      <c r="AZ15" s="21" t="s">
        <v>523</v>
      </c>
      <c r="BA15" s="21" t="s">
        <v>523</v>
      </c>
      <c r="BB15" s="21" t="s">
        <v>524</v>
      </c>
      <c r="BC15" s="20"/>
      <c r="BD15" s="20"/>
      <c r="BE15" s="20"/>
      <c r="BF15" s="20"/>
      <c r="BG15" s="20"/>
      <c r="BH15" s="20"/>
      <c r="BI15" s="20"/>
      <c r="BJ15" s="21" t="s">
        <v>525</v>
      </c>
      <c r="BK15" s="21" t="s">
        <v>525</v>
      </c>
      <c r="BL15" s="20"/>
      <c r="BM15" s="21" t="s">
        <v>524</v>
      </c>
      <c r="BN15" s="20"/>
      <c r="BO15" s="20"/>
      <c r="BP15" s="20"/>
      <c r="BQ15" s="20"/>
      <c r="BR15" s="21" t="s">
        <v>526</v>
      </c>
      <c r="BS15" s="21" t="s">
        <v>526</v>
      </c>
      <c r="BT15" s="20"/>
      <c r="BU15" s="21" t="s">
        <v>400</v>
      </c>
      <c r="BV15" s="20"/>
      <c r="BW15" s="20"/>
      <c r="BX15" s="20"/>
      <c r="BY15" s="20" t="s">
        <v>527</v>
      </c>
      <c r="BZ15" s="20"/>
      <c r="CA15" s="20"/>
      <c r="CB15" s="20"/>
      <c r="CC15" s="20"/>
      <c r="CD15" s="20"/>
      <c r="CE15" s="20"/>
      <c r="CF15"/>
      <c r="CG15" s="1" t="s">
        <v>607</v>
      </c>
    </row>
    <row r="16" spans="1:85" ht="12" customHeight="1" x14ac:dyDescent="0.25">
      <c r="A16" s="19" t="s">
        <v>117</v>
      </c>
      <c r="B16" s="19" t="s">
        <v>161</v>
      </c>
      <c r="C16" t="s">
        <v>244</v>
      </c>
      <c r="D16" s="20" t="s">
        <v>276</v>
      </c>
      <c r="E16" t="s">
        <v>244</v>
      </c>
      <c r="F16" s="20" t="s">
        <v>279</v>
      </c>
      <c r="G16" s="19" t="s">
        <v>52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150</v>
      </c>
      <c r="S16" t="s">
        <v>204</v>
      </c>
      <c r="T16" t="s">
        <v>127</v>
      </c>
      <c r="U16" t="s">
        <v>138</v>
      </c>
      <c r="V16" t="s">
        <v>191</v>
      </c>
      <c r="W16" t="s">
        <v>110</v>
      </c>
      <c r="X16" s="20" t="s">
        <v>287</v>
      </c>
      <c r="Y16" t="s">
        <v>138</v>
      </c>
      <c r="Z16" s="20" t="s">
        <v>138</v>
      </c>
      <c r="AA16" s="20" t="s">
        <v>313</v>
      </c>
      <c r="AB16" s="20" t="s">
        <v>138</v>
      </c>
      <c r="AC16" s="22" t="s">
        <v>314</v>
      </c>
      <c r="AD16" s="20" t="s">
        <v>315</v>
      </c>
      <c r="AE16" t="s">
        <v>3</v>
      </c>
      <c r="AF16" t="s">
        <v>29</v>
      </c>
      <c r="AG16" t="s">
        <v>201</v>
      </c>
      <c r="AH16" t="s">
        <v>201</v>
      </c>
      <c r="AI16" t="s">
        <v>193</v>
      </c>
      <c r="AJ16" t="s">
        <v>223</v>
      </c>
      <c r="AK16" t="s">
        <v>125</v>
      </c>
      <c r="AL16" s="20" t="s">
        <v>528</v>
      </c>
      <c r="AM16" s="20"/>
      <c r="AN16" s="20"/>
      <c r="AO16" s="20" t="s">
        <v>529</v>
      </c>
      <c r="AP16" s="20" t="s">
        <v>529</v>
      </c>
      <c r="AQ16" s="20" t="s">
        <v>530</v>
      </c>
      <c r="AR16" s="20" t="s">
        <v>531</v>
      </c>
      <c r="AS16" s="20" t="s">
        <v>532</v>
      </c>
      <c r="AT16" s="20" t="s">
        <v>533</v>
      </c>
      <c r="AU16" s="20">
        <f t="shared" si="0"/>
        <v>28</v>
      </c>
      <c r="AV16" s="21" t="s">
        <v>534</v>
      </c>
      <c r="AW16" s="21" t="s">
        <v>534</v>
      </c>
      <c r="AX16" s="21" t="s">
        <v>535</v>
      </c>
      <c r="AY16" s="21" t="s">
        <v>535</v>
      </c>
      <c r="AZ16" s="21" t="s">
        <v>125</v>
      </c>
      <c r="BA16" s="21" t="s">
        <v>125</v>
      </c>
      <c r="BB16" s="21" t="s">
        <v>536</v>
      </c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1" t="s">
        <v>537</v>
      </c>
      <c r="BS16" s="21" t="s">
        <v>538</v>
      </c>
      <c r="BT16" s="20"/>
      <c r="BU16" s="20"/>
      <c r="BV16" s="20"/>
      <c r="BW16" s="20"/>
      <c r="BX16" s="20"/>
      <c r="BY16" s="20" t="s">
        <v>539</v>
      </c>
      <c r="BZ16" s="20"/>
      <c r="CA16" s="20"/>
      <c r="CB16" s="20"/>
      <c r="CC16" s="20"/>
      <c r="CD16" s="20"/>
      <c r="CE16" s="20" t="s">
        <v>540</v>
      </c>
      <c r="CF16"/>
      <c r="CG16" s="1" t="s">
        <v>607</v>
      </c>
    </row>
    <row r="17" spans="1:85" ht="12" customHeight="1" x14ac:dyDescent="0.25">
      <c r="A17" s="19" t="s">
        <v>117</v>
      </c>
      <c r="B17" s="19" t="s">
        <v>161</v>
      </c>
      <c r="C17" t="s">
        <v>244</v>
      </c>
      <c r="D17" s="20" t="s">
        <v>276</v>
      </c>
      <c r="E17" t="s">
        <v>244</v>
      </c>
      <c r="F17" s="20" t="s">
        <v>279</v>
      </c>
      <c r="G17" s="19" t="s">
        <v>52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20</v>
      </c>
      <c r="S17" t="s">
        <v>59</v>
      </c>
      <c r="T17" t="s">
        <v>0</v>
      </c>
      <c r="U17" t="s">
        <v>272</v>
      </c>
      <c r="V17" t="s">
        <v>47</v>
      </c>
      <c r="W17" t="s">
        <v>46</v>
      </c>
      <c r="X17" s="20" t="s">
        <v>285</v>
      </c>
      <c r="Y17" t="s">
        <v>272</v>
      </c>
      <c r="Z17" s="20" t="s">
        <v>272</v>
      </c>
      <c r="AA17" s="20" t="s">
        <v>304</v>
      </c>
      <c r="AB17" s="20" t="s">
        <v>272</v>
      </c>
      <c r="AC17" s="20" t="s">
        <v>272</v>
      </c>
      <c r="AD17" s="20" t="s">
        <v>316</v>
      </c>
      <c r="AE17" t="s">
        <v>101</v>
      </c>
      <c r="AF17" t="s">
        <v>93</v>
      </c>
      <c r="AG17" t="s">
        <v>192</v>
      </c>
      <c r="AH17" t="s">
        <v>192</v>
      </c>
      <c r="AI17" t="s">
        <v>24</v>
      </c>
      <c r="AJ17" t="s">
        <v>89</v>
      </c>
      <c r="AK17" t="s">
        <v>156</v>
      </c>
      <c r="AL17" s="20" t="s">
        <v>541</v>
      </c>
      <c r="AM17" s="20" t="s">
        <v>89</v>
      </c>
      <c r="AN17" s="20" t="s">
        <v>542</v>
      </c>
      <c r="AO17" s="20" t="s">
        <v>543</v>
      </c>
      <c r="AP17" s="20" t="s">
        <v>543</v>
      </c>
      <c r="AQ17" s="20" t="s">
        <v>544</v>
      </c>
      <c r="AR17" s="20" t="s">
        <v>545</v>
      </c>
      <c r="AS17" s="20" t="s">
        <v>546</v>
      </c>
      <c r="AT17" s="20" t="s">
        <v>547</v>
      </c>
      <c r="AU17" s="20">
        <f t="shared" si="0"/>
        <v>29</v>
      </c>
      <c r="AV17" s="21" t="s">
        <v>467</v>
      </c>
      <c r="AW17" s="21" t="s">
        <v>467</v>
      </c>
      <c r="AX17" s="21" t="s">
        <v>548</v>
      </c>
      <c r="AY17" s="21" t="s">
        <v>548</v>
      </c>
      <c r="AZ17" s="21" t="s">
        <v>156</v>
      </c>
      <c r="BA17" s="21" t="s">
        <v>156</v>
      </c>
      <c r="BB17" s="21" t="s">
        <v>549</v>
      </c>
      <c r="BC17" s="20"/>
      <c r="BD17" s="20"/>
      <c r="BE17" s="20"/>
      <c r="BF17" s="21" t="s">
        <v>550</v>
      </c>
      <c r="BG17" s="21" t="s">
        <v>551</v>
      </c>
      <c r="BH17" s="21" t="s">
        <v>552</v>
      </c>
      <c r="BI17" s="21" t="s">
        <v>553</v>
      </c>
      <c r="BJ17" s="20"/>
      <c r="BK17" s="20"/>
      <c r="BL17" s="20"/>
      <c r="BM17" s="21" t="s">
        <v>554</v>
      </c>
      <c r="BN17" s="21" t="s">
        <v>554</v>
      </c>
      <c r="BO17" s="20"/>
      <c r="BP17" s="20"/>
      <c r="BQ17" s="20"/>
      <c r="BR17" s="21" t="s">
        <v>555</v>
      </c>
      <c r="BS17" s="21" t="s">
        <v>556</v>
      </c>
      <c r="BT17" s="20"/>
      <c r="BU17" s="21" t="s">
        <v>400</v>
      </c>
      <c r="BV17" s="20"/>
      <c r="BW17" s="20"/>
      <c r="BX17" s="20"/>
      <c r="BY17" s="20" t="s">
        <v>557</v>
      </c>
      <c r="BZ17" s="20"/>
      <c r="CA17" s="20"/>
      <c r="CB17" s="20"/>
      <c r="CC17" s="20"/>
      <c r="CD17" s="20"/>
      <c r="CE17" s="20"/>
      <c r="CF17"/>
      <c r="CG17" s="1" t="s">
        <v>607</v>
      </c>
    </row>
    <row r="18" spans="1:85" ht="12" customHeight="1" x14ac:dyDescent="0.25">
      <c r="A18" s="19" t="s">
        <v>117</v>
      </c>
      <c r="B18" s="19" t="s">
        <v>161</v>
      </c>
      <c r="C18" t="s">
        <v>244</v>
      </c>
      <c r="D18" s="20" t="s">
        <v>276</v>
      </c>
      <c r="E18" t="s">
        <v>244</v>
      </c>
      <c r="F18" s="20" t="s">
        <v>279</v>
      </c>
      <c r="G18" s="19" t="s">
        <v>52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163</v>
      </c>
      <c r="S18" t="s">
        <v>59</v>
      </c>
      <c r="T18" t="s">
        <v>0</v>
      </c>
      <c r="U18" t="s">
        <v>194</v>
      </c>
      <c r="V18" t="s">
        <v>47</v>
      </c>
      <c r="W18" t="s">
        <v>46</v>
      </c>
      <c r="X18" s="20" t="s">
        <v>285</v>
      </c>
      <c r="Y18" t="s">
        <v>194</v>
      </c>
      <c r="Z18" s="20" t="s">
        <v>194</v>
      </c>
      <c r="AA18" s="20" t="s">
        <v>304</v>
      </c>
      <c r="AB18" s="20" t="s">
        <v>194</v>
      </c>
      <c r="AC18" s="20" t="s">
        <v>194</v>
      </c>
      <c r="AD18" s="20" t="s">
        <v>317</v>
      </c>
      <c r="AE18" t="s">
        <v>250</v>
      </c>
      <c r="AF18" t="s">
        <v>180</v>
      </c>
      <c r="AG18" t="s">
        <v>221</v>
      </c>
      <c r="AH18" t="s">
        <v>221</v>
      </c>
      <c r="AI18" t="s">
        <v>24</v>
      </c>
      <c r="AJ18" t="s">
        <v>89</v>
      </c>
      <c r="AK18" t="s">
        <v>156</v>
      </c>
      <c r="AL18" s="20" t="s">
        <v>541</v>
      </c>
      <c r="AM18" s="20" t="s">
        <v>89</v>
      </c>
      <c r="AN18" s="20" t="s">
        <v>542</v>
      </c>
      <c r="AO18" s="20" t="s">
        <v>558</v>
      </c>
      <c r="AP18" s="20" t="s">
        <v>558</v>
      </c>
      <c r="AQ18" s="20" t="s">
        <v>559</v>
      </c>
      <c r="AR18" s="20" t="s">
        <v>560</v>
      </c>
      <c r="AS18" s="20" t="s">
        <v>561</v>
      </c>
      <c r="AT18" s="20" t="s">
        <v>562</v>
      </c>
      <c r="AU18" s="20">
        <f t="shared" si="0"/>
        <v>29</v>
      </c>
      <c r="AV18" s="21" t="s">
        <v>467</v>
      </c>
      <c r="AW18" s="21" t="s">
        <v>467</v>
      </c>
      <c r="AX18" s="21" t="s">
        <v>548</v>
      </c>
      <c r="AY18" s="21" t="s">
        <v>548</v>
      </c>
      <c r="AZ18" s="21" t="s">
        <v>156</v>
      </c>
      <c r="BA18" s="21" t="s">
        <v>156</v>
      </c>
      <c r="BB18" s="21" t="s">
        <v>549</v>
      </c>
      <c r="BC18" s="20"/>
      <c r="BD18" s="20"/>
      <c r="BE18" s="20"/>
      <c r="BF18" s="21" t="s">
        <v>563</v>
      </c>
      <c r="BG18" s="21" t="s">
        <v>564</v>
      </c>
      <c r="BH18" s="20"/>
      <c r="BI18" s="20"/>
      <c r="BJ18" s="20"/>
      <c r="BK18" s="20"/>
      <c r="BL18" s="20"/>
      <c r="BM18" s="21" t="s">
        <v>554</v>
      </c>
      <c r="BN18" s="21" t="s">
        <v>554</v>
      </c>
      <c r="BO18" s="20"/>
      <c r="BP18" s="20"/>
      <c r="BQ18" s="20"/>
      <c r="BR18" s="21" t="s">
        <v>555</v>
      </c>
      <c r="BS18" s="21" t="s">
        <v>556</v>
      </c>
      <c r="BT18" s="20"/>
      <c r="BU18" s="21" t="s">
        <v>400</v>
      </c>
      <c r="BV18" s="20"/>
      <c r="BW18" s="20"/>
      <c r="BX18" s="20"/>
      <c r="BY18" s="20" t="s">
        <v>565</v>
      </c>
      <c r="BZ18" s="20"/>
      <c r="CA18" s="20"/>
      <c r="CB18" s="20"/>
      <c r="CC18" s="20"/>
      <c r="CD18" s="20"/>
      <c r="CE18" s="20"/>
      <c r="CF18"/>
      <c r="CG18" s="1" t="s">
        <v>607</v>
      </c>
    </row>
    <row r="19" spans="1:85" ht="12" customHeight="1" x14ac:dyDescent="0.25">
      <c r="A19" s="19" t="s">
        <v>117</v>
      </c>
      <c r="B19" s="19" t="s">
        <v>161</v>
      </c>
      <c r="C19" t="s">
        <v>244</v>
      </c>
      <c r="D19" s="20" t="s">
        <v>276</v>
      </c>
      <c r="E19" t="s">
        <v>244</v>
      </c>
      <c r="F19" s="20" t="s">
        <v>279</v>
      </c>
      <c r="G19" s="19" t="s">
        <v>52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49</v>
      </c>
      <c r="S19" t="s">
        <v>107</v>
      </c>
      <c r="T19" t="s">
        <v>196</v>
      </c>
      <c r="U19" t="s">
        <v>263</v>
      </c>
      <c r="V19" t="s">
        <v>16</v>
      </c>
      <c r="W19" t="s">
        <v>110</v>
      </c>
      <c r="X19" s="20" t="s">
        <v>196</v>
      </c>
      <c r="Y19" t="s">
        <v>263</v>
      </c>
      <c r="Z19" s="20" t="s">
        <v>263</v>
      </c>
      <c r="AA19" s="20" t="s">
        <v>310</v>
      </c>
      <c r="AB19" s="20" t="s">
        <v>263</v>
      </c>
      <c r="AC19" s="20" t="s">
        <v>263</v>
      </c>
      <c r="AD19" s="20" t="s">
        <v>318</v>
      </c>
      <c r="AE19" t="s">
        <v>233</v>
      </c>
      <c r="AF19" t="s">
        <v>7</v>
      </c>
      <c r="AG19" t="s">
        <v>84</v>
      </c>
      <c r="AH19" t="s">
        <v>183</v>
      </c>
      <c r="AI19" t="s">
        <v>86</v>
      </c>
      <c r="AJ19" t="s">
        <v>110</v>
      </c>
      <c r="AK19" t="s">
        <v>56</v>
      </c>
      <c r="AL19" s="20" t="s">
        <v>502</v>
      </c>
      <c r="AM19" s="20"/>
      <c r="AN19" s="20"/>
      <c r="AO19" s="20" t="s">
        <v>566</v>
      </c>
      <c r="AP19" s="20" t="s">
        <v>566</v>
      </c>
      <c r="AQ19" s="20" t="s">
        <v>567</v>
      </c>
      <c r="AR19" s="20" t="s">
        <v>568</v>
      </c>
      <c r="AS19" s="20" t="s">
        <v>569</v>
      </c>
      <c r="AT19" s="20" t="s">
        <v>570</v>
      </c>
      <c r="AU19" s="20">
        <f t="shared" si="0"/>
        <v>27</v>
      </c>
      <c r="AV19" s="21" t="s">
        <v>508</v>
      </c>
      <c r="AW19" s="21" t="s">
        <v>509</v>
      </c>
      <c r="AX19" s="21" t="s">
        <v>510</v>
      </c>
      <c r="AY19" s="20"/>
      <c r="AZ19" s="21" t="s">
        <v>56</v>
      </c>
      <c r="BA19" s="21" t="s">
        <v>56</v>
      </c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1" t="s">
        <v>571</v>
      </c>
      <c r="BS19" s="21" t="s">
        <v>571</v>
      </c>
      <c r="BT19" s="21" t="s">
        <v>458</v>
      </c>
      <c r="BU19" s="20"/>
      <c r="BV19" s="21" t="s">
        <v>426</v>
      </c>
      <c r="BW19" s="20"/>
      <c r="BX19" s="20"/>
      <c r="BY19" s="20" t="s">
        <v>514</v>
      </c>
      <c r="BZ19" s="20"/>
      <c r="CA19" s="20"/>
      <c r="CB19" s="20"/>
      <c r="CC19" s="20"/>
      <c r="CD19" s="20"/>
      <c r="CE19" s="20"/>
      <c r="CF19"/>
      <c r="CG19" s="1" t="s">
        <v>607</v>
      </c>
    </row>
    <row r="20" spans="1:85" ht="12" customHeight="1" x14ac:dyDescent="0.25">
      <c r="A20" s="19" t="s">
        <v>117</v>
      </c>
      <c r="B20" s="19" t="s">
        <v>161</v>
      </c>
      <c r="C20" t="s">
        <v>244</v>
      </c>
      <c r="D20" s="20" t="s">
        <v>276</v>
      </c>
      <c r="E20" t="s">
        <v>244</v>
      </c>
      <c r="F20" s="20" t="s">
        <v>279</v>
      </c>
      <c r="G20" s="19" t="s">
        <v>52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85</v>
      </c>
      <c r="S20" t="s">
        <v>107</v>
      </c>
      <c r="T20" t="s">
        <v>196</v>
      </c>
      <c r="U20" t="s">
        <v>249</v>
      </c>
      <c r="V20" t="s">
        <v>16</v>
      </c>
      <c r="W20" t="s">
        <v>110</v>
      </c>
      <c r="X20" s="20" t="s">
        <v>196</v>
      </c>
      <c r="Y20" t="s">
        <v>249</v>
      </c>
      <c r="Z20" s="20" t="s">
        <v>249</v>
      </c>
      <c r="AA20" s="20" t="s">
        <v>310</v>
      </c>
      <c r="AB20" s="20" t="s">
        <v>249</v>
      </c>
      <c r="AC20" s="20" t="s">
        <v>249</v>
      </c>
      <c r="AD20" s="20" t="s">
        <v>319</v>
      </c>
      <c r="AE20" t="s">
        <v>104</v>
      </c>
      <c r="AF20" t="s">
        <v>74</v>
      </c>
      <c r="AG20" t="s">
        <v>19</v>
      </c>
      <c r="AH20" t="s">
        <v>154</v>
      </c>
      <c r="AI20" t="s">
        <v>86</v>
      </c>
      <c r="AJ20" t="s">
        <v>110</v>
      </c>
      <c r="AK20" t="s">
        <v>56</v>
      </c>
      <c r="AL20" s="20" t="s">
        <v>502</v>
      </c>
      <c r="AM20" s="20"/>
      <c r="AN20" s="20"/>
      <c r="AO20" s="20" t="s">
        <v>572</v>
      </c>
      <c r="AP20" s="20" t="s">
        <v>572</v>
      </c>
      <c r="AQ20" s="20" t="s">
        <v>573</v>
      </c>
      <c r="AR20" s="20" t="s">
        <v>574</v>
      </c>
      <c r="AS20" s="20" t="s">
        <v>575</v>
      </c>
      <c r="AT20" s="20" t="s">
        <v>576</v>
      </c>
      <c r="AU20" s="20">
        <f t="shared" si="0"/>
        <v>30</v>
      </c>
      <c r="AV20" s="21" t="s">
        <v>508</v>
      </c>
      <c r="AW20" s="21" t="s">
        <v>509</v>
      </c>
      <c r="AX20" s="21" t="s">
        <v>510</v>
      </c>
      <c r="AY20" s="20"/>
      <c r="AZ20" s="21" t="s">
        <v>56</v>
      </c>
      <c r="BA20" s="21" t="s">
        <v>56</v>
      </c>
      <c r="BB20" s="20"/>
      <c r="BC20" s="20"/>
      <c r="BD20" s="20"/>
      <c r="BE20" s="20"/>
      <c r="BF20" s="21" t="s">
        <v>577</v>
      </c>
      <c r="BG20" s="21" t="s">
        <v>578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1" t="s">
        <v>513</v>
      </c>
      <c r="BS20" s="21" t="s">
        <v>513</v>
      </c>
      <c r="BT20" s="21" t="s">
        <v>352</v>
      </c>
      <c r="BU20" s="20"/>
      <c r="BV20" s="21" t="s">
        <v>426</v>
      </c>
      <c r="BW20" s="20"/>
      <c r="BX20" s="20"/>
      <c r="BY20" s="20" t="s">
        <v>514</v>
      </c>
      <c r="BZ20" s="20"/>
      <c r="CA20" s="20"/>
      <c r="CB20" s="20"/>
      <c r="CC20" s="20"/>
      <c r="CD20" s="20"/>
      <c r="CE20" s="20"/>
      <c r="CF20"/>
      <c r="CG20" s="1" t="s">
        <v>607</v>
      </c>
    </row>
    <row r="21" spans="1:85" ht="12" customHeight="1" x14ac:dyDescent="0.25">
      <c r="A21" s="19" t="s">
        <v>117</v>
      </c>
      <c r="B21" s="19" t="s">
        <v>161</v>
      </c>
      <c r="C21" t="s">
        <v>244</v>
      </c>
      <c r="D21" s="20" t="s">
        <v>276</v>
      </c>
      <c r="E21" t="s">
        <v>244</v>
      </c>
      <c r="F21" s="20" t="s">
        <v>279</v>
      </c>
      <c r="G21" s="19" t="s">
        <v>52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152</v>
      </c>
      <c r="S21" t="s">
        <v>187</v>
      </c>
      <c r="T21" t="s">
        <v>220</v>
      </c>
      <c r="U21" t="s">
        <v>246</v>
      </c>
      <c r="V21" t="s">
        <v>265</v>
      </c>
      <c r="W21" t="s">
        <v>110</v>
      </c>
      <c r="X21" s="20" t="s">
        <v>5</v>
      </c>
      <c r="Y21" t="s">
        <v>108</v>
      </c>
      <c r="Z21" s="20" t="s">
        <v>108</v>
      </c>
      <c r="AA21" s="20" t="s">
        <v>290</v>
      </c>
      <c r="AB21" s="20" t="s">
        <v>108</v>
      </c>
      <c r="AC21" s="20" t="s">
        <v>108</v>
      </c>
      <c r="AD21" s="20" t="s">
        <v>320</v>
      </c>
      <c r="AE21" t="s">
        <v>40</v>
      </c>
      <c r="AF21" t="s">
        <v>274</v>
      </c>
      <c r="AG21" t="s">
        <v>167</v>
      </c>
      <c r="AH21" t="s">
        <v>167</v>
      </c>
      <c r="AI21" t="s">
        <v>42</v>
      </c>
      <c r="AJ21" t="s">
        <v>111</v>
      </c>
      <c r="AK21" t="s">
        <v>110</v>
      </c>
      <c r="AL21" s="20" t="s">
        <v>579</v>
      </c>
      <c r="AM21" s="20" t="s">
        <v>111</v>
      </c>
      <c r="AN21" s="20" t="s">
        <v>580</v>
      </c>
      <c r="AO21" s="20" t="s">
        <v>581</v>
      </c>
      <c r="AP21" s="20" t="s">
        <v>581</v>
      </c>
      <c r="AQ21" s="20" t="s">
        <v>582</v>
      </c>
      <c r="AR21" s="20" t="s">
        <v>583</v>
      </c>
      <c r="AS21" s="20" t="s">
        <v>584</v>
      </c>
      <c r="AT21" s="20" t="s">
        <v>585</v>
      </c>
      <c r="AU21" s="20">
        <f t="shared" si="0"/>
        <v>30</v>
      </c>
      <c r="AV21" s="21" t="s">
        <v>586</v>
      </c>
      <c r="AW21" s="21" t="s">
        <v>586</v>
      </c>
      <c r="AX21" s="21" t="s">
        <v>587</v>
      </c>
      <c r="AY21" s="21" t="s">
        <v>587</v>
      </c>
      <c r="AZ21" s="20"/>
      <c r="BA21" s="20"/>
      <c r="BB21" s="20"/>
      <c r="BC21" s="20"/>
      <c r="BD21" s="20"/>
      <c r="BE21" s="20"/>
      <c r="BF21" s="21" t="s">
        <v>588</v>
      </c>
      <c r="BG21" s="21" t="s">
        <v>589</v>
      </c>
      <c r="BH21" s="20"/>
      <c r="BI21" s="20"/>
      <c r="BJ21" s="20"/>
      <c r="BK21" s="20"/>
      <c r="BL21" s="20"/>
      <c r="BM21" s="21" t="s">
        <v>454</v>
      </c>
      <c r="BN21" s="21" t="s">
        <v>454</v>
      </c>
      <c r="BO21" s="21" t="s">
        <v>590</v>
      </c>
      <c r="BP21" s="21" t="s">
        <v>590</v>
      </c>
      <c r="BQ21" s="21" t="s">
        <v>591</v>
      </c>
      <c r="BR21" s="21" t="s">
        <v>451</v>
      </c>
      <c r="BS21" s="21" t="s">
        <v>451</v>
      </c>
      <c r="BT21" s="20"/>
      <c r="BU21" s="21" t="s">
        <v>400</v>
      </c>
      <c r="BV21" s="21" t="s">
        <v>426</v>
      </c>
      <c r="BW21" s="20"/>
      <c r="BX21" s="20"/>
      <c r="BY21" s="20" t="s">
        <v>592</v>
      </c>
      <c r="BZ21" s="20"/>
      <c r="CA21" s="20"/>
      <c r="CB21" s="20"/>
      <c r="CC21" s="20"/>
      <c r="CD21" s="20"/>
      <c r="CE21" s="20"/>
      <c r="CF21"/>
      <c r="CG21" s="1" t="s">
        <v>607</v>
      </c>
    </row>
    <row r="22" spans="1:85" ht="12" customHeight="1" x14ac:dyDescent="0.25">
      <c r="A22" s="19" t="s">
        <v>117</v>
      </c>
      <c r="B22" s="19" t="s">
        <v>161</v>
      </c>
      <c r="C22" t="s">
        <v>244</v>
      </c>
      <c r="D22" s="20" t="s">
        <v>276</v>
      </c>
      <c r="E22" t="s">
        <v>244</v>
      </c>
      <c r="F22" s="20" t="s">
        <v>279</v>
      </c>
      <c r="G22" s="19" t="s">
        <v>52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13</v>
      </c>
      <c r="S22" t="s">
        <v>178</v>
      </c>
      <c r="T22" t="s">
        <v>5</v>
      </c>
      <c r="U22" t="s">
        <v>260</v>
      </c>
      <c r="V22" t="s">
        <v>58</v>
      </c>
      <c r="W22" t="s">
        <v>110</v>
      </c>
      <c r="X22" s="20" t="s">
        <v>288</v>
      </c>
      <c r="Y22" t="s">
        <v>142</v>
      </c>
      <c r="Z22" s="20" t="s">
        <v>142</v>
      </c>
      <c r="AA22" s="20" t="s">
        <v>321</v>
      </c>
      <c r="AB22" s="20" t="s">
        <v>142</v>
      </c>
      <c r="AC22" s="20" t="s">
        <v>322</v>
      </c>
      <c r="AD22" s="20" t="s">
        <v>323</v>
      </c>
      <c r="AE22" t="s">
        <v>72</v>
      </c>
      <c r="AF22" t="s">
        <v>79</v>
      </c>
      <c r="AG22" t="s">
        <v>38</v>
      </c>
      <c r="AH22" t="s">
        <v>38</v>
      </c>
      <c r="AI22" t="s">
        <v>1</v>
      </c>
      <c r="AJ22" t="s">
        <v>111</v>
      </c>
      <c r="AK22" t="s">
        <v>137</v>
      </c>
      <c r="AL22" s="20" t="s">
        <v>593</v>
      </c>
      <c r="AM22" s="20" t="s">
        <v>111</v>
      </c>
      <c r="AN22" s="20" t="s">
        <v>580</v>
      </c>
      <c r="AO22" s="20" t="s">
        <v>594</v>
      </c>
      <c r="AP22" s="20" t="s">
        <v>594</v>
      </c>
      <c r="AQ22" s="20" t="s">
        <v>595</v>
      </c>
      <c r="AR22" s="20" t="s">
        <v>596</v>
      </c>
      <c r="AS22" s="20" t="s">
        <v>597</v>
      </c>
      <c r="AT22" s="20" t="s">
        <v>598</v>
      </c>
      <c r="AU22" s="20">
        <f t="shared" si="0"/>
        <v>30</v>
      </c>
      <c r="AV22" s="21" t="s">
        <v>599</v>
      </c>
      <c r="AW22" s="21" t="s">
        <v>599</v>
      </c>
      <c r="AX22" s="21" t="s">
        <v>600</v>
      </c>
      <c r="AY22" s="21" t="s">
        <v>600</v>
      </c>
      <c r="AZ22" s="21" t="s">
        <v>137</v>
      </c>
      <c r="BA22" s="21" t="s">
        <v>137</v>
      </c>
      <c r="BB22" s="21" t="s">
        <v>601</v>
      </c>
      <c r="BC22" s="20"/>
      <c r="BD22" s="20"/>
      <c r="BE22" s="20"/>
      <c r="BF22" s="21" t="s">
        <v>602</v>
      </c>
      <c r="BG22" s="21" t="s">
        <v>603</v>
      </c>
      <c r="BH22" s="20"/>
      <c r="BI22" s="20"/>
      <c r="BJ22" s="20"/>
      <c r="BK22" s="20"/>
      <c r="BL22" s="20"/>
      <c r="BM22" s="21" t="s">
        <v>454</v>
      </c>
      <c r="BN22" s="21" t="s">
        <v>454</v>
      </c>
      <c r="BO22" s="20"/>
      <c r="BP22" s="20"/>
      <c r="BQ22" s="20"/>
      <c r="BR22" s="21" t="s">
        <v>604</v>
      </c>
      <c r="BS22" s="21" t="s">
        <v>605</v>
      </c>
      <c r="BT22" s="20"/>
      <c r="BU22" s="21" t="s">
        <v>400</v>
      </c>
      <c r="BV22" s="20"/>
      <c r="BW22" s="20"/>
      <c r="BX22" s="20"/>
      <c r="BY22" s="20" t="s">
        <v>606</v>
      </c>
      <c r="BZ22" s="20"/>
      <c r="CA22" s="20"/>
      <c r="CB22" s="20"/>
      <c r="CC22" s="20"/>
      <c r="CD22" s="20"/>
      <c r="CE22" s="20"/>
      <c r="CF22"/>
      <c r="CG22" s="1" t="s">
        <v>607</v>
      </c>
    </row>
  </sheetData>
  <autoFilter ref="A1:CG22"/>
  <sortState ref="A2:CH22">
    <sortCondition ref="P2:P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2023-08-05T12:50:50Z</dcterms:modified>
</cp:coreProperties>
</file>