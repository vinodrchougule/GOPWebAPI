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Sheet1!$A$1:$AP$201</definedName>
  </definedNames>
  <calcPr calcId="162913"/>
  <webPublishing codePage="0"/>
</workbook>
</file>

<file path=xl/calcChain.xml><?xml version="1.0" encoding="utf-8"?>
<calcChain xmlns="http://schemas.openxmlformats.org/spreadsheetml/2006/main">
  <c r="Z201" i="1" l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<sst xmlns="http://schemas.openxmlformats.org/spreadsheetml/2006/main" count="3836" uniqueCount="813">
  <si>
    <t>CLOSED MANIPULATED REDUCTION (CMR) - ACETABULUM</t>
  </si>
  <si>
    <t>CICU - 6-12 HOURS</t>
  </si>
  <si>
    <t>P-AUD-00015</t>
  </si>
  <si>
    <t>ORT662</t>
  </si>
  <si>
    <t>CLOSED/OPEN REDUCTION - DRUJ</t>
  </si>
  <si>
    <t>S-ORS-00194</t>
  </si>
  <si>
    <t>SGO628</t>
  </si>
  <si>
    <t>Remarks_V2</t>
  </si>
  <si>
    <t>CIRCULATING IMMUNE COMPLEX</t>
  </si>
  <si>
    <t>ORT1415</t>
  </si>
  <si>
    <t>CHYLURIA, URINE</t>
  </si>
  <si>
    <t>I-MOB-01195</t>
  </si>
  <si>
    <t>I-MOB-01196</t>
  </si>
  <si>
    <t>I-MOB-01099</t>
  </si>
  <si>
    <t>P-PDP-00119</t>
  </si>
  <si>
    <t>O-CSS-00085</t>
  </si>
  <si>
    <t>O-CSS-00087</t>
  </si>
  <si>
    <t>O-CSS-00086</t>
  </si>
  <si>
    <t>PSYCHIATRY PROCEDURE</t>
  </si>
  <si>
    <t>S-ORS-00182</t>
  </si>
  <si>
    <t>P-ORP-00138</t>
  </si>
  <si>
    <t>P-ORP-00139</t>
  </si>
  <si>
    <t>CLOSED MANIPULATED REDUCTION (CMR) - LEVEL 1</t>
  </si>
  <si>
    <t>CENTRE OF EXCELLENCE FOR NEUROSCIENCES</t>
  </si>
  <si>
    <t>CHRONIC MYELOPROLIFERATIVE DISORDER GENE PANEL (CMPD)</t>
  </si>
  <si>
    <t>NEUROSURGERY AND SPINE SURGERY</t>
  </si>
  <si>
    <t>Exclusive</t>
  </si>
  <si>
    <t>ORT90</t>
  </si>
  <si>
    <t>CLEFT RELATED PROCEDURES - LEVEL 3</t>
  </si>
  <si>
    <t>CATHETERIZATION</t>
  </si>
  <si>
    <t>Kannur_6098</t>
  </si>
  <si>
    <t>P-GAP-00037</t>
  </si>
  <si>
    <t>SGO625</t>
  </si>
  <si>
    <t>MOB126</t>
  </si>
  <si>
    <t>GNS631</t>
  </si>
  <si>
    <t>CLOSED REDUCTION - FRACTURE</t>
  </si>
  <si>
    <t>I-MOB-00474 / C0342</t>
  </si>
  <si>
    <t>I-HIS-00741 / C0107</t>
  </si>
  <si>
    <t>I-MOB-00692 / C0104</t>
  </si>
  <si>
    <t>P-PEP-00309</t>
  </si>
  <si>
    <t>ORT536</t>
  </si>
  <si>
    <t>P-CPS-00058</t>
  </si>
  <si>
    <t>P-CPS-00059</t>
  </si>
  <si>
    <t>BIO237</t>
  </si>
  <si>
    <t>O-CSS-00796</t>
  </si>
  <si>
    <t>P-NOT-00014</t>
  </si>
  <si>
    <t>CENTRE OF EXCELLENCE FOR ORTHOPAEDICS AND RHEUMATOLOGY</t>
  </si>
  <si>
    <t>CLOSED REDUCTION + HIP SPICA (DDH) - LEVEL 4</t>
  </si>
  <si>
    <t>S-PLS-00091</t>
  </si>
  <si>
    <t>S-PLS-00094</t>
  </si>
  <si>
    <t>CLOSED REDUCTION - FRACTURES/DISLOCATION</t>
  </si>
  <si>
    <t>CLOSED REDUCTION AND INTERNAL FIXATION (CRIF) - PHALANGEAL FRACTURE</t>
  </si>
  <si>
    <t>I-MOB-01044</t>
  </si>
  <si>
    <t>I-MOB-01040</t>
  </si>
  <si>
    <t>I-MOB-01041</t>
  </si>
  <si>
    <t>I-MOB-01042</t>
  </si>
  <si>
    <t>I-MOB-01043</t>
  </si>
  <si>
    <t>CLOSED REDUCTION AND INTERNAL FIXATION (CRIF) + INTERLOCKING NAILING (ILN) + DYNAMIC COMPRESSION PLATE (DCP) - HUMERUS</t>
  </si>
  <si>
    <t>CLARIA NIPS TWINS - MGM536</t>
  </si>
  <si>
    <t>ORT91</t>
  </si>
  <si>
    <t>ORT93</t>
  </si>
  <si>
    <t>ORT92</t>
  </si>
  <si>
    <t>CLOSED MANIPULATED REDUCTION (CMR) - LEVEL 2</t>
  </si>
  <si>
    <t>CENTRE OF EXCELLENCE FOR CHILD AND ADOLESCENT HEALTH</t>
  </si>
  <si>
    <t>CLOSED FEMORAL INTERLOCKING NAILING FIXATION - RETROGRADE</t>
  </si>
  <si>
    <t>SURGICAL ONCOLOGY</t>
  </si>
  <si>
    <t>CLEAINING AND SUTURING</t>
  </si>
  <si>
    <t>SUTURING</t>
  </si>
  <si>
    <t>HISTOPATHOLOGY - OTHER</t>
  </si>
  <si>
    <t>CLINICAL VESTIBULOLOGY - LEVEL 2</t>
  </si>
  <si>
    <t>CLEFT RELATED PROCEDURES - LEVEL 2</t>
  </si>
  <si>
    <t>LACERATION</t>
  </si>
  <si>
    <t>CLOSED REDUCTION - DISLOCATION</t>
  </si>
  <si>
    <t>CLOSED REDUCTION - FRACTURES/DISLOCATIONS - GENERAL ANAESTHESIA (GA) - LEVEL 2</t>
  </si>
  <si>
    <t>New Service Code-Without DOS</t>
  </si>
  <si>
    <t>P-PEP-00311</t>
  </si>
  <si>
    <t>P-PEP-00310</t>
  </si>
  <si>
    <t>P-PEP-00312</t>
  </si>
  <si>
    <t>I-MOB-00699 / C0120</t>
  </si>
  <si>
    <t>Snomed_Code</t>
  </si>
  <si>
    <t>CHROMOSOMAL MICROARRAY (350K)</t>
  </si>
  <si>
    <t>CENTRE OF EXCELLENCE FOR MULTI SPECIALITY - MEDICAL</t>
  </si>
  <si>
    <t>VALVOTOMY</t>
  </si>
  <si>
    <t>CLOSTRIDIUM DIFFICILE - GDH, TOXIN A &amp; B DETECTION, STOOL, RAPID CARD TEST</t>
  </si>
  <si>
    <t>S-ORS-01300</t>
  </si>
  <si>
    <t>SURGICAL GASTROENTEROLOGY</t>
  </si>
  <si>
    <t>ORT47</t>
  </si>
  <si>
    <t>New Service Code</t>
  </si>
  <si>
    <t>GYN65</t>
  </si>
  <si>
    <t>ORT83</t>
  </si>
  <si>
    <t>CLOSURE - BLADDER EXSTROPHY - NO SPHINCTER RECONSTRUCTION</t>
  </si>
  <si>
    <t>CLOSED MANIPULATED REDUCTION (CMR) - LEVEL 3</t>
  </si>
  <si>
    <t>CLOSED PINNING - LEVEL 3</t>
  </si>
  <si>
    <t>CLOSURE - COLOSTOMY - LAPAROSCOPIC</t>
  </si>
  <si>
    <t>CRANIOTOMY - SDH</t>
  </si>
  <si>
    <t>CHYLE EXAMINATION</t>
  </si>
  <si>
    <t>HEART SURGERY - CLOSED</t>
  </si>
  <si>
    <t>PHARYNGECTOMY</t>
  </si>
  <si>
    <t>CKIT AND PDGFR (GASTROINTESTINAL STROMAL TUMORS)</t>
  </si>
  <si>
    <t>CLINICAL VESTIBULOLOGY - LEVEL 1</t>
  </si>
  <si>
    <t>CLOSED REDUCTION UNDER ANAESTHESIA</t>
  </si>
  <si>
    <t>ORT540</t>
  </si>
  <si>
    <t>TRAINING</t>
  </si>
  <si>
    <t>OK</t>
  </si>
  <si>
    <t>SGO627</t>
  </si>
  <si>
    <t>CLEFT SURGERY (SMILE TRAIN)</t>
  </si>
  <si>
    <t>CLONALITY ASSESSMENT IN B AND T CELL LYMPHOPROLIFERATIVE DISORDERS</t>
  </si>
  <si>
    <t>CLOMIPRAMINE</t>
  </si>
  <si>
    <t>IPP-PCR-00129</t>
  </si>
  <si>
    <t>CIC TRAINING</t>
  </si>
  <si>
    <t>HAEMATOLOGY</t>
  </si>
  <si>
    <t>IMMUNOLOGY</t>
  </si>
  <si>
    <t>S-PES-00389</t>
  </si>
  <si>
    <t>CENTRE OF EXCELLENCE FOR GASTROENTEROLOGY AND INTEGRATED LIVER CARE</t>
  </si>
  <si>
    <t>CENTRE OF EXCELLENCE FOR RENAL SCIENCES</t>
  </si>
  <si>
    <t>Mother_7711</t>
  </si>
  <si>
    <t>General Surgeries</t>
  </si>
  <si>
    <t>IPP-PCR-00026</t>
  </si>
  <si>
    <t>CLOSED REDUCTION + INTERLOCKING NAILING</t>
  </si>
  <si>
    <t>S-CMS-00299</t>
  </si>
  <si>
    <t>ORT31</t>
  </si>
  <si>
    <t>SXH</t>
  </si>
  <si>
    <t>Billing Group</t>
  </si>
  <si>
    <t>ANHRI_1412</t>
  </si>
  <si>
    <t>CLOSED PINNING - LEVEL 2</t>
  </si>
  <si>
    <t>CLARIA NIPS TWINS - MGM536A</t>
  </si>
  <si>
    <t>ORT1150</t>
  </si>
  <si>
    <t>CLOSED NAILING FEMUR/TIBIA</t>
  </si>
  <si>
    <t>I-HIS-00834</t>
  </si>
  <si>
    <t>ORT551</t>
  </si>
  <si>
    <t>GASTRO PROCEDURE</t>
  </si>
  <si>
    <t>ASTER EMERGENCY MEDICINE</t>
  </si>
  <si>
    <t>CLINICAL EXOME SEQUENCING - CGH ARRAY, TYPE 1, 750K</t>
  </si>
  <si>
    <t>CHROMOENDOSCOPY - COLON</t>
  </si>
  <si>
    <t>CICU - HALF DAY</t>
  </si>
  <si>
    <t>CHRONIC LYMPHO-PROLIFERATIVE DISORDERS FLOW CYTOMETRY-MGM</t>
  </si>
  <si>
    <t>VESTIBULOLOGY - CLINICAL</t>
  </si>
  <si>
    <t>CLOSE REDUCTION AND SLAB</t>
  </si>
  <si>
    <t>Production User Comments</t>
  </si>
  <si>
    <t>MICROBIOLOGY</t>
  </si>
  <si>
    <t>Aadhar_3272</t>
  </si>
  <si>
    <t>Generalised Service Name Level 1_V2</t>
  </si>
  <si>
    <t>Generalised Service Name Level 1_V1</t>
  </si>
  <si>
    <t>Status</t>
  </si>
  <si>
    <t>CLEAINING AND SUTURING - ANAESTHESIA - OTHER THAN FACE / HAND / TENDON</t>
  </si>
  <si>
    <t>ORT443</t>
  </si>
  <si>
    <t>CLOSED MANIPULATED REDUCTION (CMR) + PLASTER OF PARIS (POP)</t>
  </si>
  <si>
    <t>LAB SERVICES</t>
  </si>
  <si>
    <t>Kottakkal_4106</t>
  </si>
  <si>
    <t>Production User</t>
  </si>
  <si>
    <t>ORT26</t>
  </si>
  <si>
    <t>CICU</t>
  </si>
  <si>
    <t>GENERAL SURGERY IP PACKAGE</t>
  </si>
  <si>
    <t>CLEAR VEG SOUP CHARGES</t>
  </si>
  <si>
    <t>CLOSED HEART SURGERY - LEVEL 2</t>
  </si>
  <si>
    <t>CIRCULAR PHARYNGECTOMY - ONCOLOGY - LEVEL 6</t>
  </si>
  <si>
    <t>COUNSELLING</t>
  </si>
  <si>
    <t>CHROMOSOMAL MICROARRAY - AFFYMETRIX CYTOSCAN 750K GENECHIP</t>
  </si>
  <si>
    <t>CHRONIC PANCREATITIS MUTATION PANEL 2</t>
  </si>
  <si>
    <t>CHRONIC PANCREATITIS MUTATION PANEL 1</t>
  </si>
  <si>
    <t>PAEDIATRIC SURGERY IP PACKAGE</t>
  </si>
  <si>
    <t>PAE24</t>
  </si>
  <si>
    <t>NEPHROLOGY - DIALYSIS</t>
  </si>
  <si>
    <t>CLOSED MOBILE - LEVEL 3</t>
  </si>
  <si>
    <t>CLOSED MOBILE - LEVEL 2</t>
  </si>
  <si>
    <t>CLOSED MOBILE - LEVEL 1</t>
  </si>
  <si>
    <t>P-ORP-00160</t>
  </si>
  <si>
    <t>ORT546</t>
  </si>
  <si>
    <t>ORT576</t>
  </si>
  <si>
    <t>ORT566</t>
  </si>
  <si>
    <t>CHRONIC OBSTRUCTIVE PULMONARY DISEASE (COPD) PROFILE</t>
  </si>
  <si>
    <t>IPP-ORI-00473</t>
  </si>
  <si>
    <t>IPP-ORI-00472</t>
  </si>
  <si>
    <t>IPP-ORI-00475</t>
  </si>
  <si>
    <t>IPP-ORI-00474</t>
  </si>
  <si>
    <t>CLEAR RETAINER - PER ARCH</t>
  </si>
  <si>
    <t>IPP-ORI-00476</t>
  </si>
  <si>
    <t>Common</t>
  </si>
  <si>
    <t>CLOSED REDUCTION + INTERLOCKING NAILING - HUMERUS FRACTURE</t>
  </si>
  <si>
    <t>CLOSED REDUCTION - HIP/SHOULDER</t>
  </si>
  <si>
    <t>CLOSED MANIPULATED REDUCTION (CMR) - SEDATION</t>
  </si>
  <si>
    <t>VESTIBULOLOGY</t>
  </si>
  <si>
    <t>I-BIO-00702</t>
  </si>
  <si>
    <t>CLOSED MANIPULATED REDUCTION (CMR) + FIXATION - LEVEL 4</t>
  </si>
  <si>
    <t>CLOSED MANIPULATED REDUCTION (CMR) + FIXATION - LEVEL 5</t>
  </si>
  <si>
    <t>CLOSED MANIPULATED REDUCTION (CMR) + FIXATION - LEVEL 1</t>
  </si>
  <si>
    <t>CLOSED MANIPULATED REDUCTION (CMR) + FIXATION - LEVEL 2</t>
  </si>
  <si>
    <t>O-DCH-00034</t>
  </si>
  <si>
    <t>Department Type</t>
  </si>
  <si>
    <t>CLINICAL EXOME TYPE 1- EXPEDITED TAT - MGM720</t>
  </si>
  <si>
    <t>I-MOB-00084 / C0114</t>
  </si>
  <si>
    <t>O-MIS-00085</t>
  </si>
  <si>
    <t>CITRATE DIALYSIS</t>
  </si>
  <si>
    <t>IPP-ORI-00075</t>
  </si>
  <si>
    <t>IPP-ORI-00076</t>
  </si>
  <si>
    <t>IPP-ORI-00073</t>
  </si>
  <si>
    <t>IPP-ORI-00079</t>
  </si>
  <si>
    <t>CLEAN INTERMITTENT SELF CATHETERISATION (CISC)</t>
  </si>
  <si>
    <t>P-ORP-00015</t>
  </si>
  <si>
    <t>P-ORP-00013</t>
  </si>
  <si>
    <t>GENERAL SURGERY</t>
  </si>
  <si>
    <t>PULMONOLOGY PROCEDURES</t>
  </si>
  <si>
    <t>CLOSED REDUCTION - PHALANGEAL FRACTURE</t>
  </si>
  <si>
    <t>SI no</t>
  </si>
  <si>
    <t>CLOSED REDUCTION AND INTERNAL FIXATION (CRIF) + LOCKING COMPRESSION PLATE (LCP)</t>
  </si>
  <si>
    <t>CHRONIC PAIN MANAGEMENT - LEVEL 1</t>
  </si>
  <si>
    <t>CHRONIC PAIN MANAGEMENT - LEVEL 2</t>
  </si>
  <si>
    <t>O-DCH-00259</t>
  </si>
  <si>
    <t>IPD PACKAGES</t>
  </si>
  <si>
    <t>Ongole_2316</t>
  </si>
  <si>
    <t>S-GNS-00782</t>
  </si>
  <si>
    <t>IPP-ORI-00071</t>
  </si>
  <si>
    <t>CLEFT RELATED PROCEDURES - MAJOR</t>
  </si>
  <si>
    <t>CLINICAL EXOME TYPE 1- EXPEDITED TAT - MGM720A</t>
  </si>
  <si>
    <t>CLOSE REDUCTION - FRACTURES - LIMB + PLASTER OF PARIS (POP)</t>
  </si>
  <si>
    <t>IPP-ORI-00463</t>
  </si>
  <si>
    <t>IPP-ORI-00464</t>
  </si>
  <si>
    <t>OTHER BILLING HEADS</t>
  </si>
  <si>
    <t>CLOSED MANIPULATED REDUCTION (CMR) + INTER LOCKING NAILING - TIBIAL FRACTURE</t>
  </si>
  <si>
    <t>ORT1434</t>
  </si>
  <si>
    <t>CLINICAL EXOME HIGHER DEPTH (250 X)</t>
  </si>
  <si>
    <t>PED74</t>
  </si>
  <si>
    <t>CLOSURE - ARTERIOVENOUS FISTULA (AVF) - LEVEL 1</t>
  </si>
  <si>
    <t>CHRONIC SUBDURAL HAEMORRHAGE (SDH) - CRANIOTOMY</t>
  </si>
  <si>
    <t>MOB31</t>
  </si>
  <si>
    <t>CLOSED MANIPULATED REDUCTION (CMR) + PLASTER OF PARIS (POP) CAST - DISTAL END RADIUS FRACTURE</t>
  </si>
  <si>
    <t>IPP-ORI-00067</t>
  </si>
  <si>
    <t>IPP-ORI-00069</t>
  </si>
  <si>
    <t>IPP-ORI-00068</t>
  </si>
  <si>
    <t>CLARIA NIPS</t>
  </si>
  <si>
    <t>PLASTIC AND COSMETIC SURGERY IP PACKAGE</t>
  </si>
  <si>
    <t>OMFS</t>
  </si>
  <si>
    <t>EMERGENCY MEDICINE</t>
  </si>
  <si>
    <t>CLOSED MANIPULATED REDUCTION (CMR) + SCREW FIXATION - CALCANEAL FRACTURE</t>
  </si>
  <si>
    <t>CLEFT RELATED PROCEDURES - SUPRA</t>
  </si>
  <si>
    <t>MICROBIOLOGY - OTHER</t>
  </si>
  <si>
    <t>S-ORS-00206</t>
  </si>
  <si>
    <t>S-ORS-00205</t>
  </si>
  <si>
    <t>S-ORS-00204</t>
  </si>
  <si>
    <t>S-ORS-00203</t>
  </si>
  <si>
    <t>S-ORS-00202</t>
  </si>
  <si>
    <t>S-ORS-00201</t>
  </si>
  <si>
    <t>S-ORS-00200</t>
  </si>
  <si>
    <t>IPP-ORI-00070</t>
  </si>
  <si>
    <t>EXSTROPHY</t>
  </si>
  <si>
    <t>OTHERS</t>
  </si>
  <si>
    <t xml:space="preserve">CLOSED MANIPULATED REDUCTION (CMR) + EXTERNAL FIXATION - DISTAL END RADIUS FRACTURE </t>
  </si>
  <si>
    <t>PSYCHIATRY</t>
  </si>
  <si>
    <t>O-EQP-00028</t>
  </si>
  <si>
    <t>CLOSE REDUCTION - FRACTURES LIMB</t>
  </si>
  <si>
    <t>CLOSED REDUCTION AND INTERNAL FIXATION (CRIF) + NAILING - FEMORAL SHAFT FRACTURE</t>
  </si>
  <si>
    <t>PERIODONTICS PROCEDURE</t>
  </si>
  <si>
    <t>CLINICAL PATHOLOGY</t>
  </si>
  <si>
    <t>ORT943</t>
  </si>
  <si>
    <t>UROLOGY</t>
  </si>
  <si>
    <t>CLOSED FIRM</t>
  </si>
  <si>
    <t>S-VSS-00135</t>
  </si>
  <si>
    <t>DENTAL SCIENCES</t>
  </si>
  <si>
    <t>CLINICAL EXOME TYPE 3, MGM928</t>
  </si>
  <si>
    <t>CLL PROGNOSTICATION/RISK STRATIFICATION GENE PANEL</t>
  </si>
  <si>
    <t>PINNING</t>
  </si>
  <si>
    <t>P-ORP-00014</t>
  </si>
  <si>
    <t>CLI278</t>
  </si>
  <si>
    <t>CLOSED REDUCTION + K - WIRE FIXATION</t>
  </si>
  <si>
    <t>CLEFT SURGERY</t>
  </si>
  <si>
    <t>CLOSED REDUCTION</t>
  </si>
  <si>
    <t>P-PDP-00118</t>
  </si>
  <si>
    <t>CHROMOENDOSCOPY</t>
  </si>
  <si>
    <t>MOB6132</t>
  </si>
  <si>
    <t>P-ORP-00158</t>
  </si>
  <si>
    <t>S-PLS-00093</t>
  </si>
  <si>
    <t>ORT112</t>
  </si>
  <si>
    <t>ORT122</t>
  </si>
  <si>
    <t>AUDIOLOGY</t>
  </si>
  <si>
    <t>GI SURGERY</t>
  </si>
  <si>
    <t>COLOSTOMY</t>
  </si>
  <si>
    <t>Uniq Flag</t>
  </si>
  <si>
    <t>CLOSED REDUCTION AND INTERNAL FIXATION (CRIF) - OTHER</t>
  </si>
  <si>
    <t>CLOSED REDUCTION + K-WIRING - LEVEL 1</t>
  </si>
  <si>
    <t>CLOSED REDUCTION + K-WIRING - LEVEL 2</t>
  </si>
  <si>
    <t>ORTHOPAEDICS IP PACKAGE</t>
  </si>
  <si>
    <t>CLOSED MANIPULATED REDUCTION (CMR) ACETABULUM</t>
  </si>
  <si>
    <t>ORT537</t>
  </si>
  <si>
    <t>P-PDP-00117</t>
  </si>
  <si>
    <t>CLEFT RELATED PROCEDURES - MODERATE</t>
  </si>
  <si>
    <t>CHROMOSOMAL MICROARRAY 315 K</t>
  </si>
  <si>
    <t>PLASTIC SURGERIES</t>
  </si>
  <si>
    <t>CLIPPERS</t>
  </si>
  <si>
    <t>CLOSURE - COLOSTOMY</t>
  </si>
  <si>
    <t>CRT2</t>
  </si>
  <si>
    <t>PACKAGE</t>
  </si>
  <si>
    <t>CLOSED REDUCTION - FRACTURES/DISLOCATIONS - GENERAL ANAESTHESIA (GA) - LEVEL 1</t>
  </si>
  <si>
    <t>PMR PROCEDURE</t>
  </si>
  <si>
    <t>CLOACAL EXSTROPHY - NEONATAL</t>
  </si>
  <si>
    <t>MOB15</t>
  </si>
  <si>
    <t>SER16123</t>
  </si>
  <si>
    <t>CARDIO THORACIC IP PACKAGE</t>
  </si>
  <si>
    <t>FOOD AND BEVERAGES</t>
  </si>
  <si>
    <t>PROCEDURES</t>
  </si>
  <si>
    <t>ORT14</t>
  </si>
  <si>
    <t>ORT16</t>
  </si>
  <si>
    <t>P-SGR-00029</t>
  </si>
  <si>
    <t>MOLECULAR BIOLOGY</t>
  </si>
  <si>
    <t>ORT820</t>
  </si>
  <si>
    <t>CLOSED MANIPULATED REDUCTION (CMR) + INTERLOCKING NAILING - TIBIAL FRACTURE</t>
  </si>
  <si>
    <t>ORT123</t>
  </si>
  <si>
    <t>CLOSED FRACTURE REDUCTION - LEVEL 1</t>
  </si>
  <si>
    <t>CLOSED REDUCTION - OTHER</t>
  </si>
  <si>
    <t>CLOSTRIDIUM DIFFICILE DETECTION, PCR</t>
  </si>
  <si>
    <t>CICU CHARGES</t>
  </si>
  <si>
    <t>CLINICAL EXOME REFLEX,MGM328</t>
  </si>
  <si>
    <t>LACERATION - LIP</t>
  </si>
  <si>
    <t>I-BIO-01067 / C0117</t>
  </si>
  <si>
    <t>CLOSED MANIPULATED REDUCTION (CMR)</t>
  </si>
  <si>
    <t>ORT557</t>
  </si>
  <si>
    <t>ORT567</t>
  </si>
  <si>
    <t>I-MOB-00074 / C0112</t>
  </si>
  <si>
    <t>CENTRE OF EXCELLENCE FOR MULTI SPECIALITY - SURGICAL</t>
  </si>
  <si>
    <t>HAEMATOLOGY - OTHER</t>
  </si>
  <si>
    <t>CLOSED MANIPULATED REDUCTION (CMR) + ABOVE ELBOW (AE) SLAB</t>
  </si>
  <si>
    <t>CLL PROGNOSTIC GENE PANEL-MGM</t>
  </si>
  <si>
    <t>SGO622</t>
  </si>
  <si>
    <t>CLIP AND GO</t>
  </si>
  <si>
    <t>CLOSED MANIPULATED REDUCTION (CMR) + SPICA</t>
  </si>
  <si>
    <t>CLOSTRIDIUM DIFFICILE DETECTION - PCR</t>
  </si>
  <si>
    <t>CLINICAL SUPPORT SERVICES</t>
  </si>
  <si>
    <t>Service Name</t>
  </si>
  <si>
    <t>ORT481</t>
  </si>
  <si>
    <t>Calicut _8220</t>
  </si>
  <si>
    <t>Cardiovascular Surgery</t>
  </si>
  <si>
    <t>ENDOSCOPY</t>
  </si>
  <si>
    <t>ORT120</t>
  </si>
  <si>
    <t>ORT150</t>
  </si>
  <si>
    <t>GENERAL ONCOLOGY SURGERY</t>
  </si>
  <si>
    <t>NEUROSURGERY</t>
  </si>
  <si>
    <t>MOLECULAR BIOLOGY - OTHER</t>
  </si>
  <si>
    <t>CLOSED FIRM - LEVEL 2</t>
  </si>
  <si>
    <t>ORT534</t>
  </si>
  <si>
    <t>ORT544</t>
  </si>
  <si>
    <t>ORT574</t>
  </si>
  <si>
    <t>COE</t>
  </si>
  <si>
    <t>ROOM CHARGE</t>
  </si>
  <si>
    <t>IPP-PSP-00221</t>
  </si>
  <si>
    <t>CHROMOSOMAL MICROARRAY 750 K</t>
  </si>
  <si>
    <t>CLOSED MANIPULATED REDUCTION (CMR) + K-WIRE FIXATION</t>
  </si>
  <si>
    <t>CTH344</t>
  </si>
  <si>
    <t>SGO693</t>
  </si>
  <si>
    <t>CLOSED MANIPULATED REDUCTION (CMR) + SKIN TRACTION - RIGHT HIP</t>
  </si>
  <si>
    <t>CLEFT RELATED PROCEDURE</t>
  </si>
  <si>
    <t>P-URP-00010</t>
  </si>
  <si>
    <t>CLOSED TIBIAL NAILING</t>
  </si>
  <si>
    <t>CLOSED/OPEN REDUCTION - DISTAL RADIUS ULNAR JOINT (DRUJ)</t>
  </si>
  <si>
    <t>CLOSED REDUCTION + HIP SPICA (DDH) - LEVEL 2</t>
  </si>
  <si>
    <t>CMI_13140</t>
  </si>
  <si>
    <t>SURGICAL GASTRO OTHERS</t>
  </si>
  <si>
    <t>UPPER GI</t>
  </si>
  <si>
    <t>CLEFT RELATED PROCEDURES - MINOR</t>
  </si>
  <si>
    <t>CLONAZEPAM</t>
  </si>
  <si>
    <t>ORTHOPAEDICS PROCEDURE</t>
  </si>
  <si>
    <t>O-DCH-00033</t>
  </si>
  <si>
    <t>P-ORP-00155</t>
  </si>
  <si>
    <t>CLEAR LIQUID DIET CHARGES</t>
  </si>
  <si>
    <t>I-BIO-01067</t>
  </si>
  <si>
    <t>ORT555</t>
  </si>
  <si>
    <t>S-NSG-00071</t>
  </si>
  <si>
    <t>S-NSG-00073</t>
  </si>
  <si>
    <t>I-BIO-00702 / C0106</t>
  </si>
  <si>
    <t>P-ORP-00156</t>
  </si>
  <si>
    <t>I-HEM-00380 / C0310</t>
  </si>
  <si>
    <t>CIRCULATING TUMOUR CELLS (CTC) FOR COLORECTAL CANCER</t>
  </si>
  <si>
    <t>P-ORP-00157</t>
  </si>
  <si>
    <t>I-BIO-01818</t>
  </si>
  <si>
    <t>PROCEDURE / SURGERY CHARGES</t>
  </si>
  <si>
    <t>P-PYP-00008</t>
  </si>
  <si>
    <t>IMMUNOLOGY - OTHER</t>
  </si>
  <si>
    <t>I-MBI-00125</t>
  </si>
  <si>
    <t>IPP-ORI-00080</t>
  </si>
  <si>
    <t>Prime_3038</t>
  </si>
  <si>
    <t>MISCELLANEOUS</t>
  </si>
  <si>
    <t>ORT467</t>
  </si>
  <si>
    <t>CLOSE MONITORING OBSERVATION</t>
  </si>
  <si>
    <t>Other Ortho Surgeries</t>
  </si>
  <si>
    <t>COLOSTOMY CLOSURE - LAPAROSCOPIC</t>
  </si>
  <si>
    <t>CLIPPING</t>
  </si>
  <si>
    <t>CLOSED REDUCTION - DISLOCATIONS</t>
  </si>
  <si>
    <t>BED CHARGES</t>
  </si>
  <si>
    <t>CLL PROGNOSTICS PANEL</t>
  </si>
  <si>
    <t>IPP-ORI-00074</t>
  </si>
  <si>
    <t>CLOSED MANIPULATED REDUCTION (CMR) + FIXATION - LEVEL 6</t>
  </si>
  <si>
    <t>CLINICAL PATHOLOGY - OTHER</t>
  </si>
  <si>
    <t>CLEFT RELATED PROCEDURES - LEVEL 1</t>
  </si>
  <si>
    <t>I-MBI-00125 / C0120</t>
  </si>
  <si>
    <t>I-BIO-01291 / C0119</t>
  </si>
  <si>
    <t>IPP-ORI-00077</t>
  </si>
  <si>
    <t>S-ORS-00174</t>
  </si>
  <si>
    <t>I-MOB-00699</t>
  </si>
  <si>
    <t>I-MOB-00698 / C0118</t>
  </si>
  <si>
    <t>CLOSED TIBIAL NAILING - BILATERAL</t>
  </si>
  <si>
    <t>P-EMP-00020</t>
  </si>
  <si>
    <t>New Add</t>
  </si>
  <si>
    <t>I-MOB-00960</t>
  </si>
  <si>
    <t>I-HIS-00742 / C0108</t>
  </si>
  <si>
    <t>IPP-CTI-00226</t>
  </si>
  <si>
    <t xml:space="preserve">PHARYNGECTOMY - CIRCULAR </t>
  </si>
  <si>
    <t>PLASTIC RECONSTRUCTIVE VASCULAR AND AESTHETIC</t>
  </si>
  <si>
    <t>VASCULAR AND ENDOVASCULAR SURGERY</t>
  </si>
  <si>
    <t>CLOSED REDUCTION AND INTERNAL FIXATION (CRIF)</t>
  </si>
  <si>
    <t>Production - WIP</t>
  </si>
  <si>
    <t>I-HEM-00345</t>
  </si>
  <si>
    <t>IPP-GPK-00044</t>
  </si>
  <si>
    <t>IPP-GPK-00043</t>
  </si>
  <si>
    <t>CRANIOMAXILLOFACIAL SURGERY</t>
  </si>
  <si>
    <t>STANDARD SUB-DEPARTMENT</t>
  </si>
  <si>
    <t>SURGICAL GASTROENTEROLOGY - PROCEDURE</t>
  </si>
  <si>
    <t>PEDODONTICS PROCEDURE</t>
  </si>
  <si>
    <t>PLASTIC RECONSTRUCTIVE SURGERY</t>
  </si>
  <si>
    <t>CHRONIC OBSTRUCTIVE PULMONARY DISEASE</t>
  </si>
  <si>
    <t>P-NOT-00015</t>
  </si>
  <si>
    <t>S-ORS-01084</t>
  </si>
  <si>
    <t>S-ORS-01083</t>
  </si>
  <si>
    <t>S-ORS-01082</t>
  </si>
  <si>
    <t>CLOSED REDUCTION - FRACTURES</t>
  </si>
  <si>
    <t>O-EQP-00029</t>
  </si>
  <si>
    <t>OPP-PUO-00007</t>
  </si>
  <si>
    <t>EQUIPMENT</t>
  </si>
  <si>
    <t>IPP-ORI-00424</t>
  </si>
  <si>
    <t>Medcity_8105</t>
  </si>
  <si>
    <t>CLOSED MANIPULATED REDUCTION (CMR) + FIXATION - LEVEL 3</t>
  </si>
  <si>
    <t>PLASTIC SURGERY</t>
  </si>
  <si>
    <t>IPP-ORI-00520</t>
  </si>
  <si>
    <t>IPP-ORI-00521</t>
  </si>
  <si>
    <t>IPP-ORI-00522</t>
  </si>
  <si>
    <t>IPP-ORI-00523</t>
  </si>
  <si>
    <t>CRT92</t>
  </si>
  <si>
    <t>CLOSED REDUCTION - FRACTURES/DISLOCATIONS - WITHOUT GENERAL ANAESTHESIA (GA)</t>
  </si>
  <si>
    <t>CLEAR LIQUID HOURLY FOR ENDOSCOPY CHARGES</t>
  </si>
  <si>
    <t>I-HIS-00743</t>
  </si>
  <si>
    <t>I-HIS-00742</t>
  </si>
  <si>
    <t>I-HIS-00741</t>
  </si>
  <si>
    <t>CHROMOSOMAL MICROARRAY - AFFYMETRIX CYTOSCAN OPTIMA LOW RESOLUTION GENECHIP</t>
  </si>
  <si>
    <t>IPP-ORI-00072</t>
  </si>
  <si>
    <t>MOB72</t>
  </si>
  <si>
    <t>P-UGI-00004</t>
  </si>
  <si>
    <t>CLINICAL PSYCHOTHERAPY</t>
  </si>
  <si>
    <t>CHRONIC SUBDURAL HAEMATOMA (SDH) - BILATERAL</t>
  </si>
  <si>
    <t>CLOSED REDUCTION AND INTERNAL FIXATION (CRIF) - COMPLICATED</t>
  </si>
  <si>
    <t>I-MOB-01026</t>
  </si>
  <si>
    <t>CLEAINING AND SUTURING - LIP LACERATION - GENERAL ANAESTHESIA (GA)</t>
  </si>
  <si>
    <t>URL</t>
  </si>
  <si>
    <t>QC - WIP</t>
  </si>
  <si>
    <t>CLINICAL EXOME TYPE 3 - MGM272A</t>
  </si>
  <si>
    <t>CICU + VENTILATOR</t>
  </si>
  <si>
    <t>CLOSED MANIPULATED REDUCTION (CMR) + PLASTER OF PARIS (POP) CAST - HUMERUS FRACTURE</t>
  </si>
  <si>
    <t>CLOPIDOGREL RESISTANCE ANALYSIS, SANGER</t>
  </si>
  <si>
    <t>C-KIT MUTATION ANALYSIS</t>
  </si>
  <si>
    <t>I-MOB-00474</t>
  </si>
  <si>
    <t>Production Comments</t>
  </si>
  <si>
    <t>CLARIA NIPS,MGM1528</t>
  </si>
  <si>
    <t>CLOSED FEMORAL INTERLOCKING NAILING FIXATION - ANTEGRADE</t>
  </si>
  <si>
    <t>PSYCHOLOGY PROCEDURE</t>
  </si>
  <si>
    <t>PAEDIATRIC CARDIOLOGY</t>
  </si>
  <si>
    <t>P-ORP-00159</t>
  </si>
  <si>
    <t>CLOSED REDUCTION AND INTERNAL FIXATION (CRIF) + PROXIMAL FEMORAL NAIL (PFN)</t>
  </si>
  <si>
    <t>I-MOB-00175</t>
  </si>
  <si>
    <t>CLOSED MANIPULATED REDUCTION (CMR) + EXTERNAL FIXATION</t>
  </si>
  <si>
    <t>PHYSICAL MEDICINE AND REHABILITATION</t>
  </si>
  <si>
    <t>I-MOB-00078</t>
  </si>
  <si>
    <t>I-MOB-00074</t>
  </si>
  <si>
    <t>I-MOB-00076</t>
  </si>
  <si>
    <t>I-MOB-00072</t>
  </si>
  <si>
    <t>IPP-ORI-00414</t>
  </si>
  <si>
    <t>IPP-ORI-00518</t>
  </si>
  <si>
    <t>IPP-ORI-00519</t>
  </si>
  <si>
    <t>CLOSED REDUCTION AND INTERNAL FIXATION (CRIF) + INTERLOCKING NAILING (ILN)</t>
  </si>
  <si>
    <t>CLOSED REDUCTION - DISLOCATION - POSTERIOR</t>
  </si>
  <si>
    <t>S-ORS-01398</t>
  </si>
  <si>
    <t>S-ORS-01399</t>
  </si>
  <si>
    <t xml:space="preserve">CLL MRD </t>
  </si>
  <si>
    <t>I-CPA-00004</t>
  </si>
  <si>
    <t>I-MOB-01113</t>
  </si>
  <si>
    <t>I-MOB-01112</t>
  </si>
  <si>
    <t>CLOSED REDUCTION + HIP SPICA (DDH) - LEVEL 3</t>
  </si>
  <si>
    <t>S-ORS-00175</t>
  </si>
  <si>
    <t>S-ORS-00177</t>
  </si>
  <si>
    <t>S-ORS-00173</t>
  </si>
  <si>
    <t>CENTRE OF EXCELLENCE FOR ONCOLOGY</t>
  </si>
  <si>
    <t>S-ORS-00178</t>
  </si>
  <si>
    <t>S-ORS-00179</t>
  </si>
  <si>
    <t>CHROMOSOMAL MICROARRAY</t>
  </si>
  <si>
    <t>ENT</t>
  </si>
  <si>
    <t>Vijayawada_2604</t>
  </si>
  <si>
    <t>S-PLS-00092</t>
  </si>
  <si>
    <t>I-MOB-00084</t>
  </si>
  <si>
    <t>CHRONIC PAIN MANAGEMENT</t>
  </si>
  <si>
    <t>RV_10215</t>
  </si>
  <si>
    <t>CARDIOVASCULAR THORACIC SURGERY</t>
  </si>
  <si>
    <t>NES353</t>
  </si>
  <si>
    <t>S-ORS-01325</t>
  </si>
  <si>
    <t>I-MOB-00995</t>
  </si>
  <si>
    <t>Remarks_V1</t>
  </si>
  <si>
    <t>PAEDIATRIC SURGERY</t>
  </si>
  <si>
    <t>I-MOB-00959</t>
  </si>
  <si>
    <t>I-MOB-00958</t>
  </si>
  <si>
    <t>MOB56</t>
  </si>
  <si>
    <t>LABORATORY SERVICES</t>
  </si>
  <si>
    <t>VASCULAR SURGERY</t>
  </si>
  <si>
    <t/>
  </si>
  <si>
    <t>SLAB</t>
  </si>
  <si>
    <t>HEART SURGERY</t>
  </si>
  <si>
    <t>I-MOB-01102</t>
  </si>
  <si>
    <t>CHRONIC LYMPHO-PROLIFERATIVE DISORDERS - FLOW CYTOMETRY</t>
  </si>
  <si>
    <t>CLINICAL EXOME SEQUENCING+CGH ARRAY TYPE 1 750,MGM1239</t>
  </si>
  <si>
    <t>CHRONIC SUBDURAL HEMATOMA (SDH) - UNILATERAL</t>
  </si>
  <si>
    <t>ORT496</t>
  </si>
  <si>
    <t>CLOSED REDUCTION - DISLOCATION OF HIP JOINT - POSTERIOR</t>
  </si>
  <si>
    <t>ORT794</t>
  </si>
  <si>
    <t>C-KIT MUTATION DETECTION, PCR</t>
  </si>
  <si>
    <t>I-MOB-00452</t>
  </si>
  <si>
    <t>I-MOB-00453</t>
  </si>
  <si>
    <t>R-BED-00132</t>
  </si>
  <si>
    <t>R-BED-00131</t>
  </si>
  <si>
    <t>HYPNOTHERAPY</t>
  </si>
  <si>
    <t>I-MOB-00698</t>
  </si>
  <si>
    <t>CHYMOTRYPSIN, STOOL</t>
  </si>
  <si>
    <t>I-MOB-00692</t>
  </si>
  <si>
    <t>I-MOB-00697</t>
  </si>
  <si>
    <t>ORT442</t>
  </si>
  <si>
    <t>CHRONIC LYMPHOPROLIFERATIVE DISORDERS PANEL, T &amp; B CELL</t>
  </si>
  <si>
    <t>CLARIA NIPS - MGM1528A</t>
  </si>
  <si>
    <t>ORH161</t>
  </si>
  <si>
    <t>CLOSED PINNING</t>
  </si>
  <si>
    <t>CLOSED MANIPULATED REDUCTION (CMR) + K-WIRE FIXATION - DISTAL END RADIUS FRACTURE</t>
  </si>
  <si>
    <t>I-MBI-00917</t>
  </si>
  <si>
    <t>ORTHODONTICS DENTAL PROCEDURE</t>
  </si>
  <si>
    <t>RV Clinics_189</t>
  </si>
  <si>
    <t>Snomed_Desc</t>
  </si>
  <si>
    <t>ORT949</t>
  </si>
  <si>
    <t>STANDARD DEPARTMENT</t>
  </si>
  <si>
    <t>S-ORS-01331</t>
  </si>
  <si>
    <t>IPP-PSP-00011</t>
  </si>
  <si>
    <t>S-PES-00033</t>
  </si>
  <si>
    <t>S-PES-00036</t>
  </si>
  <si>
    <t>S-PES-00034</t>
  </si>
  <si>
    <t>S-PES-00035</t>
  </si>
  <si>
    <t>OTHER ORTHO SURGERIES</t>
  </si>
  <si>
    <t>Classification</t>
  </si>
  <si>
    <t>Generalised Service Name_V2</t>
  </si>
  <si>
    <t>Generalised Service Name_V1</t>
  </si>
  <si>
    <t>NEU9</t>
  </si>
  <si>
    <t>CLOSED REDUCTION + HIP SPICA (DDH) - LEVEL 1</t>
  </si>
  <si>
    <t>ORT495</t>
  </si>
  <si>
    <t>CLOSED NAILING FEMUR/TIBIA - LEVEL 2</t>
  </si>
  <si>
    <t>PULMONOLOGY</t>
  </si>
  <si>
    <t>OTHER</t>
  </si>
  <si>
    <t>BIOCHEMISTRY</t>
  </si>
  <si>
    <t>CRANIOTOMY</t>
  </si>
  <si>
    <t>PAT0032</t>
  </si>
  <si>
    <t>CLOSED MANIPULATED REDUCTION (CMR) + K-WIRE FIXATION - HUMERUS FRACTURE</t>
  </si>
  <si>
    <t>CITRUS FRUITS CHARGES</t>
  </si>
  <si>
    <t>Guntur_3551</t>
  </si>
  <si>
    <t>CLOSE REDUCTION - FRACTURES/DISLOCATIONS - DAY CARE</t>
  </si>
  <si>
    <t>CLOSURE - ABNORMAL ANTEGRADE PULMONARY ARTERY FLOWS</t>
  </si>
  <si>
    <t>ORT558</t>
  </si>
  <si>
    <t>NEPHROLOGY</t>
  </si>
  <si>
    <t>EMERGENCY PROCEDURE</t>
  </si>
  <si>
    <t>CLINICAL PHARMACY COUNSELLING</t>
  </si>
  <si>
    <t>OPD PACKAGES</t>
  </si>
  <si>
    <t>CLINICAL EXOME SEQUENCING+CGH ARRAY TYPE 1 750 - MGM1239A</t>
  </si>
  <si>
    <t>IPP-CTI-00242</t>
  </si>
  <si>
    <t>IPP-CTI-00241</t>
  </si>
  <si>
    <t>IPP-CTI-00240</t>
  </si>
  <si>
    <t>Whitefield_9909</t>
  </si>
  <si>
    <t>S-CMS-00018</t>
  </si>
  <si>
    <t>S-CMS-00017</t>
  </si>
  <si>
    <t>CIRCULATING TUMOUR CELLS (CTC) FOR PROSTATE CANCER</t>
  </si>
  <si>
    <t>CLOSED MANIPULATED REDUCTION (CMR) + PLASTER OF PARIS (POP) CAST</t>
  </si>
  <si>
    <t>ORT494</t>
  </si>
  <si>
    <t>CLOSED FIRM - LEVEL 1</t>
  </si>
  <si>
    <t>CLOSED FIRM - LEVEL 3</t>
  </si>
  <si>
    <t>GENERAL SURGERIES</t>
  </si>
  <si>
    <t>ORT75</t>
  </si>
  <si>
    <t>I-HEM-00362</t>
  </si>
  <si>
    <t>CLOSED NAILING FEMUR/TIBIA - LEVEL 3</t>
  </si>
  <si>
    <t>I-IMM-00042</t>
  </si>
  <si>
    <t>I-IMM-00146</t>
  </si>
  <si>
    <t>P-ODN-00295</t>
  </si>
  <si>
    <t>CLOSED MANIPULATED REDUCTION (CMR) - OTHER</t>
  </si>
  <si>
    <t>BIOCHEMISTRY - OTHER</t>
  </si>
  <si>
    <t>DIET CHARGES</t>
  </si>
  <si>
    <t>CLEAR RETAINER</t>
  </si>
  <si>
    <t>ORT269</t>
  </si>
  <si>
    <t>ORT549</t>
  </si>
  <si>
    <t>CLOSED TIBIAL NAILING - UNILATERAL</t>
  </si>
  <si>
    <t>ORTHOPAEDICS SURGERY</t>
  </si>
  <si>
    <t>CITRATE DIALYSIS - SUBSEQUENT</t>
  </si>
  <si>
    <t>CLOSURE - COLOSTOMY - LEVEL 1 (GI SURG)</t>
  </si>
  <si>
    <t>CLOSED REDUCTION - DISLOCATION OF HIP JOINT</t>
  </si>
  <si>
    <t>CMI Clinics_31</t>
  </si>
  <si>
    <t>CLOSURE - PULMONARY ARTERY FLOWS</t>
  </si>
  <si>
    <t>CLOSED FEMORAL INTERLOCKING NAILING FIXATION</t>
  </si>
  <si>
    <t>NAILING</t>
  </si>
  <si>
    <t>ORTHOPAEDICS</t>
  </si>
  <si>
    <t>OTHER  PROCEDURES</t>
  </si>
  <si>
    <t>CHROMOTOUCH CHROMOSOME SNP MICROARRAY OPTIMA - PRODUCTS OF CONCEPTION</t>
  </si>
  <si>
    <t>Activities</t>
  </si>
  <si>
    <t>UROLOGY PROCEDURE</t>
  </si>
  <si>
    <t>P-NPD-00062</t>
  </si>
  <si>
    <t>S-GEN-00915</t>
  </si>
  <si>
    <t>ORT64</t>
  </si>
  <si>
    <t>S-ORS-00791</t>
  </si>
  <si>
    <t>NEUROTOLOGY</t>
  </si>
  <si>
    <t>CLOSURE</t>
  </si>
  <si>
    <t>IPP-PCP-00058</t>
  </si>
  <si>
    <t>I-HIS-00743 / C0109</t>
  </si>
  <si>
    <t>I-MOB-00072 / C0310</t>
  </si>
  <si>
    <t>CLOSED PINNING - LEVEL 1</t>
  </si>
  <si>
    <t>I-BIO-01290</t>
  </si>
  <si>
    <t>I-BIO-01291</t>
  </si>
  <si>
    <t>CENTRE OF EXCELLENCE FOR CARDIAC SCIENCES</t>
  </si>
  <si>
    <t>MEDICAL GASTROENTEROLOGY</t>
  </si>
  <si>
    <t>ORT228</t>
  </si>
  <si>
    <t>ORT562</t>
  </si>
  <si>
    <t>I-MOB-00951</t>
  </si>
  <si>
    <t>Locations Count</t>
  </si>
  <si>
    <t>OTHER ORTHO PROCEDURES</t>
  </si>
  <si>
    <t>PULMONOLOGY OP PACKAGE</t>
  </si>
  <si>
    <t>I-HEM-00285</t>
  </si>
  <si>
    <t>URO231</t>
  </si>
  <si>
    <t>CLORAZEPAT E</t>
  </si>
  <si>
    <t>PUL32</t>
  </si>
  <si>
    <t>COUNSELLING - CLINICAL PHARMACY</t>
  </si>
  <si>
    <t>P-PGP-00007</t>
  </si>
  <si>
    <t>CLINICAL EXOME TYPE 3 - MGM272</t>
  </si>
  <si>
    <t>I-MOB-01076</t>
  </si>
  <si>
    <t>ORT50</t>
  </si>
  <si>
    <t>ORT57</t>
  </si>
  <si>
    <t>ORT56</t>
  </si>
  <si>
    <t>ORT59</t>
  </si>
  <si>
    <t>I-HEM-00380</t>
  </si>
  <si>
    <t>CLOSED NAILING FEMUR/TIBIA - LEVEL 1</t>
  </si>
  <si>
    <t>S-ORS-00195</t>
  </si>
  <si>
    <t>S-ORS-00196</t>
  </si>
  <si>
    <t>S-ORS-00197</t>
  </si>
  <si>
    <t>S-ORS-00190</t>
  </si>
  <si>
    <t>S-ORS-00191</t>
  </si>
  <si>
    <t>S-ORS-00192</t>
  </si>
  <si>
    <t>S-ORS-00193</t>
  </si>
  <si>
    <t>P-ORP-00154</t>
  </si>
  <si>
    <t>CIRCULATING TUMOUR CELLS (CTC) FOR BREAST CANCER</t>
  </si>
  <si>
    <t>S-ORS-00198</t>
  </si>
  <si>
    <t>S-ORS-00199</t>
  </si>
  <si>
    <t>P-ORP-00152</t>
  </si>
  <si>
    <t>P-ORP-00153</t>
  </si>
  <si>
    <t>SURGERY</t>
  </si>
  <si>
    <t>DIALYSIS</t>
  </si>
  <si>
    <t>CLOSED HEART SURGERY - LEVEL 1</t>
  </si>
  <si>
    <t>I-MOB-00697 / C0116</t>
  </si>
  <si>
    <t>S-SGS-00105</t>
  </si>
  <si>
    <t>CLOSURE - ARTERIOVENOUS FISTULA</t>
  </si>
  <si>
    <t>REMOVAL - CLIP</t>
  </si>
  <si>
    <t>NES108</t>
  </si>
  <si>
    <t>INVESTIGATION</t>
  </si>
  <si>
    <t>CLINICAL HYPNOTHERAPY (CHT)</t>
  </si>
  <si>
    <t>CLOSED MANIPULATED REDUCTION (CMR) + K-WIRE FIXATION - HUMERAL NECK FRACTURE</t>
  </si>
  <si>
    <t>I-MOB-00175 / C0111</t>
  </si>
  <si>
    <t>CLOSED MOBILE</t>
  </si>
  <si>
    <t>CRANIOMAXILLO FACIAL SURGERY</t>
  </si>
  <si>
    <t>CLOSED VALVOTOMY</t>
  </si>
  <si>
    <t>CLEFT - SOFT PALATE</t>
  </si>
  <si>
    <t>DISTAL RADIUS ULNAR JOINT (DRUJ)</t>
  </si>
  <si>
    <t>CLOSED FIRM - LEVEL 4</t>
  </si>
  <si>
    <t>CLOSED MANIPULATION REDUCTION (CMR) +  INTERLOCKING NAILING - TIBIAL FRACTURE</t>
  </si>
  <si>
    <t>S-ORS-00185</t>
  </si>
  <si>
    <t>I-CPA-00004 / C0105</t>
  </si>
  <si>
    <t>I-MOB-01168</t>
  </si>
  <si>
    <t>HISTOPATHOLOGY</t>
  </si>
  <si>
    <t>CLIP REMOVAL</t>
  </si>
  <si>
    <t>MOB9</t>
  </si>
  <si>
    <t>CLOSED HEART SURGERY - LEVEL 3</t>
  </si>
  <si>
    <t>S-NSG-00516</t>
  </si>
  <si>
    <t>S-ORS-00184</t>
  </si>
  <si>
    <t>S-ORS-00187</t>
  </si>
  <si>
    <t>S-ORS-00180</t>
  </si>
  <si>
    <t>S-ORS-00181</t>
  </si>
  <si>
    <t>S-ORS-00183</t>
  </si>
  <si>
    <t>P-ORP-00144</t>
  </si>
  <si>
    <t>S-ORS-00188</t>
  </si>
  <si>
    <t>S-ORS-00189</t>
  </si>
  <si>
    <t>P-ORP-00140</t>
  </si>
  <si>
    <t>COLOSTOMY CLOSURE</t>
  </si>
  <si>
    <t>COLOSTOMY - CLOSURE</t>
  </si>
  <si>
    <t>CLOSED REDUCTION AND INTERNAL FIXATION (CRIF) - PLATE AND SCREWS</t>
  </si>
  <si>
    <t>SURGICAL GASTROENTEROLOGY - SURGERY</t>
  </si>
  <si>
    <t>ONCO SURGERIES</t>
  </si>
  <si>
    <t>P-PMP-00008</t>
  </si>
  <si>
    <t>I-BIO-01290 / C0115</t>
  </si>
  <si>
    <t>PAEDIATRIC CARDIOLOGY IP PACKAGE</t>
  </si>
  <si>
    <t xml:space="preserve">Oral mucosa staining pattern (observable entity) </t>
  </si>
  <si>
    <t>https://browser.ihtsdotools.org/?perspective=full&amp;conceptId1=251327009&amp;edition=MAIN/2023-07-31&amp;release=&amp;languages=en</t>
  </si>
  <si>
    <t>Deoxyribonucleic acid analysis (procedure)</t>
  </si>
  <si>
    <t>https://browser.ihtsdotools.org/?perspective=full&amp;conceptId1=62302004&amp;edition=MAIN/2023-07-31&amp;release=&amp;languages=en</t>
  </si>
  <si>
    <t xml:space="preserve">Lymphoproliferative disorder (morphologic abnormality) </t>
  </si>
  <si>
    <t>https://browser.ihtsdotools.org/?perspective=full&amp;conceptId1=414629003&amp;edition=MAIN/2023-07-31&amp;release=&amp;languages=en</t>
  </si>
  <si>
    <t>Chronic myeloproliferative disorder (clinical) (disorder)</t>
  </si>
  <si>
    <t>https://browser.ihtsdotools.org/?perspective=full&amp;conceptId1=109993000&amp;edition=MAIN/2023-07-31&amp;release=&amp;languages=en</t>
  </si>
  <si>
    <t xml:space="preserve">Chronic obstructive lung disease (disorder) </t>
  </si>
  <si>
    <t>https://browser.ihtsdotools.org/?perspective=full&amp;conceptId1=13645005&amp;edition=MAIN/2023-07-31&amp;release=&amp;languages=en</t>
  </si>
  <si>
    <t>Chronic pain control management (procedure)</t>
  </si>
  <si>
    <t>https://browser.ihtsdotools.org/?perspective=full&amp;conceptId1=408957008&amp;edition=MAIN/2023-07-31&amp;release=&amp;languages=en</t>
  </si>
  <si>
    <t>Chronic pancreatitis (disorder)</t>
  </si>
  <si>
    <t>https://browser.ihtsdotools.org/?perspective=full&amp;conceptId1=235494005&amp;edition=MAIN/2023-07-31&amp;release=&amp;languages=en</t>
  </si>
  <si>
    <t xml:space="preserve">Chronic intracranial subdural hematoma (disorder) </t>
  </si>
  <si>
    <t>https://browser.ihtsdotools.org/?perspective=full&amp;conceptId1=304831001&amp;edition=MAIN/2023-07-31&amp;release=&amp;languages=en</t>
  </si>
  <si>
    <t xml:space="preserve">Craniotomy (procedure) </t>
  </si>
  <si>
    <t>https://browser.ihtsdotools.org/?perspective=full&amp;conceptId1=25353009&amp;edition=MAIN/2023-07-31&amp;release=&amp;languages=en</t>
  </si>
  <si>
    <t>Chyle (substance)</t>
  </si>
  <si>
    <t>https://browser.ihtsdotools.org/?perspective=full&amp;conceptId1=18368008&amp;edition=MAIN/2023-07-31&amp;release=&amp;languages=en</t>
  </si>
  <si>
    <t>Chyluria (finding)</t>
  </si>
  <si>
    <t>https://browser.ihtsdotools.org/?perspective=full&amp;conceptId1=91098006&amp;edition=MAIN/2023-07-31&amp;release=&amp;languages=en</t>
  </si>
  <si>
    <t>Fecal chymotrypsin (finding)</t>
  </si>
  <si>
    <t>https://browser.ihtsdotools.org/?perspective=full&amp;conceptId1=276349001&amp;edition=MAIN/2023-07-31&amp;release=&amp;languages=en</t>
  </si>
  <si>
    <t xml:space="preserve"> Functional training (procedure) </t>
  </si>
  <si>
    <t>https://browser.ihtsdotools.org/?perspective=full&amp;conceptId1=118629009&amp;edition=MAIN/2023-07-31&amp;release=&amp;languages=en</t>
  </si>
  <si>
    <t>Patient transfer to cardiac intensive care unit (procedure)</t>
  </si>
  <si>
    <t>https://browser.ihtsdotools.org/?perspective=full&amp;conceptId1=406144005&amp;edition=MAIN/2023-07-31&amp;release=&amp;languages=en</t>
  </si>
  <si>
    <t>Admission to intensive care unit (procedure)</t>
  </si>
  <si>
    <t>https://browser.ihtsdotools.org/?perspective=full&amp;conceptId1=305351004&amp;edition=MAIN/2023-07-31&amp;release=&amp;languages=en</t>
  </si>
  <si>
    <t>Pharyngectomy (procedure)</t>
  </si>
  <si>
    <t>https://browser.ihtsdotools.org/?perspective=full&amp;conceptId1=51265002&amp;edition=MAIN/2023-07-31&amp;release=&amp;languages=en</t>
  </si>
  <si>
    <t>Immune complex (substance)</t>
  </si>
  <si>
    <t>https://browser.ihtsdotools.org/?perspective=full&amp;conceptId1=23369004&amp;edition=MAIN/2023-07-31&amp;release=&amp;languages=en</t>
  </si>
  <si>
    <t xml:space="preserve">Tumor cell (cell) </t>
  </si>
  <si>
    <t>https://browser.ihtsdotools.org/?perspective=full&amp;conceptId1=252987004&amp;edition=MAIN/2023-07-31&amp;release=&amp;languages=en</t>
  </si>
  <si>
    <t xml:space="preserve">Dialysis (administration method) </t>
  </si>
  <si>
    <t>https://browser.ihtsdotools.org/?perspective=full&amp;conceptId1=1231460007&amp;edition=MAIN/2023-07-31&amp;release=&amp;languages=en</t>
  </si>
  <si>
    <t>Citrus fruit (substance)</t>
  </si>
  <si>
    <t>https://browser.ihtsdotools.org/?perspective=full&amp;conceptId1=102259006&amp;edition=MAIN/2023-07-31&amp;release=&amp;languages=en</t>
  </si>
  <si>
    <t>Mast/stem cell growth factor receptor Kit (substance)</t>
  </si>
  <si>
    <t>https://browser.ihtsdotools.org/?perspective=full&amp;conceptId1=103165007&amp;edition=MAIN/2023-07-31&amp;release=&amp;languages=en</t>
  </si>
  <si>
    <t xml:space="preserve">Genetic test (procedure) </t>
  </si>
  <si>
    <t>https://browser.ihtsdotools.org/?perspective=full&amp;conceptId1=405824009&amp;edition=MAIN/2023-07-31&amp;release=&amp;languages=en</t>
  </si>
  <si>
    <t xml:space="preserve">Closure by suture (procedure) </t>
  </si>
  <si>
    <t>https://browser.ihtsdotools.org/?perspective=full&amp;conceptId1=435741000124103&amp;edition=MAIN/2023-07-31&amp;release=&amp;languages=en</t>
  </si>
  <si>
    <t xml:space="preserve">Clean intermittent self-catheterization (procedure) </t>
  </si>
  <si>
    <t>https://browser.ihtsdotools.org/?perspective=full&amp;conceptId1=236240005&amp;edition=MAIN/2023-07-31&amp;release=&amp;languages=en</t>
  </si>
  <si>
    <t xml:space="preserve">Clear liquid diet (regime/therapy) </t>
  </si>
  <si>
    <t>Retainer (attribute)</t>
  </si>
  <si>
    <t>https://browser.ihtsdotools.org/?perspective=full&amp;conceptId1=260939000&amp;edition=MAIN/2023-07-31&amp;release=&amp;languages=en</t>
  </si>
  <si>
    <t xml:space="preserve">Soup (substance) </t>
  </si>
  <si>
    <t>https://browser.ihtsdotools.org/?perspective=full&amp;conceptId1=227566009&amp;edition=MAIN/2023-07-31&amp;release=&amp;languages=en</t>
  </si>
  <si>
    <t>Cleft of soft palate (disorder)</t>
  </si>
  <si>
    <t>https://browser.ihtsdotools.org/?perspective=full&amp;conceptId1=253997002&amp;edition=MAIN/2023-07-31&amp;release=&amp;languages=en</t>
  </si>
  <si>
    <t>Repair of cleft palate (procedure)</t>
  </si>
  <si>
    <t>https://browser.ihtsdotools.org/?perspective=full&amp;conceptId1=234890003&amp;edition=MAIN/2023-07-31&amp;release=&amp;languages=en</t>
  </si>
  <si>
    <t>Repair of cleft lip (procedure)</t>
  </si>
  <si>
    <t>https://browser.ihtsdotools.org/?perspective=full&amp;conceptId1=234647001&amp;edition=MAIN/2023-07-31&amp;release=&amp;languages=en</t>
  </si>
  <si>
    <t>Sequencing of exon of gene (procedure)</t>
  </si>
  <si>
    <t>https://browser.ihtsdotools.org/?perspective=full&amp;conceptId1=444124004&amp;edition=MAIN/2023-07-31&amp;release=&amp;languages=en</t>
  </si>
  <si>
    <t>Hypnotherapy (regime/therapy)</t>
  </si>
  <si>
    <t>https://browser.ihtsdotools.org/?perspective=full&amp;conceptId1=19997007&amp;edition=MAIN/2023-07-31&amp;release=&amp;languages=en</t>
  </si>
  <si>
    <t>Counseling (procedure)</t>
  </si>
  <si>
    <t>https://browser.ihtsdotools.org/?perspective=full&amp;conceptId1=409063005&amp;edition=MAIN/2023-07-31&amp;release=&amp;languages=en</t>
  </si>
  <si>
    <t>Clinical physiology service (qualifier value)</t>
  </si>
  <si>
    <t>https://browser.ihtsdotools.org/?perspective=full&amp;conceptId1=700435004&amp;edition=MAIN/2023-07-31&amp;release=&amp;languages=en</t>
  </si>
  <si>
    <t>Vestibulotomy (procedure)</t>
  </si>
  <si>
    <t>https://browser.ihtsdotools.org/?perspective=full&amp;conceptId1=47909001&amp;edition=MAIN/2023-07-31&amp;release=&amp;languages=en</t>
  </si>
  <si>
    <t>Surgical clip remover (physical object)</t>
  </si>
  <si>
    <t>https://browser.ihtsdotools.org/?perspective=full&amp;conceptId1=465723002&amp;edition=MAIN/2023-07-31&amp;release=&amp;languages=en</t>
  </si>
  <si>
    <t>Surgical hair clippers suction system (physical object)</t>
  </si>
  <si>
    <t>https://browser.ihtsdotools.org/?perspective=full&amp;conceptId1=735038008&amp;edition=MAIN/2023-07-31&amp;release=&amp;languages=en</t>
  </si>
  <si>
    <t>Chronic lymphoid leukemia, disease (disorder)</t>
  </si>
  <si>
    <t>https://browser.ihtsdotools.org/?perspective=full&amp;conceptId1=92814006&amp;edition=MAIN/2023-07-31&amp;release=&amp;languages=en</t>
  </si>
  <si>
    <t>Exstrophy of cloaca sequence (disorder)</t>
  </si>
  <si>
    <t>https://browser.ihtsdotools.org/?perspective=full&amp;conceptId1=20815007&amp;edition=MAIN/2023-07-31&amp;release=&amp;languages=en</t>
  </si>
  <si>
    <t>Clomipramine (substance)</t>
  </si>
  <si>
    <t>https://browser.ihtsdotools.org/?perspective=full&amp;conceptId1=372903001&amp;edition=MAIN/2023-07-31&amp;release=&amp;languages=en</t>
  </si>
  <si>
    <t xml:space="preserve">Clonazepam (substance) </t>
  </si>
  <si>
    <t>https://browser.ihtsdotools.org/?perspective=full&amp;conceptId1=387383007&amp;edition=MAIN/2023-07-31&amp;release=&amp;languages=en</t>
  </si>
  <si>
    <t xml:space="preserve">Clopidogrel (substance) </t>
  </si>
  <si>
    <t>https://browser.ihtsdotools.org/?perspective=full&amp;conceptId1=386952008&amp;edition=MAIN/2023-07-31&amp;release=&amp;languages=en</t>
  </si>
  <si>
    <t>Clorazepate (substance)</t>
  </si>
  <si>
    <t>https://browser.ihtsdotools.org/?perspective=full&amp;conceptId1=39815009&amp;edition=MAIN/2023-07-31&amp;release=&amp;languages=en</t>
  </si>
  <si>
    <t xml:space="preserve">Monitoring features (observable entity) </t>
  </si>
  <si>
    <t>https://browser.ihtsdotools.org/?perspective=full&amp;conceptId1=397793000&amp;edition=MAIN/2023-07-31&amp;release=&amp;languages=en</t>
  </si>
  <si>
    <t>Closed reduction of fracture (procedure)</t>
  </si>
  <si>
    <t>https://browser.ihtsdotools.org/?perspective=full&amp;conceptId1=86052008&amp;edition=MAIN/2023-07-31&amp;release=&amp;languages=en</t>
  </si>
  <si>
    <t>Closed reduction - action (qualifier value)</t>
  </si>
  <si>
    <t>https://browser.ihtsdotools.org/?perspective=full&amp;conceptId1=426413004&amp;edition=MAIN/2023-07-31&amp;release=&amp;languages=en</t>
  </si>
  <si>
    <t>Primary closed reduction of fracture and intramedullary nail fixation (procedure)</t>
  </si>
  <si>
    <t>https://browser.ihtsdotools.org/?perspective=full&amp;conceptId1=179127003&amp;edition=MAIN/2023-07-31&amp;release=&amp;languages=en</t>
  </si>
  <si>
    <t>Closed operations on septum of heart (procedure)</t>
  </si>
  <si>
    <t>https://browser.ihtsdotools.org/?perspective=full&amp;conceptId1=174870004&amp;edition=MAIN/2023-07-31&amp;release=&amp;languages=en</t>
  </si>
  <si>
    <t xml:space="preserve">Closed manual reduction - action (qualifier value) </t>
  </si>
  <si>
    <t>https://browser.ihtsdotools.org/?perspective=full&amp;conceptId1=439417007&amp;edition=MAIN/2023-07-31&amp;release=&amp;languages=en</t>
  </si>
  <si>
    <t xml:space="preserve">Closed reduction of fracture of proximal femur and internal fixation using bone nail (procedure) </t>
  </si>
  <si>
    <t>https://browser.ihtsdotools.org/?perspective=full&amp;conceptId1=708903007&amp;edition=MAIN/2023-07-31&amp;release=&amp;languages=en</t>
  </si>
  <si>
    <t xml:space="preserve">Closed reduction of fracture of humerus with percutaneous fixation using bone pin (procedure) </t>
  </si>
  <si>
    <t>https://browser.ihtsdotools.org/?perspective=full&amp;conceptId1=1208378006&amp;edition=MAIN/2023-07-31&amp;release=&amp;languages=en</t>
  </si>
  <si>
    <t xml:space="preserve">Closed cardiac valvotomy (procedure) </t>
  </si>
  <si>
    <t>https://browser.ihtsdotools.org/?perspective=full&amp;conceptId1=174973003&amp;edition=MAIN/2023-07-31&amp;release=&amp;languages=en</t>
  </si>
  <si>
    <t xml:space="preserve">Closed reduction of dislocation (procedure) </t>
  </si>
  <si>
    <t>https://browser.ihtsdotools.org/?perspective=full&amp;conceptId1=58825001&amp;edition=MAIN/2023-07-31&amp;release=&amp;languages=en</t>
  </si>
  <si>
    <t>Clostridium difficile detection (procedure)</t>
  </si>
  <si>
    <t>https://browser.ihtsdotools.org/?perspective=full&amp;conceptId1=121897008&amp;edition=MAIN/2023-07-31&amp;release=&amp;languages=en</t>
  </si>
  <si>
    <t xml:space="preserve">Closure of systemic to pulmonary artery shunt (procedure) </t>
  </si>
  <si>
    <t>https://browser.ihtsdotools.org/?perspective=full&amp;conceptId1=233239002&amp;edition=MAIN/2023-07-31&amp;release=&amp;languages=en</t>
  </si>
  <si>
    <t>Closure of arteriovenous fistula with insertion of stent using fluoroscopic guidance with contrast (procedure)</t>
  </si>
  <si>
    <t>https://browser.ihtsdotools.org/?perspective=full&amp;conceptId1=719230006&amp;edition=MAIN/2023-07-31&amp;release=&amp;languages=en</t>
  </si>
  <si>
    <t>Repair of urinary bladder exstrophy (procedure)</t>
  </si>
  <si>
    <t>https://browser.ihtsdotools.org/?perspective=full&amp;conceptId1=15044006&amp;edition=MAIN/2023-07-31&amp;release=&amp;languages=en</t>
  </si>
  <si>
    <t>Closure of colostomy (procedure)</t>
  </si>
  <si>
    <t>https://browser.ihtsdotools.org/?perspective=full&amp;conceptId1=3183007&amp;edition=MAIN/2023-07-31&amp;release=&amp;languages=en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</si>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</sst>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0" xfId="0" applyFont="1" applyFill="1" applyBorder="1"/>
    <xf numFmtId="0" fontId="4" fillId="4" borderId="0" xfId="0" applyFont="1" applyFill="1" applyBorder="1"/>
    <xf numFmtId="0" fontId="5" fillId="5" borderId="0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6" fillId="6" borderId="0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left" vertical="center"/>
    </xf>
    <xf numFmtId="0" fontId="7" fillId="8" borderId="0" xfId="0" applyFont="1" applyFill="1" applyBorder="1" applyAlignment="1">
      <alignment horizontal="left"/>
    </xf>
    <xf numFmtId="0" fontId="5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/>
    </xf>
    <xf numFmtId="0" fontId="7" fillId="5" borderId="0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9" fillId="0" borderId="0" xfId="0" applyFont="1" applyBorder="1" applyAlignment="1">
      <alignment wrapText="1"/>
    </xf>
    <xf numFmtId="0" fontId="8" fillId="0" borderId="1" xfId="0" applyFont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workbookViewId="0">
      <selection activeCell="F10" sqref="F10"/>
    </sheetView>
  </sheetViews>
  <sheetFormatPr defaultColWidth="9.140625" defaultRowHeight="12" x14ac:dyDescent="0.2"/>
  <cols>
    <col min="1" max="1" width="14.85546875" style="1" customWidth="1"/>
    <col min="2" max="2" width="23.42578125" style="1" customWidth="1"/>
    <col min="3" max="3" width="6" style="1" customWidth="1"/>
    <col min="4" max="4" width="12.7109375" style="1" customWidth="1"/>
    <col min="5" max="5" width="27.42578125" style="1" customWidth="1"/>
    <col min="6" max="6" width="43.42578125" style="1" customWidth="1"/>
    <col min="7" max="7" width="37.7109375" style="1" customWidth="1"/>
    <col min="8" max="8" width="31.42578125" style="1" customWidth="1"/>
    <col min="9" max="9" width="27.28515625" style="1" customWidth="1"/>
    <col min="10" max="10" width="13.28515625" style="1" customWidth="1"/>
    <col min="11" max="11" width="14.140625" style="1" customWidth="1"/>
    <col min="12" max="14" width="12.5703125" style="1" customWidth="1"/>
    <col min="15" max="15" width="13" style="1" customWidth="1"/>
    <col min="16" max="16" width="11.7109375" style="1" customWidth="1"/>
    <col min="17" max="17" width="15.42578125" style="1" customWidth="1"/>
    <col min="18" max="18" width="11" style="1" customWidth="1"/>
    <col min="19" max="19" width="13.140625" style="1" customWidth="1"/>
    <col min="20" max="20" width="10.140625" style="1" customWidth="1"/>
    <col min="21" max="21" width="13.28515625" style="1" customWidth="1"/>
    <col min="22" max="22" width="12.5703125" style="1" customWidth="1"/>
    <col min="23" max="23" width="15.85546875" style="1" customWidth="1"/>
    <col min="24" max="24" width="12.5703125" style="1" customWidth="1"/>
    <col min="25" max="25" width="12" style="1" customWidth="1"/>
    <col min="26" max="26" width="14.7109375" style="1" customWidth="1"/>
    <col min="27" max="27" width="9.28515625" style="1" customWidth="1"/>
    <col min="28" max="28" width="42" style="1" customWidth="1"/>
    <col min="29" max="29" width="63" style="1" customWidth="1"/>
    <col min="30" max="30" width="15.5703125" style="1" customWidth="1"/>
    <col min="31" max="31" width="35.5703125" style="1" customWidth="1"/>
    <col min="32" max="32" width="31.7109375" style="1" customWidth="1"/>
    <col min="33" max="33" width="15.5703125" style="1" customWidth="1"/>
    <col min="34" max="34" width="9" style="1" customWidth="1"/>
    <col min="35" max="35" width="65" style="1" customWidth="1"/>
    <col min="36" max="36" width="19.140625" style="1" customWidth="1"/>
    <col min="37" max="37" width="120.85546875" style="1" customWidth="1"/>
    <col min="38" max="38" width="13" style="1" customWidth="1"/>
    <col min="39" max="39" width="12.85546875" style="1" customWidth="1"/>
    <col min="40" max="40" width="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149</v>
      </c>
      <c r="B1" s="2" t="s">
        <v>138</v>
      </c>
      <c r="C1" s="2" t="s">
        <v>203</v>
      </c>
      <c r="D1" s="2" t="s">
        <v>604</v>
      </c>
      <c r="E1" s="3" t="s">
        <v>122</v>
      </c>
      <c r="F1" s="3" t="s">
        <v>537</v>
      </c>
      <c r="G1" s="3" t="s">
        <v>412</v>
      </c>
      <c r="H1" s="3" t="s">
        <v>87</v>
      </c>
      <c r="I1" s="4" t="s">
        <v>74</v>
      </c>
      <c r="J1" s="5" t="s">
        <v>426</v>
      </c>
      <c r="K1" s="6" t="s">
        <v>148</v>
      </c>
      <c r="L1" s="5" t="s">
        <v>30</v>
      </c>
      <c r="M1" s="6" t="s">
        <v>140</v>
      </c>
      <c r="N1" s="5" t="s">
        <v>328</v>
      </c>
      <c r="O1" s="6" t="s">
        <v>115</v>
      </c>
      <c r="P1" s="5" t="s">
        <v>377</v>
      </c>
      <c r="Q1" s="6" t="s">
        <v>571</v>
      </c>
      <c r="R1" s="5" t="s">
        <v>353</v>
      </c>
      <c r="S1" s="7" t="s">
        <v>597</v>
      </c>
      <c r="T1" s="6" t="s">
        <v>494</v>
      </c>
      <c r="U1" s="8" t="s">
        <v>534</v>
      </c>
      <c r="V1" s="5" t="s">
        <v>559</v>
      </c>
      <c r="W1" s="6" t="s">
        <v>490</v>
      </c>
      <c r="X1" s="5" t="s">
        <v>209</v>
      </c>
      <c r="Y1" s="5" t="s">
        <v>123</v>
      </c>
      <c r="Z1" s="9" t="s">
        <v>623</v>
      </c>
      <c r="AA1" s="9" t="s">
        <v>276</v>
      </c>
      <c r="AB1" s="10" t="s">
        <v>547</v>
      </c>
      <c r="AC1" s="11" t="s">
        <v>142</v>
      </c>
      <c r="AD1" s="12" t="s">
        <v>499</v>
      </c>
      <c r="AE1" s="13" t="s">
        <v>546</v>
      </c>
      <c r="AF1" s="14" t="s">
        <v>141</v>
      </c>
      <c r="AG1" s="12" t="s">
        <v>7</v>
      </c>
      <c r="AH1" s="14" t="s">
        <v>26</v>
      </c>
      <c r="AI1" s="3" t="s">
        <v>340</v>
      </c>
      <c r="AJ1" s="3" t="s">
        <v>188</v>
      </c>
      <c r="AK1" s="3" t="s">
        <v>326</v>
      </c>
      <c r="AL1" s="2" t="s">
        <v>79</v>
      </c>
      <c r="AM1" s="2" t="s">
        <v>535</v>
      </c>
      <c r="AN1" s="2" t="s">
        <v>448</v>
      </c>
      <c r="AO1" s="1" t="s">
        <v>143</v>
      </c>
      <c r="AP1" s="1" t="s">
        <v>456</v>
      </c>
    </row>
    <row r="2" spans="1:42" ht="12" customHeight="1" x14ac:dyDescent="0.2">
      <c r="A2" s="15" t="s">
        <v>121</v>
      </c>
      <c r="B2" s="15"/>
      <c r="C2" s="15">
        <v>4934</v>
      </c>
      <c r="D2" s="15" t="s">
        <v>545</v>
      </c>
      <c r="E2" s="15" t="s">
        <v>372</v>
      </c>
      <c r="F2" s="15" t="s">
        <v>619</v>
      </c>
      <c r="G2" s="15" t="s">
        <v>130</v>
      </c>
      <c r="H2" s="15" t="s">
        <v>31</v>
      </c>
      <c r="I2" s="15" t="s">
        <v>31</v>
      </c>
      <c r="J2" s="16"/>
      <c r="K2" s="16"/>
      <c r="L2" s="16"/>
      <c r="M2" s="16"/>
      <c r="N2" s="16"/>
      <c r="O2" s="16"/>
      <c r="P2" s="16"/>
      <c r="Q2" s="16">
        <v>36671</v>
      </c>
      <c r="R2" s="16">
        <v>9845</v>
      </c>
      <c r="S2" s="16"/>
      <c r="T2" s="16">
        <v>5674</v>
      </c>
      <c r="U2" s="16"/>
      <c r="V2" s="16"/>
      <c r="W2" s="16"/>
      <c r="X2" s="16"/>
      <c r="Y2" s="16"/>
      <c r="Z2" s="16">
        <f t="shared" ref="Z2" si="0">COUNTA(J2:Y2)</f>
        <v>3</v>
      </c>
      <c r="AA2" s="16" t="s">
        <v>177</v>
      </c>
      <c r="AB2" s="15" t="s">
        <v>267</v>
      </c>
      <c r="AC2" s="15" t="s">
        <v>133</v>
      </c>
      <c r="AD2" s="15" t="s">
        <v>103</v>
      </c>
      <c r="AE2" s="15" t="s">
        <v>330</v>
      </c>
      <c r="AF2" s="15"/>
      <c r="AG2" s="15" t="s">
        <v>103</v>
      </c>
      <c r="AH2" s="15"/>
      <c r="AI2" s="15" t="s">
        <v>113</v>
      </c>
      <c r="AJ2" s="15" t="s">
        <v>298</v>
      </c>
      <c r="AK2" s="15" t="s">
        <v>133</v>
      </c>
      <c r="AL2" s="18">
        <v>251327009</v>
      </c>
      <c r="AM2" s="18" t="s">
        <v>697</v>
      </c>
      <c r="AN2" s="18" t="s">
        <v>698</v>
      </c>
      <c r="AO2" s="1" t="s">
        <v>812</v>
      </c>
    </row>
    <row r="3" spans="1:42" ht="12" customHeight="1" x14ac:dyDescent="0.2">
      <c r="A3" s="15" t="s">
        <v>121</v>
      </c>
      <c r="B3" s="15"/>
      <c r="C3" s="15">
        <v>4941</v>
      </c>
      <c r="D3" s="15" t="s">
        <v>545</v>
      </c>
      <c r="E3" s="15" t="s">
        <v>147</v>
      </c>
      <c r="F3" s="15" t="s">
        <v>147</v>
      </c>
      <c r="G3" s="15" t="s">
        <v>110</v>
      </c>
      <c r="H3" s="15" t="s">
        <v>626</v>
      </c>
      <c r="I3" s="15" t="s">
        <v>626</v>
      </c>
      <c r="J3" s="16">
        <v>15333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>
        <f t="shared" ref="Z3:Z36" si="1">COUNTA(J3:Y3)</f>
        <v>1</v>
      </c>
      <c r="AA3" s="16" t="s">
        <v>26</v>
      </c>
      <c r="AB3" s="15" t="s">
        <v>318</v>
      </c>
      <c r="AC3" s="15"/>
      <c r="AD3" s="15" t="s">
        <v>103</v>
      </c>
      <c r="AE3" s="15" t="s">
        <v>147</v>
      </c>
      <c r="AF3" s="15"/>
      <c r="AG3" s="15" t="s">
        <v>103</v>
      </c>
      <c r="AH3" s="15"/>
      <c r="AI3" s="15" t="s">
        <v>504</v>
      </c>
      <c r="AJ3" s="15" t="s">
        <v>661</v>
      </c>
      <c r="AK3" s="15" t="s">
        <v>488</v>
      </c>
      <c r="AL3" s="18">
        <v>62302004</v>
      </c>
      <c r="AM3" s="18" t="s">
        <v>699</v>
      </c>
      <c r="AN3" s="18" t="s">
        <v>700</v>
      </c>
      <c r="AO3" s="1" t="s">
        <v>812</v>
      </c>
    </row>
    <row r="4" spans="1:42" ht="12" customHeight="1" x14ac:dyDescent="0.2">
      <c r="A4" s="15" t="s">
        <v>121</v>
      </c>
      <c r="B4" s="15"/>
      <c r="C4" s="15">
        <v>4942</v>
      </c>
      <c r="D4" s="15" t="s">
        <v>545</v>
      </c>
      <c r="E4" s="15" t="s">
        <v>147</v>
      </c>
      <c r="F4" s="15" t="s">
        <v>147</v>
      </c>
      <c r="G4" s="15" t="s">
        <v>302</v>
      </c>
      <c r="H4" s="15" t="s">
        <v>517</v>
      </c>
      <c r="I4" s="15" t="s">
        <v>517</v>
      </c>
      <c r="J4" s="16"/>
      <c r="K4" s="16"/>
      <c r="L4" s="16"/>
      <c r="M4" s="16" t="s">
        <v>399</v>
      </c>
      <c r="N4" s="16">
        <v>29794</v>
      </c>
      <c r="O4" s="16">
        <v>29794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>
        <f t="shared" si="1"/>
        <v>3</v>
      </c>
      <c r="AA4" s="16" t="s">
        <v>177</v>
      </c>
      <c r="AB4" s="15" t="s">
        <v>335</v>
      </c>
      <c r="AC4" s="15"/>
      <c r="AD4" s="15" t="s">
        <v>103</v>
      </c>
      <c r="AE4" s="15" t="s">
        <v>147</v>
      </c>
      <c r="AF4" s="15"/>
      <c r="AG4" s="15" t="s">
        <v>103</v>
      </c>
      <c r="AH4" s="15"/>
      <c r="AI4" s="15" t="s">
        <v>504</v>
      </c>
      <c r="AJ4" s="15" t="s">
        <v>661</v>
      </c>
      <c r="AK4" s="15" t="s">
        <v>157</v>
      </c>
      <c r="AL4" s="18">
        <v>62302004</v>
      </c>
      <c r="AM4" s="18" t="s">
        <v>699</v>
      </c>
      <c r="AN4" s="18" t="s">
        <v>700</v>
      </c>
      <c r="AO4" s="1" t="s">
        <v>812</v>
      </c>
    </row>
    <row r="5" spans="1:42" ht="12" customHeight="1" x14ac:dyDescent="0.2">
      <c r="A5" s="15" t="s">
        <v>121</v>
      </c>
      <c r="B5" s="15"/>
      <c r="C5" s="15">
        <v>4943</v>
      </c>
      <c r="D5" s="15" t="s">
        <v>545</v>
      </c>
      <c r="E5" s="15" t="s">
        <v>147</v>
      </c>
      <c r="F5" s="15" t="s">
        <v>147</v>
      </c>
      <c r="G5" s="15" t="s">
        <v>302</v>
      </c>
      <c r="H5" s="15" t="s">
        <v>518</v>
      </c>
      <c r="I5" s="15" t="s">
        <v>518</v>
      </c>
      <c r="J5" s="16"/>
      <c r="K5" s="16"/>
      <c r="L5" s="16"/>
      <c r="M5" s="16"/>
      <c r="N5" s="16">
        <v>29798</v>
      </c>
      <c r="O5" s="16">
        <v>29798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>
        <f t="shared" si="1"/>
        <v>2</v>
      </c>
      <c r="AA5" s="16" t="s">
        <v>177</v>
      </c>
      <c r="AB5" s="15" t="s">
        <v>335</v>
      </c>
      <c r="AC5" s="15"/>
      <c r="AD5" s="15" t="s">
        <v>103</v>
      </c>
      <c r="AE5" s="15" t="s">
        <v>147</v>
      </c>
      <c r="AF5" s="15"/>
      <c r="AG5" s="15" t="s">
        <v>103</v>
      </c>
      <c r="AH5" s="15"/>
      <c r="AI5" s="15" t="s">
        <v>504</v>
      </c>
      <c r="AJ5" s="15" t="s">
        <v>661</v>
      </c>
      <c r="AK5" s="15" t="s">
        <v>439</v>
      </c>
      <c r="AL5" s="18">
        <v>62302004</v>
      </c>
      <c r="AM5" s="18" t="s">
        <v>699</v>
      </c>
      <c r="AN5" s="18" t="s">
        <v>700</v>
      </c>
      <c r="AO5" s="1" t="s">
        <v>812</v>
      </c>
    </row>
    <row r="6" spans="1:42" ht="12" customHeight="1" x14ac:dyDescent="0.2">
      <c r="A6" s="15" t="s">
        <v>121</v>
      </c>
      <c r="B6" s="15"/>
      <c r="C6" s="15">
        <v>4944</v>
      </c>
      <c r="D6" s="15" t="s">
        <v>545</v>
      </c>
      <c r="E6" s="15" t="s">
        <v>147</v>
      </c>
      <c r="F6" s="15" t="s">
        <v>147</v>
      </c>
      <c r="G6" s="15" t="s">
        <v>110</v>
      </c>
      <c r="H6" s="15" t="s">
        <v>581</v>
      </c>
      <c r="I6" s="15" t="s">
        <v>581</v>
      </c>
      <c r="J6" s="16">
        <v>25158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>
        <f t="shared" si="1"/>
        <v>1</v>
      </c>
      <c r="AA6" s="16" t="s">
        <v>26</v>
      </c>
      <c r="AB6" s="15" t="s">
        <v>318</v>
      </c>
      <c r="AC6" s="15"/>
      <c r="AD6" s="15" t="s">
        <v>103</v>
      </c>
      <c r="AE6" s="15" t="s">
        <v>147</v>
      </c>
      <c r="AF6" s="15"/>
      <c r="AG6" s="15" t="s">
        <v>103</v>
      </c>
      <c r="AH6" s="15"/>
      <c r="AI6" s="15" t="s">
        <v>504</v>
      </c>
      <c r="AJ6" s="15" t="s">
        <v>661</v>
      </c>
      <c r="AK6" s="15" t="s">
        <v>80</v>
      </c>
      <c r="AL6" s="18">
        <v>62302004</v>
      </c>
      <c r="AM6" s="18" t="s">
        <v>699</v>
      </c>
      <c r="AN6" s="18" t="s">
        <v>700</v>
      </c>
      <c r="AO6" s="1" t="s">
        <v>812</v>
      </c>
    </row>
    <row r="7" spans="1:42" ht="12" customHeight="1" x14ac:dyDescent="0.2">
      <c r="A7" s="15" t="s">
        <v>121</v>
      </c>
      <c r="B7" s="15"/>
      <c r="C7" s="15">
        <v>4945</v>
      </c>
      <c r="D7" s="15" t="s">
        <v>545</v>
      </c>
      <c r="E7" s="15" t="s">
        <v>147</v>
      </c>
      <c r="F7" s="15" t="s">
        <v>147</v>
      </c>
      <c r="G7" s="15" t="s">
        <v>302</v>
      </c>
      <c r="H7" s="15" t="s">
        <v>480</v>
      </c>
      <c r="I7" s="15" t="s">
        <v>480</v>
      </c>
      <c r="J7" s="16"/>
      <c r="K7" s="16">
        <v>6428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>
        <f t="shared" si="1"/>
        <v>1</v>
      </c>
      <c r="AA7" s="16" t="s">
        <v>26</v>
      </c>
      <c r="AB7" s="15" t="s">
        <v>335</v>
      </c>
      <c r="AC7" s="15"/>
      <c r="AD7" s="15" t="s">
        <v>103</v>
      </c>
      <c r="AE7" s="15" t="s">
        <v>147</v>
      </c>
      <c r="AF7" s="15"/>
      <c r="AG7" s="15" t="s">
        <v>103</v>
      </c>
      <c r="AH7" s="15"/>
      <c r="AI7" s="15" t="s">
        <v>504</v>
      </c>
      <c r="AJ7" s="15" t="s">
        <v>661</v>
      </c>
      <c r="AK7" s="15" t="s">
        <v>285</v>
      </c>
      <c r="AL7" s="18">
        <v>62302004</v>
      </c>
      <c r="AM7" s="18" t="s">
        <v>699</v>
      </c>
      <c r="AN7" s="18" t="s">
        <v>700</v>
      </c>
      <c r="AO7" s="1" t="s">
        <v>812</v>
      </c>
    </row>
    <row r="8" spans="1:42" ht="12" customHeight="1" x14ac:dyDescent="0.2">
      <c r="A8" s="15" t="s">
        <v>121</v>
      </c>
      <c r="B8" s="15"/>
      <c r="C8" s="15">
        <v>4946</v>
      </c>
      <c r="D8" s="15" t="s">
        <v>545</v>
      </c>
      <c r="E8" s="15" t="s">
        <v>147</v>
      </c>
      <c r="F8" s="15" t="s">
        <v>147</v>
      </c>
      <c r="G8" s="15" t="s">
        <v>302</v>
      </c>
      <c r="H8" s="15" t="s">
        <v>479</v>
      </c>
      <c r="I8" s="15" t="s">
        <v>479</v>
      </c>
      <c r="J8" s="16"/>
      <c r="K8" s="16">
        <v>6429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>
        <f t="shared" si="1"/>
        <v>1</v>
      </c>
      <c r="AA8" s="16" t="s">
        <v>26</v>
      </c>
      <c r="AB8" s="15" t="s">
        <v>335</v>
      </c>
      <c r="AC8" s="15"/>
      <c r="AD8" s="15" t="s">
        <v>103</v>
      </c>
      <c r="AE8" s="15" t="s">
        <v>147</v>
      </c>
      <c r="AF8" s="15"/>
      <c r="AG8" s="15" t="s">
        <v>103</v>
      </c>
      <c r="AH8" s="15"/>
      <c r="AI8" s="15" t="s">
        <v>504</v>
      </c>
      <c r="AJ8" s="15" t="s">
        <v>661</v>
      </c>
      <c r="AK8" s="15" t="s">
        <v>343</v>
      </c>
      <c r="AL8" s="18">
        <v>62302004</v>
      </c>
      <c r="AM8" s="18" t="s">
        <v>699</v>
      </c>
      <c r="AN8" s="18" t="s">
        <v>700</v>
      </c>
      <c r="AO8" s="1" t="s">
        <v>812</v>
      </c>
    </row>
    <row r="9" spans="1:42" ht="12" customHeight="1" x14ac:dyDescent="0.2">
      <c r="A9" s="15" t="s">
        <v>121</v>
      </c>
      <c r="B9" s="15"/>
      <c r="C9" s="15">
        <v>4954</v>
      </c>
      <c r="D9" s="15" t="s">
        <v>545</v>
      </c>
      <c r="E9" s="15" t="s">
        <v>147</v>
      </c>
      <c r="F9" s="15" t="s">
        <v>147</v>
      </c>
      <c r="G9" s="15" t="s">
        <v>110</v>
      </c>
      <c r="H9" s="15" t="s">
        <v>408</v>
      </c>
      <c r="I9" s="15" t="s">
        <v>408</v>
      </c>
      <c r="J9" s="16"/>
      <c r="K9" s="16"/>
      <c r="L9" s="16"/>
      <c r="M9" s="16"/>
      <c r="N9" s="16"/>
      <c r="O9" s="16"/>
      <c r="P9" s="16"/>
      <c r="Q9" s="16"/>
      <c r="R9" s="16">
        <v>1422</v>
      </c>
      <c r="S9" s="16"/>
      <c r="T9" s="16"/>
      <c r="U9" s="16"/>
      <c r="V9" s="16"/>
      <c r="W9" s="16"/>
      <c r="X9" s="16"/>
      <c r="Y9" s="16"/>
      <c r="Z9" s="16">
        <f t="shared" si="1"/>
        <v>1</v>
      </c>
      <c r="AA9" s="16" t="s">
        <v>26</v>
      </c>
      <c r="AB9" s="15" t="s">
        <v>318</v>
      </c>
      <c r="AC9" s="15"/>
      <c r="AD9" s="15" t="s">
        <v>103</v>
      </c>
      <c r="AE9" s="15" t="s">
        <v>147</v>
      </c>
      <c r="AF9" s="15"/>
      <c r="AG9" s="15" t="s">
        <v>103</v>
      </c>
      <c r="AH9" s="15"/>
      <c r="AI9" s="15" t="s">
        <v>504</v>
      </c>
      <c r="AJ9" s="15" t="s">
        <v>661</v>
      </c>
      <c r="AK9" s="15" t="s">
        <v>603</v>
      </c>
      <c r="AL9" s="18">
        <v>62302004</v>
      </c>
      <c r="AM9" s="18" t="s">
        <v>699</v>
      </c>
      <c r="AN9" s="18" t="s">
        <v>700</v>
      </c>
      <c r="AO9" s="1" t="s">
        <v>812</v>
      </c>
    </row>
    <row r="10" spans="1:42" ht="12" customHeight="1" x14ac:dyDescent="0.2">
      <c r="A10" s="15" t="s">
        <v>121</v>
      </c>
      <c r="B10" s="15"/>
      <c r="C10" s="15">
        <v>4959</v>
      </c>
      <c r="D10" s="15" t="s">
        <v>545</v>
      </c>
      <c r="E10" s="15" t="s">
        <v>147</v>
      </c>
      <c r="F10" s="15" t="s">
        <v>147</v>
      </c>
      <c r="G10" s="15" t="s">
        <v>302</v>
      </c>
      <c r="H10" s="15" t="s">
        <v>614</v>
      </c>
      <c r="I10" s="15" t="s">
        <v>469</v>
      </c>
      <c r="J10" s="16"/>
      <c r="K10" s="16"/>
      <c r="L10" s="16">
        <v>24392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>
        <f t="shared" si="1"/>
        <v>1</v>
      </c>
      <c r="AA10" s="16" t="s">
        <v>26</v>
      </c>
      <c r="AB10" s="15" t="s">
        <v>335</v>
      </c>
      <c r="AC10" s="15"/>
      <c r="AD10" s="15" t="s">
        <v>103</v>
      </c>
      <c r="AE10" s="15" t="s">
        <v>147</v>
      </c>
      <c r="AF10" s="15"/>
      <c r="AG10" s="15" t="s">
        <v>103</v>
      </c>
      <c r="AH10" s="15"/>
      <c r="AI10" s="15" t="s">
        <v>504</v>
      </c>
      <c r="AJ10" s="15" t="s">
        <v>661</v>
      </c>
      <c r="AK10" s="15" t="s">
        <v>510</v>
      </c>
      <c r="AL10" s="18">
        <v>414629003</v>
      </c>
      <c r="AM10" s="18" t="s">
        <v>701</v>
      </c>
      <c r="AN10" s="18" t="s">
        <v>702</v>
      </c>
      <c r="AO10" s="1" t="s">
        <v>812</v>
      </c>
    </row>
    <row r="11" spans="1:42" ht="12" customHeight="1" x14ac:dyDescent="0.2">
      <c r="A11" s="15" t="s">
        <v>121</v>
      </c>
      <c r="B11" s="15"/>
      <c r="C11" s="15">
        <v>4960</v>
      </c>
      <c r="D11" s="15" t="s">
        <v>545</v>
      </c>
      <c r="E11" s="15" t="s">
        <v>147</v>
      </c>
      <c r="F11" s="15" t="s">
        <v>147</v>
      </c>
      <c r="G11" s="15" t="s">
        <v>302</v>
      </c>
      <c r="H11" s="15" t="s">
        <v>622</v>
      </c>
      <c r="I11" s="15" t="s">
        <v>622</v>
      </c>
      <c r="J11" s="16"/>
      <c r="K11" s="16"/>
      <c r="L11" s="16"/>
      <c r="M11" s="16"/>
      <c r="N11" s="16"/>
      <c r="O11" s="16"/>
      <c r="P11" s="16"/>
      <c r="Q11" s="16">
        <v>32117</v>
      </c>
      <c r="R11" s="16">
        <v>1835</v>
      </c>
      <c r="S11" s="16"/>
      <c r="T11" s="16">
        <v>1745</v>
      </c>
      <c r="U11" s="16"/>
      <c r="V11" s="16"/>
      <c r="W11" s="16"/>
      <c r="X11" s="16"/>
      <c r="Y11" s="16"/>
      <c r="Z11" s="16">
        <f t="shared" si="1"/>
        <v>3</v>
      </c>
      <c r="AA11" s="16" t="s">
        <v>177</v>
      </c>
      <c r="AB11" s="15" t="s">
        <v>335</v>
      </c>
      <c r="AC11" s="15"/>
      <c r="AD11" s="15" t="s">
        <v>103</v>
      </c>
      <c r="AE11" s="15" t="s">
        <v>147</v>
      </c>
      <c r="AF11" s="15"/>
      <c r="AG11" s="15" t="s">
        <v>103</v>
      </c>
      <c r="AH11" s="15"/>
      <c r="AI11" s="15" t="s">
        <v>504</v>
      </c>
      <c r="AJ11" s="15" t="s">
        <v>661</v>
      </c>
      <c r="AK11" s="15" t="s">
        <v>135</v>
      </c>
      <c r="AL11" s="18">
        <v>414629003</v>
      </c>
      <c r="AM11" s="18" t="s">
        <v>701</v>
      </c>
      <c r="AN11" s="18" t="s">
        <v>702</v>
      </c>
      <c r="AO11" s="1" t="s">
        <v>812</v>
      </c>
    </row>
    <row r="12" spans="1:42" ht="12" customHeight="1" x14ac:dyDescent="0.2">
      <c r="A12" s="15" t="s">
        <v>121</v>
      </c>
      <c r="B12" s="15"/>
      <c r="C12" s="15">
        <v>4961</v>
      </c>
      <c r="D12" s="15" t="s">
        <v>545</v>
      </c>
      <c r="E12" s="15" t="s">
        <v>147</v>
      </c>
      <c r="F12" s="15" t="s">
        <v>147</v>
      </c>
      <c r="G12" s="15" t="s">
        <v>110</v>
      </c>
      <c r="H12" s="15" t="s">
        <v>368</v>
      </c>
      <c r="I12" s="15" t="s">
        <v>638</v>
      </c>
      <c r="J12" s="16"/>
      <c r="K12" s="16"/>
      <c r="L12" s="16"/>
      <c r="M12" s="16"/>
      <c r="N12" s="16">
        <v>31438</v>
      </c>
      <c r="O12" s="16"/>
      <c r="P12" s="16"/>
      <c r="Q12" s="16">
        <v>32569</v>
      </c>
      <c r="R12" s="16"/>
      <c r="S12" s="16"/>
      <c r="T12" s="16"/>
      <c r="U12" s="16"/>
      <c r="V12" s="16"/>
      <c r="W12" s="16"/>
      <c r="X12" s="16"/>
      <c r="Y12" s="16"/>
      <c r="Z12" s="16">
        <f t="shared" si="1"/>
        <v>2</v>
      </c>
      <c r="AA12" s="16" t="s">
        <v>177</v>
      </c>
      <c r="AB12" s="15" t="s">
        <v>318</v>
      </c>
      <c r="AC12" s="15"/>
      <c r="AD12" s="15" t="s">
        <v>103</v>
      </c>
      <c r="AE12" s="15" t="s">
        <v>147</v>
      </c>
      <c r="AF12" s="15"/>
      <c r="AG12" s="15" t="s">
        <v>103</v>
      </c>
      <c r="AH12" s="15"/>
      <c r="AI12" s="15" t="s">
        <v>504</v>
      </c>
      <c r="AJ12" s="15" t="s">
        <v>661</v>
      </c>
      <c r="AK12" s="15" t="s">
        <v>527</v>
      </c>
      <c r="AL12" s="18">
        <v>414629003</v>
      </c>
      <c r="AM12" s="18" t="s">
        <v>701</v>
      </c>
      <c r="AN12" s="18" t="s">
        <v>702</v>
      </c>
      <c r="AO12" s="1" t="s">
        <v>812</v>
      </c>
    </row>
    <row r="13" spans="1:42" ht="12" customHeight="1" x14ac:dyDescent="0.2">
      <c r="A13" s="15" t="s">
        <v>121</v>
      </c>
      <c r="B13" s="15"/>
      <c r="C13" s="15">
        <v>4962</v>
      </c>
      <c r="D13" s="15" t="s">
        <v>545</v>
      </c>
      <c r="E13" s="15" t="s">
        <v>147</v>
      </c>
      <c r="F13" s="15" t="s">
        <v>147</v>
      </c>
      <c r="G13" s="15" t="s">
        <v>302</v>
      </c>
      <c r="H13" s="15" t="s">
        <v>38</v>
      </c>
      <c r="I13" s="15" t="s">
        <v>524</v>
      </c>
      <c r="J13" s="16"/>
      <c r="K13" s="16"/>
      <c r="L13" s="16"/>
      <c r="M13" s="16"/>
      <c r="N13" s="16"/>
      <c r="O13" s="16"/>
      <c r="P13" s="16"/>
      <c r="Q13" s="16" t="s">
        <v>399</v>
      </c>
      <c r="R13" s="16"/>
      <c r="S13" s="16"/>
      <c r="T13" s="16"/>
      <c r="U13" s="16"/>
      <c r="V13" s="16"/>
      <c r="W13" s="16"/>
      <c r="X13" s="16"/>
      <c r="Y13" s="16"/>
      <c r="Z13" s="16">
        <f t="shared" si="1"/>
        <v>1</v>
      </c>
      <c r="AA13" s="16" t="s">
        <v>26</v>
      </c>
      <c r="AB13" s="15" t="s">
        <v>335</v>
      </c>
      <c r="AC13" s="15"/>
      <c r="AD13" s="15" t="s">
        <v>103</v>
      </c>
      <c r="AE13" s="15" t="s">
        <v>147</v>
      </c>
      <c r="AF13" s="15"/>
      <c r="AG13" s="15" t="s">
        <v>103</v>
      </c>
      <c r="AH13" s="15"/>
      <c r="AI13" s="15" t="s">
        <v>504</v>
      </c>
      <c r="AJ13" s="15" t="s">
        <v>661</v>
      </c>
      <c r="AK13" s="15" t="s">
        <v>24</v>
      </c>
      <c r="AL13" s="18">
        <v>109993000</v>
      </c>
      <c r="AM13" s="18" t="s">
        <v>703</v>
      </c>
      <c r="AN13" s="18" t="s">
        <v>704</v>
      </c>
      <c r="AO13" s="1" t="s">
        <v>812</v>
      </c>
    </row>
    <row r="14" spans="1:42" ht="12" customHeight="1" x14ac:dyDescent="0.2">
      <c r="A14" s="15" t="s">
        <v>121</v>
      </c>
      <c r="B14" s="15"/>
      <c r="C14" s="15">
        <v>4963</v>
      </c>
      <c r="D14" s="15" t="s">
        <v>545</v>
      </c>
      <c r="E14" s="15" t="s">
        <v>290</v>
      </c>
      <c r="F14" s="15" t="s">
        <v>552</v>
      </c>
      <c r="G14" s="15" t="s">
        <v>625</v>
      </c>
      <c r="H14" s="15" t="s">
        <v>423</v>
      </c>
      <c r="I14" s="15" t="s">
        <v>423</v>
      </c>
      <c r="J14" s="16"/>
      <c r="K14" s="16"/>
      <c r="L14" s="16"/>
      <c r="M14" s="16"/>
      <c r="N14" s="16"/>
      <c r="O14" s="16"/>
      <c r="P14" s="16">
        <v>27123</v>
      </c>
      <c r="Q14" s="16"/>
      <c r="R14" s="16"/>
      <c r="S14" s="16"/>
      <c r="T14" s="16"/>
      <c r="U14" s="16"/>
      <c r="V14" s="16"/>
      <c r="W14" s="16"/>
      <c r="X14" s="16" t="s">
        <v>629</v>
      </c>
      <c r="Y14" s="16"/>
      <c r="Z14" s="16">
        <f t="shared" si="1"/>
        <v>2</v>
      </c>
      <c r="AA14" s="16" t="s">
        <v>177</v>
      </c>
      <c r="AB14" s="15" t="s">
        <v>416</v>
      </c>
      <c r="AC14" s="15"/>
      <c r="AD14" s="15" t="s">
        <v>103</v>
      </c>
      <c r="AE14" s="15" t="s">
        <v>201</v>
      </c>
      <c r="AF14" s="15"/>
      <c r="AG14" s="15" t="s">
        <v>103</v>
      </c>
      <c r="AH14" s="15"/>
      <c r="AI14" s="15" t="s">
        <v>81</v>
      </c>
      <c r="AJ14" s="15" t="s">
        <v>566</v>
      </c>
      <c r="AK14" s="15" t="s">
        <v>170</v>
      </c>
      <c r="AL14" s="18">
        <v>13645005</v>
      </c>
      <c r="AM14" s="18" t="s">
        <v>705</v>
      </c>
      <c r="AN14" s="18" t="s">
        <v>706</v>
      </c>
      <c r="AO14" s="1" t="s">
        <v>812</v>
      </c>
    </row>
    <row r="15" spans="1:42" ht="12" customHeight="1" x14ac:dyDescent="0.2">
      <c r="A15" s="15" t="s">
        <v>121</v>
      </c>
      <c r="B15" s="15"/>
      <c r="C15" s="15">
        <v>4964</v>
      </c>
      <c r="D15" s="15" t="s">
        <v>545</v>
      </c>
      <c r="E15" s="15" t="s">
        <v>372</v>
      </c>
      <c r="F15" s="15" t="s">
        <v>247</v>
      </c>
      <c r="G15" s="15" t="s">
        <v>459</v>
      </c>
      <c r="H15" s="15" t="s">
        <v>631</v>
      </c>
      <c r="I15" s="15" t="s">
        <v>631</v>
      </c>
      <c r="J15" s="16">
        <v>24672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>
        <f t="shared" si="1"/>
        <v>1</v>
      </c>
      <c r="AA15" s="16" t="s">
        <v>26</v>
      </c>
      <c r="AB15" s="15" t="s">
        <v>553</v>
      </c>
      <c r="AC15" s="15" t="s">
        <v>506</v>
      </c>
      <c r="AD15" s="15" t="s">
        <v>103</v>
      </c>
      <c r="AE15" s="15" t="s">
        <v>602</v>
      </c>
      <c r="AF15" s="15"/>
      <c r="AG15" s="15" t="s">
        <v>103</v>
      </c>
      <c r="AH15" s="15"/>
      <c r="AI15" s="15" t="s">
        <v>81</v>
      </c>
      <c r="AJ15" s="15" t="s">
        <v>298</v>
      </c>
      <c r="AK15" s="15" t="s">
        <v>493</v>
      </c>
      <c r="AL15" s="18">
        <v>408957008</v>
      </c>
      <c r="AM15" s="18" t="s">
        <v>707</v>
      </c>
      <c r="AN15" s="18" t="s">
        <v>708</v>
      </c>
      <c r="AO15" s="1" t="s">
        <v>812</v>
      </c>
    </row>
    <row r="16" spans="1:42" ht="12" customHeight="1" x14ac:dyDescent="0.2">
      <c r="A16" s="15" t="s">
        <v>121</v>
      </c>
      <c r="B16" s="15"/>
      <c r="C16" s="15">
        <v>4965</v>
      </c>
      <c r="D16" s="15" t="s">
        <v>545</v>
      </c>
      <c r="E16" s="15" t="s">
        <v>372</v>
      </c>
      <c r="F16" s="15" t="s">
        <v>247</v>
      </c>
      <c r="G16" s="15" t="s">
        <v>443</v>
      </c>
      <c r="H16" s="15" t="s">
        <v>41</v>
      </c>
      <c r="I16" s="15" t="s">
        <v>41</v>
      </c>
      <c r="J16" s="16">
        <v>26044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>
        <f t="shared" si="1"/>
        <v>1</v>
      </c>
      <c r="AA16" s="16" t="s">
        <v>26</v>
      </c>
      <c r="AB16" s="15" t="s">
        <v>493</v>
      </c>
      <c r="AC16" s="15"/>
      <c r="AD16" s="15" t="s">
        <v>449</v>
      </c>
      <c r="AE16" s="15" t="s">
        <v>602</v>
      </c>
      <c r="AF16" s="15"/>
      <c r="AG16" s="15" t="s">
        <v>103</v>
      </c>
      <c r="AH16" s="15"/>
      <c r="AI16" s="15" t="s">
        <v>81</v>
      </c>
      <c r="AJ16" s="15" t="s">
        <v>298</v>
      </c>
      <c r="AK16" s="15" t="s">
        <v>205</v>
      </c>
      <c r="AL16" s="18">
        <v>408957008</v>
      </c>
      <c r="AM16" s="18" t="s">
        <v>707</v>
      </c>
      <c r="AN16" s="18" t="s">
        <v>708</v>
      </c>
      <c r="AO16" s="1" t="s">
        <v>812</v>
      </c>
    </row>
    <row r="17" spans="1:41" ht="12" customHeight="1" x14ac:dyDescent="0.2">
      <c r="A17" s="15" t="s">
        <v>121</v>
      </c>
      <c r="B17" s="15"/>
      <c r="C17" s="15">
        <v>4966</v>
      </c>
      <c r="D17" s="15" t="s">
        <v>545</v>
      </c>
      <c r="E17" s="15" t="s">
        <v>372</v>
      </c>
      <c r="F17" s="15" t="s">
        <v>247</v>
      </c>
      <c r="G17" s="15" t="s">
        <v>443</v>
      </c>
      <c r="H17" s="15" t="s">
        <v>42</v>
      </c>
      <c r="I17" s="15" t="s">
        <v>42</v>
      </c>
      <c r="J17" s="16">
        <v>26045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>
        <f t="shared" si="1"/>
        <v>1</v>
      </c>
      <c r="AA17" s="16" t="s">
        <v>26</v>
      </c>
      <c r="AB17" s="15" t="s">
        <v>493</v>
      </c>
      <c r="AC17" s="15"/>
      <c r="AD17" s="15" t="s">
        <v>449</v>
      </c>
      <c r="AE17" s="15" t="s">
        <v>602</v>
      </c>
      <c r="AF17" s="15"/>
      <c r="AG17" s="15" t="s">
        <v>103</v>
      </c>
      <c r="AH17" s="15"/>
      <c r="AI17" s="15" t="s">
        <v>81</v>
      </c>
      <c r="AJ17" s="15" t="s">
        <v>298</v>
      </c>
      <c r="AK17" s="15" t="s">
        <v>206</v>
      </c>
      <c r="AL17" s="18">
        <v>408957008</v>
      </c>
      <c r="AM17" s="18" t="s">
        <v>707</v>
      </c>
      <c r="AN17" s="18" t="s">
        <v>708</v>
      </c>
      <c r="AO17" s="1" t="s">
        <v>812</v>
      </c>
    </row>
    <row r="18" spans="1:41" ht="12" customHeight="1" x14ac:dyDescent="0.2">
      <c r="A18" s="15" t="s">
        <v>121</v>
      </c>
      <c r="B18" s="15"/>
      <c r="C18" s="15">
        <v>4967</v>
      </c>
      <c r="D18" s="15" t="s">
        <v>545</v>
      </c>
      <c r="E18" s="15" t="s">
        <v>147</v>
      </c>
      <c r="F18" s="15" t="s">
        <v>147</v>
      </c>
      <c r="G18" s="15" t="s">
        <v>302</v>
      </c>
      <c r="H18" s="15" t="s">
        <v>11</v>
      </c>
      <c r="I18" s="15" t="s">
        <v>11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 t="s">
        <v>104</v>
      </c>
      <c r="W18" s="16" t="s">
        <v>294</v>
      </c>
      <c r="X18" s="16"/>
      <c r="Y18" s="16"/>
      <c r="Z18" s="16">
        <f t="shared" si="1"/>
        <v>2</v>
      </c>
      <c r="AA18" s="16" t="s">
        <v>177</v>
      </c>
      <c r="AB18" s="15" t="s">
        <v>335</v>
      </c>
      <c r="AC18" s="15"/>
      <c r="AD18" s="15" t="s">
        <v>103</v>
      </c>
      <c r="AE18" s="15" t="s">
        <v>147</v>
      </c>
      <c r="AF18" s="15"/>
      <c r="AG18" s="15" t="s">
        <v>103</v>
      </c>
      <c r="AH18" s="15"/>
      <c r="AI18" s="15" t="s">
        <v>504</v>
      </c>
      <c r="AJ18" s="15" t="s">
        <v>661</v>
      </c>
      <c r="AK18" s="15" t="s">
        <v>159</v>
      </c>
      <c r="AL18" s="18">
        <v>235494005</v>
      </c>
      <c r="AM18" s="18" t="s">
        <v>709</v>
      </c>
      <c r="AN18" s="18" t="s">
        <v>710</v>
      </c>
      <c r="AO18" s="1" t="s">
        <v>812</v>
      </c>
    </row>
    <row r="19" spans="1:41" ht="12" customHeight="1" x14ac:dyDescent="0.2">
      <c r="A19" s="15" t="s">
        <v>121</v>
      </c>
      <c r="B19" s="15"/>
      <c r="C19" s="15">
        <v>4968</v>
      </c>
      <c r="D19" s="15" t="s">
        <v>545</v>
      </c>
      <c r="E19" s="15" t="s">
        <v>147</v>
      </c>
      <c r="F19" s="15" t="s">
        <v>147</v>
      </c>
      <c r="G19" s="15" t="s">
        <v>302</v>
      </c>
      <c r="H19" s="15" t="s">
        <v>12</v>
      </c>
      <c r="I19" s="15" t="s">
        <v>12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 t="s">
        <v>6</v>
      </c>
      <c r="W19" s="16" t="s">
        <v>677</v>
      </c>
      <c r="X19" s="16"/>
      <c r="Y19" s="16"/>
      <c r="Z19" s="16">
        <f t="shared" si="1"/>
        <v>2</v>
      </c>
      <c r="AA19" s="16" t="s">
        <v>177</v>
      </c>
      <c r="AB19" s="15" t="s">
        <v>335</v>
      </c>
      <c r="AC19" s="15"/>
      <c r="AD19" s="15" t="s">
        <v>103</v>
      </c>
      <c r="AE19" s="15" t="s">
        <v>147</v>
      </c>
      <c r="AF19" s="15"/>
      <c r="AG19" s="15" t="s">
        <v>103</v>
      </c>
      <c r="AH19" s="15"/>
      <c r="AI19" s="15" t="s">
        <v>504</v>
      </c>
      <c r="AJ19" s="15" t="s">
        <v>661</v>
      </c>
      <c r="AK19" s="15" t="s">
        <v>158</v>
      </c>
      <c r="AL19" s="18">
        <v>235494005</v>
      </c>
      <c r="AM19" s="18" t="s">
        <v>709</v>
      </c>
      <c r="AN19" s="18" t="s">
        <v>710</v>
      </c>
      <c r="AO19" s="1" t="s">
        <v>812</v>
      </c>
    </row>
    <row r="20" spans="1:41" ht="12" customHeight="1" x14ac:dyDescent="0.2">
      <c r="A20" s="15" t="s">
        <v>121</v>
      </c>
      <c r="B20" s="15"/>
      <c r="C20" s="15">
        <v>4969</v>
      </c>
      <c r="D20" s="15" t="s">
        <v>545</v>
      </c>
      <c r="E20" s="15" t="s">
        <v>372</v>
      </c>
      <c r="F20" s="15" t="s">
        <v>25</v>
      </c>
      <c r="G20" s="15" t="s">
        <v>334</v>
      </c>
      <c r="H20" s="15" t="s">
        <v>364</v>
      </c>
      <c r="I20" s="15" t="s">
        <v>364</v>
      </c>
      <c r="J20" s="16"/>
      <c r="K20" s="16"/>
      <c r="L20" s="16"/>
      <c r="M20" s="16"/>
      <c r="N20" s="16"/>
      <c r="O20" s="16"/>
      <c r="P20" s="16"/>
      <c r="Q20" s="16">
        <v>29737</v>
      </c>
      <c r="R20" s="16"/>
      <c r="S20" s="16"/>
      <c r="T20" s="16">
        <v>2623</v>
      </c>
      <c r="U20" s="16"/>
      <c r="V20" s="16"/>
      <c r="W20" s="16"/>
      <c r="X20" s="16"/>
      <c r="Y20" s="16"/>
      <c r="Z20" s="16">
        <f t="shared" si="1"/>
        <v>2</v>
      </c>
      <c r="AA20" s="16" t="s">
        <v>177</v>
      </c>
      <c r="AB20" s="15" t="s">
        <v>553</v>
      </c>
      <c r="AC20" s="15" t="s">
        <v>506</v>
      </c>
      <c r="AD20" s="15" t="s">
        <v>103</v>
      </c>
      <c r="AE20" s="15" t="s">
        <v>334</v>
      </c>
      <c r="AF20" s="15"/>
      <c r="AG20" s="15" t="s">
        <v>103</v>
      </c>
      <c r="AH20" s="15"/>
      <c r="AI20" s="15" t="s">
        <v>23</v>
      </c>
      <c r="AJ20" s="15" t="s">
        <v>653</v>
      </c>
      <c r="AK20" s="15" t="s">
        <v>444</v>
      </c>
      <c r="AL20" s="18">
        <v>304831001</v>
      </c>
      <c r="AM20" s="18" t="s">
        <v>711</v>
      </c>
      <c r="AN20" s="18" t="s">
        <v>712</v>
      </c>
      <c r="AO20" s="1" t="s">
        <v>812</v>
      </c>
    </row>
    <row r="21" spans="1:41" ht="12" customHeight="1" x14ac:dyDescent="0.2">
      <c r="A21" s="15" t="s">
        <v>121</v>
      </c>
      <c r="B21" s="15"/>
      <c r="C21" s="15">
        <v>4970</v>
      </c>
      <c r="D21" s="15" t="s">
        <v>545</v>
      </c>
      <c r="E21" s="15" t="s">
        <v>372</v>
      </c>
      <c r="F21" s="15" t="s">
        <v>25</v>
      </c>
      <c r="G21" s="15" t="s">
        <v>334</v>
      </c>
      <c r="H21" s="15" t="s">
        <v>679</v>
      </c>
      <c r="I21" s="15" t="s">
        <v>679</v>
      </c>
      <c r="J21" s="16"/>
      <c r="K21" s="16"/>
      <c r="L21" s="16"/>
      <c r="M21" s="16"/>
      <c r="N21" s="16"/>
      <c r="O21" s="16"/>
      <c r="P21" s="16"/>
      <c r="Q21" s="16">
        <v>29739</v>
      </c>
      <c r="R21" s="16"/>
      <c r="S21" s="16"/>
      <c r="T21" s="16">
        <v>2625</v>
      </c>
      <c r="U21" s="16"/>
      <c r="V21" s="16"/>
      <c r="W21" s="16"/>
      <c r="X21" s="16"/>
      <c r="Y21" s="16"/>
      <c r="Z21" s="16">
        <f t="shared" si="1"/>
        <v>2</v>
      </c>
      <c r="AA21" s="16" t="s">
        <v>177</v>
      </c>
      <c r="AB21" s="15" t="s">
        <v>555</v>
      </c>
      <c r="AC21" s="15" t="s">
        <v>94</v>
      </c>
      <c r="AD21" s="15" t="s">
        <v>103</v>
      </c>
      <c r="AE21" s="15" t="s">
        <v>334</v>
      </c>
      <c r="AF21" s="15"/>
      <c r="AG21" s="15" t="s">
        <v>103</v>
      </c>
      <c r="AH21" s="15"/>
      <c r="AI21" s="15" t="s">
        <v>23</v>
      </c>
      <c r="AJ21" s="15" t="s">
        <v>653</v>
      </c>
      <c r="AK21" s="15" t="s">
        <v>223</v>
      </c>
      <c r="AL21" s="18">
        <v>25353009</v>
      </c>
      <c r="AM21" s="18" t="s">
        <v>713</v>
      </c>
      <c r="AN21" s="18" t="s">
        <v>714</v>
      </c>
      <c r="AO21" s="1" t="s">
        <v>812</v>
      </c>
    </row>
    <row r="22" spans="1:41" ht="12" customHeight="1" x14ac:dyDescent="0.2">
      <c r="A22" s="15" t="s">
        <v>121</v>
      </c>
      <c r="B22" s="15"/>
      <c r="C22" s="15">
        <v>4971</v>
      </c>
      <c r="D22" s="15" t="s">
        <v>545</v>
      </c>
      <c r="E22" s="15" t="s">
        <v>372</v>
      </c>
      <c r="F22" s="15" t="s">
        <v>25</v>
      </c>
      <c r="G22" s="15" t="s">
        <v>334</v>
      </c>
      <c r="H22" s="15" t="s">
        <v>365</v>
      </c>
      <c r="I22" s="15" t="s">
        <v>365</v>
      </c>
      <c r="J22" s="16"/>
      <c r="K22" s="16"/>
      <c r="L22" s="16"/>
      <c r="M22" s="16"/>
      <c r="N22" s="16"/>
      <c r="O22" s="16"/>
      <c r="P22" s="16"/>
      <c r="Q22" s="16">
        <v>29738</v>
      </c>
      <c r="R22" s="16"/>
      <c r="S22" s="16"/>
      <c r="T22" s="16">
        <v>2624</v>
      </c>
      <c r="U22" s="16"/>
      <c r="V22" s="16" t="s">
        <v>548</v>
      </c>
      <c r="W22" s="16" t="s">
        <v>548</v>
      </c>
      <c r="X22" s="16" t="s">
        <v>496</v>
      </c>
      <c r="Y22" s="16" t="s">
        <v>660</v>
      </c>
      <c r="Z22" s="16">
        <f t="shared" si="1"/>
        <v>6</v>
      </c>
      <c r="AA22" s="16" t="s">
        <v>177</v>
      </c>
      <c r="AB22" s="15" t="s">
        <v>553</v>
      </c>
      <c r="AC22" s="15" t="s">
        <v>506</v>
      </c>
      <c r="AD22" s="15" t="s">
        <v>103</v>
      </c>
      <c r="AE22" s="15" t="s">
        <v>334</v>
      </c>
      <c r="AF22" s="15"/>
      <c r="AG22" s="15" t="s">
        <v>103</v>
      </c>
      <c r="AH22" s="15"/>
      <c r="AI22" s="15" t="s">
        <v>23</v>
      </c>
      <c r="AJ22" s="15" t="s">
        <v>653</v>
      </c>
      <c r="AK22" s="15" t="s">
        <v>512</v>
      </c>
      <c r="AL22" s="18">
        <v>304831001</v>
      </c>
      <c r="AM22" s="18" t="s">
        <v>711</v>
      </c>
      <c r="AN22" s="18" t="s">
        <v>712</v>
      </c>
      <c r="AO22" s="1" t="s">
        <v>812</v>
      </c>
    </row>
    <row r="23" spans="1:41" ht="12" customHeight="1" x14ac:dyDescent="0.2">
      <c r="A23" s="15" t="s">
        <v>121</v>
      </c>
      <c r="B23" s="15"/>
      <c r="C23" s="15">
        <v>4972</v>
      </c>
      <c r="D23" s="15" t="s">
        <v>545</v>
      </c>
      <c r="E23" s="15" t="s">
        <v>147</v>
      </c>
      <c r="F23" s="15" t="s">
        <v>147</v>
      </c>
      <c r="G23" s="15" t="s">
        <v>252</v>
      </c>
      <c r="H23" s="15" t="s">
        <v>673</v>
      </c>
      <c r="I23" s="15" t="s">
        <v>478</v>
      </c>
      <c r="J23" s="16">
        <v>12163</v>
      </c>
      <c r="K23" s="16"/>
      <c r="L23" s="16">
        <v>12163</v>
      </c>
      <c r="M23" s="16"/>
      <c r="N23" s="16">
        <v>12163</v>
      </c>
      <c r="O23" s="16">
        <v>12163</v>
      </c>
      <c r="P23" s="16">
        <v>12163</v>
      </c>
      <c r="Q23" s="16" t="s">
        <v>399</v>
      </c>
      <c r="R23" s="16"/>
      <c r="S23" s="16"/>
      <c r="T23" s="16"/>
      <c r="U23" s="16"/>
      <c r="V23" s="16" t="s">
        <v>262</v>
      </c>
      <c r="W23" s="16"/>
      <c r="X23" s="16" t="s">
        <v>556</v>
      </c>
      <c r="Y23" s="16"/>
      <c r="Z23" s="16">
        <f t="shared" si="1"/>
        <v>8</v>
      </c>
      <c r="AA23" s="16" t="s">
        <v>177</v>
      </c>
      <c r="AB23" s="15" t="s">
        <v>389</v>
      </c>
      <c r="AC23" s="15"/>
      <c r="AD23" s="15" t="s">
        <v>103</v>
      </c>
      <c r="AE23" s="15" t="s">
        <v>147</v>
      </c>
      <c r="AF23" s="15"/>
      <c r="AG23" s="15" t="s">
        <v>103</v>
      </c>
      <c r="AH23" s="15"/>
      <c r="AI23" s="15" t="s">
        <v>504</v>
      </c>
      <c r="AJ23" s="15" t="s">
        <v>661</v>
      </c>
      <c r="AK23" s="15" t="s">
        <v>95</v>
      </c>
      <c r="AL23" s="18">
        <v>18368008</v>
      </c>
      <c r="AM23" s="18" t="s">
        <v>715</v>
      </c>
      <c r="AN23" s="18" t="s">
        <v>716</v>
      </c>
      <c r="AO23" s="1" t="s">
        <v>812</v>
      </c>
    </row>
    <row r="24" spans="1:41" ht="12" customHeight="1" x14ac:dyDescent="0.2">
      <c r="A24" s="15" t="s">
        <v>121</v>
      </c>
      <c r="B24" s="15"/>
      <c r="C24" s="15">
        <v>4973</v>
      </c>
      <c r="D24" s="15" t="s">
        <v>545</v>
      </c>
      <c r="E24" s="15" t="s">
        <v>147</v>
      </c>
      <c r="F24" s="15" t="s">
        <v>147</v>
      </c>
      <c r="G24" s="15" t="s">
        <v>554</v>
      </c>
      <c r="H24" s="15" t="s">
        <v>371</v>
      </c>
      <c r="I24" s="15" t="s">
        <v>371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 t="s">
        <v>43</v>
      </c>
      <c r="Z24" s="16">
        <f t="shared" si="1"/>
        <v>1</v>
      </c>
      <c r="AA24" s="16" t="s">
        <v>26</v>
      </c>
      <c r="AB24" s="15"/>
      <c r="AC24" s="15"/>
      <c r="AD24" s="15" t="s">
        <v>407</v>
      </c>
      <c r="AE24" s="15"/>
      <c r="AF24" s="15"/>
      <c r="AG24" s="15" t="s">
        <v>407</v>
      </c>
      <c r="AH24" s="15"/>
      <c r="AI24" s="15" t="s">
        <v>504</v>
      </c>
      <c r="AJ24" s="15" t="s">
        <v>661</v>
      </c>
      <c r="AK24" s="15" t="s">
        <v>10</v>
      </c>
      <c r="AL24" s="18">
        <v>91098006</v>
      </c>
      <c r="AM24" s="18" t="s">
        <v>717</v>
      </c>
      <c r="AN24" s="18" t="s">
        <v>718</v>
      </c>
      <c r="AO24" s="1" t="s">
        <v>812</v>
      </c>
    </row>
    <row r="25" spans="1:41" ht="12" customHeight="1" x14ac:dyDescent="0.2">
      <c r="A25" s="15" t="s">
        <v>121</v>
      </c>
      <c r="B25" s="15"/>
      <c r="C25" s="15">
        <v>4974</v>
      </c>
      <c r="D25" s="15" t="s">
        <v>545</v>
      </c>
      <c r="E25" s="15" t="s">
        <v>147</v>
      </c>
      <c r="F25" s="15" t="s">
        <v>147</v>
      </c>
      <c r="G25" s="15" t="s">
        <v>554</v>
      </c>
      <c r="H25" s="15" t="s">
        <v>366</v>
      </c>
      <c r="I25" s="15" t="s">
        <v>182</v>
      </c>
      <c r="J25" s="16">
        <v>802</v>
      </c>
      <c r="K25" s="16">
        <v>2441</v>
      </c>
      <c r="L25" s="16">
        <v>802</v>
      </c>
      <c r="M25" s="16"/>
      <c r="N25" s="16">
        <v>802</v>
      </c>
      <c r="O25" s="16">
        <v>802</v>
      </c>
      <c r="P25" s="16"/>
      <c r="Q25" s="16">
        <v>31599</v>
      </c>
      <c r="R25" s="16">
        <v>1010</v>
      </c>
      <c r="S25" s="16"/>
      <c r="T25" s="16">
        <v>983</v>
      </c>
      <c r="U25" s="16"/>
      <c r="V25" s="16"/>
      <c r="W25" s="16"/>
      <c r="X25" s="16"/>
      <c r="Y25" s="16"/>
      <c r="Z25" s="16">
        <f t="shared" si="1"/>
        <v>8</v>
      </c>
      <c r="AA25" s="16" t="s">
        <v>177</v>
      </c>
      <c r="AB25" s="15" t="s">
        <v>587</v>
      </c>
      <c r="AC25" s="15"/>
      <c r="AD25" s="15" t="s">
        <v>103</v>
      </c>
      <c r="AE25" s="15" t="s">
        <v>147</v>
      </c>
      <c r="AF25" s="15"/>
      <c r="AG25" s="15" t="s">
        <v>103</v>
      </c>
      <c r="AH25" s="15"/>
      <c r="AI25" s="15" t="s">
        <v>504</v>
      </c>
      <c r="AJ25" s="15" t="s">
        <v>661</v>
      </c>
      <c r="AK25" s="15" t="s">
        <v>523</v>
      </c>
      <c r="AL25" s="18">
        <v>276349001</v>
      </c>
      <c r="AM25" s="18" t="s">
        <v>719</v>
      </c>
      <c r="AN25" s="18" t="s">
        <v>720</v>
      </c>
      <c r="AO25" s="1" t="s">
        <v>812</v>
      </c>
    </row>
    <row r="26" spans="1:41" ht="12" customHeight="1" x14ac:dyDescent="0.2">
      <c r="A26" s="15" t="s">
        <v>121</v>
      </c>
      <c r="B26" s="15"/>
      <c r="C26" s="15">
        <v>4975</v>
      </c>
      <c r="D26" s="15" t="s">
        <v>545</v>
      </c>
      <c r="E26" s="15" t="s">
        <v>372</v>
      </c>
      <c r="F26" s="15" t="s">
        <v>465</v>
      </c>
      <c r="G26" s="15" t="s">
        <v>292</v>
      </c>
      <c r="H26" s="15" t="s">
        <v>694</v>
      </c>
      <c r="I26" s="15" t="s">
        <v>694</v>
      </c>
      <c r="J26" s="16"/>
      <c r="K26" s="16"/>
      <c r="L26" s="16"/>
      <c r="M26" s="16"/>
      <c r="N26" s="16"/>
      <c r="O26" s="16"/>
      <c r="P26" s="16"/>
      <c r="Q26" s="16"/>
      <c r="R26" s="16">
        <v>8090</v>
      </c>
      <c r="S26" s="16"/>
      <c r="T26" s="16"/>
      <c r="U26" s="16"/>
      <c r="V26" s="16"/>
      <c r="W26" s="16"/>
      <c r="X26" s="16"/>
      <c r="Y26" s="16"/>
      <c r="Z26" s="16">
        <f t="shared" si="1"/>
        <v>1</v>
      </c>
      <c r="AA26" s="16" t="s">
        <v>26</v>
      </c>
      <c r="AB26" s="15" t="s">
        <v>102</v>
      </c>
      <c r="AC26" s="15" t="s">
        <v>109</v>
      </c>
      <c r="AD26" s="15" t="s">
        <v>103</v>
      </c>
      <c r="AE26" s="15" t="s">
        <v>602</v>
      </c>
      <c r="AF26" s="15"/>
      <c r="AG26" s="15" t="s">
        <v>103</v>
      </c>
      <c r="AH26" s="15"/>
      <c r="AI26" s="15" t="s">
        <v>465</v>
      </c>
      <c r="AJ26" s="15" t="s">
        <v>298</v>
      </c>
      <c r="AK26" s="15" t="s">
        <v>109</v>
      </c>
      <c r="AL26" s="18">
        <v>118629009</v>
      </c>
      <c r="AM26" s="18" t="s">
        <v>721</v>
      </c>
      <c r="AN26" s="18" t="s">
        <v>722</v>
      </c>
      <c r="AO26" s="1" t="s">
        <v>812</v>
      </c>
    </row>
    <row r="27" spans="1:41" ht="12" customHeight="1" x14ac:dyDescent="0.2">
      <c r="A27" s="15" t="s">
        <v>121</v>
      </c>
      <c r="B27" s="15"/>
      <c r="C27" s="15">
        <v>4976</v>
      </c>
      <c r="D27" s="15" t="s">
        <v>545</v>
      </c>
      <c r="E27" s="15" t="s">
        <v>385</v>
      </c>
      <c r="F27" s="15" t="s">
        <v>385</v>
      </c>
      <c r="G27" s="15" t="s">
        <v>385</v>
      </c>
      <c r="H27" s="15" t="s">
        <v>520</v>
      </c>
      <c r="I27" s="15" t="s">
        <v>520</v>
      </c>
      <c r="J27" s="16"/>
      <c r="K27" s="16">
        <v>11</v>
      </c>
      <c r="L27" s="16"/>
      <c r="M27" s="16">
        <v>68</v>
      </c>
      <c r="N27" s="16"/>
      <c r="O27" s="16"/>
      <c r="P27" s="16">
        <v>6147</v>
      </c>
      <c r="Q27" s="16"/>
      <c r="R27" s="16"/>
      <c r="S27" s="16"/>
      <c r="T27" s="16"/>
      <c r="U27" s="16"/>
      <c r="V27" s="16"/>
      <c r="W27" s="16"/>
      <c r="X27" s="16"/>
      <c r="Y27" s="16"/>
      <c r="Z27" s="16">
        <f t="shared" si="1"/>
        <v>3</v>
      </c>
      <c r="AA27" s="16" t="s">
        <v>177</v>
      </c>
      <c r="AB27" s="15" t="s">
        <v>385</v>
      </c>
      <c r="AC27" s="15"/>
      <c r="AD27" s="15" t="s">
        <v>103</v>
      </c>
      <c r="AE27" s="15" t="s">
        <v>385</v>
      </c>
      <c r="AF27" s="15"/>
      <c r="AG27" s="15" t="s">
        <v>103</v>
      </c>
      <c r="AH27" s="15"/>
      <c r="AI27" s="15" t="s">
        <v>245</v>
      </c>
      <c r="AJ27" s="15" t="s">
        <v>341</v>
      </c>
      <c r="AK27" s="15" t="s">
        <v>151</v>
      </c>
      <c r="AL27" s="18">
        <v>406144005</v>
      </c>
      <c r="AM27" s="18" t="s">
        <v>723</v>
      </c>
      <c r="AN27" s="18" t="s">
        <v>724</v>
      </c>
      <c r="AO27" s="1" t="s">
        <v>812</v>
      </c>
    </row>
    <row r="28" spans="1:41" ht="12" customHeight="1" x14ac:dyDescent="0.2">
      <c r="A28" s="15" t="s">
        <v>121</v>
      </c>
      <c r="B28" s="15"/>
      <c r="C28" s="15">
        <v>4977</v>
      </c>
      <c r="D28" s="15" t="s">
        <v>545</v>
      </c>
      <c r="E28" s="15" t="s">
        <v>325</v>
      </c>
      <c r="F28" s="15" t="s">
        <v>325</v>
      </c>
      <c r="G28" s="15" t="s">
        <v>424</v>
      </c>
      <c r="H28" s="15" t="s">
        <v>248</v>
      </c>
      <c r="I28" s="15" t="s">
        <v>248</v>
      </c>
      <c r="J28" s="16"/>
      <c r="K28" s="16"/>
      <c r="L28" s="16"/>
      <c r="M28" s="16"/>
      <c r="N28" s="16">
        <v>23883</v>
      </c>
      <c r="O28" s="16">
        <v>23883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>
        <f t="shared" si="1"/>
        <v>2</v>
      </c>
      <c r="AA28" s="16" t="s">
        <v>177</v>
      </c>
      <c r="AB28" s="15" t="s">
        <v>151</v>
      </c>
      <c r="AC28" s="15"/>
      <c r="AD28" s="15" t="s">
        <v>103</v>
      </c>
      <c r="AE28" s="15" t="s">
        <v>325</v>
      </c>
      <c r="AF28" s="15"/>
      <c r="AG28" s="15" t="s">
        <v>103</v>
      </c>
      <c r="AH28" s="15"/>
      <c r="AI28" s="15" t="s">
        <v>245</v>
      </c>
      <c r="AJ28" s="15" t="s">
        <v>217</v>
      </c>
      <c r="AK28" s="15" t="s">
        <v>1</v>
      </c>
      <c r="AL28" s="18">
        <v>406144005</v>
      </c>
      <c r="AM28" s="18" t="s">
        <v>723</v>
      </c>
      <c r="AN28" s="18" t="s">
        <v>724</v>
      </c>
      <c r="AO28" s="1" t="s">
        <v>812</v>
      </c>
    </row>
    <row r="29" spans="1:41" ht="12" customHeight="1" x14ac:dyDescent="0.2">
      <c r="A29" s="15" t="s">
        <v>121</v>
      </c>
      <c r="B29" s="15"/>
      <c r="C29" s="15">
        <v>4978</v>
      </c>
      <c r="D29" s="15" t="s">
        <v>545</v>
      </c>
      <c r="E29" s="15" t="s">
        <v>385</v>
      </c>
      <c r="F29" s="15" t="s">
        <v>385</v>
      </c>
      <c r="G29" s="15" t="s">
        <v>385</v>
      </c>
      <c r="H29" s="15" t="s">
        <v>519</v>
      </c>
      <c r="I29" s="15" t="s">
        <v>519</v>
      </c>
      <c r="J29" s="16"/>
      <c r="K29" s="16"/>
      <c r="L29" s="16"/>
      <c r="M29" s="16"/>
      <c r="N29" s="16"/>
      <c r="O29" s="16"/>
      <c r="P29" s="16">
        <v>24864</v>
      </c>
      <c r="Q29" s="16"/>
      <c r="R29" s="16"/>
      <c r="S29" s="16"/>
      <c r="T29" s="16"/>
      <c r="U29" s="16"/>
      <c r="V29" s="16"/>
      <c r="W29" s="16"/>
      <c r="X29" s="16"/>
      <c r="Y29" s="16"/>
      <c r="Z29" s="16">
        <f t="shared" si="1"/>
        <v>1</v>
      </c>
      <c r="AA29" s="16" t="s">
        <v>26</v>
      </c>
      <c r="AB29" s="15" t="s">
        <v>385</v>
      </c>
      <c r="AC29" s="15"/>
      <c r="AD29" s="15" t="s">
        <v>103</v>
      </c>
      <c r="AE29" s="15" t="s">
        <v>385</v>
      </c>
      <c r="AF29" s="15"/>
      <c r="AG29" s="15" t="s">
        <v>103</v>
      </c>
      <c r="AH29" s="15"/>
      <c r="AI29" s="15" t="s">
        <v>245</v>
      </c>
      <c r="AJ29" s="15" t="s">
        <v>341</v>
      </c>
      <c r="AK29" s="15" t="s">
        <v>134</v>
      </c>
      <c r="AL29" s="18">
        <v>406144005</v>
      </c>
      <c r="AM29" s="18" t="s">
        <v>723</v>
      </c>
      <c r="AN29" s="18" t="s">
        <v>724</v>
      </c>
      <c r="AO29" s="1" t="s">
        <v>812</v>
      </c>
    </row>
    <row r="30" spans="1:41" ht="12" customHeight="1" x14ac:dyDescent="0.2">
      <c r="A30" s="15" t="s">
        <v>121</v>
      </c>
      <c r="B30" s="15"/>
      <c r="C30" s="15">
        <v>4979</v>
      </c>
      <c r="D30" s="15" t="s">
        <v>545</v>
      </c>
      <c r="E30" s="15" t="s">
        <v>325</v>
      </c>
      <c r="F30" s="15" t="s">
        <v>325</v>
      </c>
      <c r="G30" s="15" t="s">
        <v>325</v>
      </c>
      <c r="H30" s="15" t="s">
        <v>15</v>
      </c>
      <c r="I30" s="15" t="s">
        <v>15</v>
      </c>
      <c r="J30" s="16"/>
      <c r="K30" s="16"/>
      <c r="L30" s="16"/>
      <c r="M30" s="16"/>
      <c r="N30" s="16">
        <v>23884</v>
      </c>
      <c r="O30" s="16">
        <v>23884</v>
      </c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>
        <f t="shared" si="1"/>
        <v>2</v>
      </c>
      <c r="AA30" s="16" t="s">
        <v>177</v>
      </c>
      <c r="AB30" s="15" t="s">
        <v>451</v>
      </c>
      <c r="AC30" s="15" t="s">
        <v>506</v>
      </c>
      <c r="AD30" s="15" t="s">
        <v>103</v>
      </c>
      <c r="AE30" s="15" t="s">
        <v>325</v>
      </c>
      <c r="AF30" s="15"/>
      <c r="AG30" s="15" t="s">
        <v>103</v>
      </c>
      <c r="AH30" s="15"/>
      <c r="AI30" s="15" t="s">
        <v>245</v>
      </c>
      <c r="AJ30" s="15" t="s">
        <v>217</v>
      </c>
      <c r="AK30" s="15" t="s">
        <v>451</v>
      </c>
      <c r="AL30" s="18">
        <v>406144005</v>
      </c>
      <c r="AM30" s="18" t="s">
        <v>723</v>
      </c>
      <c r="AN30" s="18" t="s">
        <v>724</v>
      </c>
      <c r="AO30" s="1" t="s">
        <v>812</v>
      </c>
    </row>
    <row r="31" spans="1:41" ht="12" customHeight="1" x14ac:dyDescent="0.2">
      <c r="A31" s="15" t="s">
        <v>121</v>
      </c>
      <c r="B31" s="15"/>
      <c r="C31" s="15">
        <v>4980</v>
      </c>
      <c r="D31" s="15" t="s">
        <v>545</v>
      </c>
      <c r="E31" s="15" t="s">
        <v>325</v>
      </c>
      <c r="F31" s="15" t="s">
        <v>325</v>
      </c>
      <c r="G31" s="15" t="s">
        <v>424</v>
      </c>
      <c r="H31" s="15" t="s">
        <v>422</v>
      </c>
      <c r="I31" s="15" t="s">
        <v>422</v>
      </c>
      <c r="J31" s="16"/>
      <c r="K31" s="16"/>
      <c r="L31" s="16"/>
      <c r="M31" s="16"/>
      <c r="N31" s="16">
        <v>23882</v>
      </c>
      <c r="O31" s="16">
        <v>23882</v>
      </c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>
        <f t="shared" si="1"/>
        <v>2</v>
      </c>
      <c r="AA31" s="16" t="s">
        <v>177</v>
      </c>
      <c r="AB31" s="15" t="s">
        <v>309</v>
      </c>
      <c r="AC31" s="15"/>
      <c r="AD31" s="15" t="s">
        <v>103</v>
      </c>
      <c r="AE31" s="15" t="s">
        <v>325</v>
      </c>
      <c r="AF31" s="15"/>
      <c r="AG31" s="15" t="s">
        <v>103</v>
      </c>
      <c r="AH31" s="15"/>
      <c r="AI31" s="15" t="s">
        <v>245</v>
      </c>
      <c r="AJ31" s="15" t="s">
        <v>217</v>
      </c>
      <c r="AK31" s="15" t="s">
        <v>309</v>
      </c>
      <c r="AL31" s="18">
        <v>305351004</v>
      </c>
      <c r="AM31" s="18" t="s">
        <v>725</v>
      </c>
      <c r="AN31" s="18" t="s">
        <v>726</v>
      </c>
      <c r="AO31" s="1" t="s">
        <v>812</v>
      </c>
    </row>
    <row r="32" spans="1:41" ht="12" customHeight="1" x14ac:dyDescent="0.2">
      <c r="A32" s="15" t="s">
        <v>121</v>
      </c>
      <c r="B32" s="15"/>
      <c r="C32" s="15">
        <v>4981</v>
      </c>
      <c r="D32" s="15" t="s">
        <v>545</v>
      </c>
      <c r="E32" s="15" t="s">
        <v>372</v>
      </c>
      <c r="F32" s="15" t="s">
        <v>65</v>
      </c>
      <c r="G32" s="15" t="s">
        <v>333</v>
      </c>
      <c r="H32" s="15" t="s">
        <v>210</v>
      </c>
      <c r="I32" s="15" t="s">
        <v>210</v>
      </c>
      <c r="J32" s="16"/>
      <c r="K32" s="16"/>
      <c r="L32" s="16"/>
      <c r="M32" s="16"/>
      <c r="N32" s="16"/>
      <c r="O32" s="16"/>
      <c r="P32" s="16"/>
      <c r="Q32" s="16">
        <v>33785</v>
      </c>
      <c r="R32" s="16">
        <v>4867</v>
      </c>
      <c r="S32" s="16"/>
      <c r="T32" s="16" t="s">
        <v>399</v>
      </c>
      <c r="U32" s="16"/>
      <c r="V32" s="16"/>
      <c r="W32" s="16"/>
      <c r="X32" s="16"/>
      <c r="Y32" s="16"/>
      <c r="Z32" s="16">
        <f t="shared" si="1"/>
        <v>3</v>
      </c>
      <c r="AA32" s="16" t="s">
        <v>177</v>
      </c>
      <c r="AB32" s="15" t="s">
        <v>97</v>
      </c>
      <c r="AC32" s="15" t="s">
        <v>403</v>
      </c>
      <c r="AD32" s="15" t="s">
        <v>449</v>
      </c>
      <c r="AE32" s="15" t="s">
        <v>693</v>
      </c>
      <c r="AF32" s="15"/>
      <c r="AG32" s="15" t="s">
        <v>103</v>
      </c>
      <c r="AH32" s="15"/>
      <c r="AI32" s="15" t="s">
        <v>485</v>
      </c>
      <c r="AJ32" s="15" t="s">
        <v>653</v>
      </c>
      <c r="AK32" s="15" t="s">
        <v>155</v>
      </c>
      <c r="AL32" s="18">
        <v>51265002</v>
      </c>
      <c r="AM32" s="18" t="s">
        <v>727</v>
      </c>
      <c r="AN32" s="18" t="s">
        <v>728</v>
      </c>
      <c r="AO32" s="1" t="s">
        <v>812</v>
      </c>
    </row>
    <row r="33" spans="1:41" ht="12" customHeight="1" x14ac:dyDescent="0.2">
      <c r="A33" s="15" t="s">
        <v>121</v>
      </c>
      <c r="B33" s="15"/>
      <c r="C33" s="15">
        <v>4982</v>
      </c>
      <c r="D33" s="15" t="s">
        <v>545</v>
      </c>
      <c r="E33" s="15" t="s">
        <v>147</v>
      </c>
      <c r="F33" s="15" t="s">
        <v>147</v>
      </c>
      <c r="G33" s="15" t="s">
        <v>111</v>
      </c>
      <c r="H33" s="15" t="s">
        <v>583</v>
      </c>
      <c r="I33" s="15" t="s">
        <v>583</v>
      </c>
      <c r="J33" s="16">
        <v>24831</v>
      </c>
      <c r="K33" s="16">
        <v>5163</v>
      </c>
      <c r="L33" s="16">
        <v>24496</v>
      </c>
      <c r="M33" s="16"/>
      <c r="N33" s="16">
        <v>28223</v>
      </c>
      <c r="O33" s="16">
        <v>28223</v>
      </c>
      <c r="P33" s="16">
        <v>470</v>
      </c>
      <c r="Q33" s="16">
        <v>35059</v>
      </c>
      <c r="R33" s="16">
        <v>1577</v>
      </c>
      <c r="S33" s="16"/>
      <c r="T33" s="16">
        <v>1618</v>
      </c>
      <c r="U33" s="16"/>
      <c r="V33" s="16"/>
      <c r="W33" s="16"/>
      <c r="X33" s="16"/>
      <c r="Y33" s="16"/>
      <c r="Z33" s="16">
        <f t="shared" si="1"/>
        <v>9</v>
      </c>
      <c r="AA33" s="16" t="s">
        <v>177</v>
      </c>
      <c r="AB33" s="15" t="s">
        <v>374</v>
      </c>
      <c r="AC33" s="15"/>
      <c r="AD33" s="15" t="s">
        <v>103</v>
      </c>
      <c r="AE33" s="15" t="s">
        <v>147</v>
      </c>
      <c r="AF33" s="15"/>
      <c r="AG33" s="15" t="s">
        <v>103</v>
      </c>
      <c r="AH33" s="15"/>
      <c r="AI33" s="15" t="s">
        <v>504</v>
      </c>
      <c r="AJ33" s="15" t="s">
        <v>661</v>
      </c>
      <c r="AK33" s="15" t="s">
        <v>8</v>
      </c>
      <c r="AL33" s="18">
        <v>23369004</v>
      </c>
      <c r="AM33" s="18" t="s">
        <v>729</v>
      </c>
      <c r="AN33" s="18" t="s">
        <v>730</v>
      </c>
      <c r="AO33" s="1" t="s">
        <v>812</v>
      </c>
    </row>
    <row r="34" spans="1:41" ht="12" customHeight="1" x14ac:dyDescent="0.2">
      <c r="A34" s="15" t="s">
        <v>121</v>
      </c>
      <c r="B34" s="15"/>
      <c r="C34" s="15">
        <v>4983</v>
      </c>
      <c r="D34" s="15" t="s">
        <v>545</v>
      </c>
      <c r="E34" s="15" t="s">
        <v>147</v>
      </c>
      <c r="F34" s="15" t="s">
        <v>147</v>
      </c>
      <c r="G34" s="15" t="s">
        <v>675</v>
      </c>
      <c r="H34" s="15" t="s">
        <v>37</v>
      </c>
      <c r="I34" s="15" t="s">
        <v>438</v>
      </c>
      <c r="J34" s="16"/>
      <c r="K34" s="16"/>
      <c r="L34" s="16"/>
      <c r="M34" s="16"/>
      <c r="N34" s="16"/>
      <c r="O34" s="16"/>
      <c r="P34" s="16"/>
      <c r="Q34" s="16" t="s">
        <v>399</v>
      </c>
      <c r="R34" s="16"/>
      <c r="S34" s="16"/>
      <c r="T34" s="16"/>
      <c r="U34" s="16"/>
      <c r="V34" s="16"/>
      <c r="W34" s="16"/>
      <c r="X34" s="16"/>
      <c r="Y34" s="16"/>
      <c r="Z34" s="16">
        <f t="shared" si="1"/>
        <v>1</v>
      </c>
      <c r="AA34" s="16" t="s">
        <v>26</v>
      </c>
      <c r="AB34" s="15" t="s">
        <v>68</v>
      </c>
      <c r="AC34" s="15"/>
      <c r="AD34" s="15" t="s">
        <v>449</v>
      </c>
      <c r="AE34" s="15" t="s">
        <v>147</v>
      </c>
      <c r="AF34" s="15"/>
      <c r="AG34" s="15" t="s">
        <v>103</v>
      </c>
      <c r="AH34" s="15"/>
      <c r="AI34" s="15" t="s">
        <v>504</v>
      </c>
      <c r="AJ34" s="15" t="s">
        <v>661</v>
      </c>
      <c r="AK34" s="15" t="s">
        <v>648</v>
      </c>
      <c r="AL34" s="18">
        <v>252987004</v>
      </c>
      <c r="AM34" s="18" t="s">
        <v>731</v>
      </c>
      <c r="AN34" s="18" t="s">
        <v>732</v>
      </c>
      <c r="AO34" s="1" t="s">
        <v>812</v>
      </c>
    </row>
    <row r="35" spans="1:41" ht="12" customHeight="1" x14ac:dyDescent="0.2">
      <c r="A35" s="15" t="s">
        <v>121</v>
      </c>
      <c r="B35" s="15"/>
      <c r="C35" s="15">
        <v>4984</v>
      </c>
      <c r="D35" s="15" t="s">
        <v>545</v>
      </c>
      <c r="E35" s="15" t="s">
        <v>147</v>
      </c>
      <c r="F35" s="15" t="s">
        <v>147</v>
      </c>
      <c r="G35" s="15" t="s">
        <v>675</v>
      </c>
      <c r="H35" s="15" t="s">
        <v>401</v>
      </c>
      <c r="I35" s="15" t="s">
        <v>437</v>
      </c>
      <c r="J35" s="16"/>
      <c r="K35" s="16"/>
      <c r="L35" s="16"/>
      <c r="M35" s="16"/>
      <c r="N35" s="16"/>
      <c r="O35" s="16"/>
      <c r="P35" s="16"/>
      <c r="Q35" s="16" t="s">
        <v>399</v>
      </c>
      <c r="R35" s="16"/>
      <c r="S35" s="16"/>
      <c r="T35" s="16"/>
      <c r="U35" s="16"/>
      <c r="V35" s="16"/>
      <c r="W35" s="16"/>
      <c r="X35" s="16"/>
      <c r="Y35" s="16"/>
      <c r="Z35" s="16">
        <f t="shared" si="1"/>
        <v>1</v>
      </c>
      <c r="AA35" s="16" t="s">
        <v>26</v>
      </c>
      <c r="AB35" s="15" t="s">
        <v>68</v>
      </c>
      <c r="AC35" s="15"/>
      <c r="AD35" s="15" t="s">
        <v>449</v>
      </c>
      <c r="AE35" s="15" t="s">
        <v>147</v>
      </c>
      <c r="AF35" s="15"/>
      <c r="AG35" s="15" t="s">
        <v>103</v>
      </c>
      <c r="AH35" s="15"/>
      <c r="AI35" s="15" t="s">
        <v>504</v>
      </c>
      <c r="AJ35" s="15" t="s">
        <v>661</v>
      </c>
      <c r="AK35" s="15" t="s">
        <v>369</v>
      </c>
      <c r="AL35" s="18">
        <v>252987004</v>
      </c>
      <c r="AM35" s="18" t="s">
        <v>731</v>
      </c>
      <c r="AN35" s="18" t="s">
        <v>732</v>
      </c>
      <c r="AO35" s="1" t="s">
        <v>812</v>
      </c>
    </row>
    <row r="36" spans="1:41" ht="12" customHeight="1" x14ac:dyDescent="0.2">
      <c r="A36" s="15" t="s">
        <v>121</v>
      </c>
      <c r="B36" s="15"/>
      <c r="C36" s="15">
        <v>4985</v>
      </c>
      <c r="D36" s="15" t="s">
        <v>545</v>
      </c>
      <c r="E36" s="15" t="s">
        <v>147</v>
      </c>
      <c r="F36" s="15" t="s">
        <v>147</v>
      </c>
      <c r="G36" s="15" t="s">
        <v>675</v>
      </c>
      <c r="H36" s="15" t="s">
        <v>613</v>
      </c>
      <c r="I36" s="15" t="s">
        <v>436</v>
      </c>
      <c r="J36" s="16"/>
      <c r="K36" s="16"/>
      <c r="L36" s="16"/>
      <c r="M36" s="16"/>
      <c r="N36" s="16"/>
      <c r="O36" s="16"/>
      <c r="P36" s="16"/>
      <c r="Q36" s="16" t="s">
        <v>399</v>
      </c>
      <c r="R36" s="16"/>
      <c r="S36" s="16"/>
      <c r="T36" s="16"/>
      <c r="U36" s="16"/>
      <c r="V36" s="16"/>
      <c r="W36" s="16"/>
      <c r="X36" s="16"/>
      <c r="Y36" s="16"/>
      <c r="Z36" s="16">
        <f t="shared" si="1"/>
        <v>1</v>
      </c>
      <c r="AA36" s="16" t="s">
        <v>26</v>
      </c>
      <c r="AB36" s="15" t="s">
        <v>68</v>
      </c>
      <c r="AC36" s="15"/>
      <c r="AD36" s="15" t="s">
        <v>449</v>
      </c>
      <c r="AE36" s="15" t="s">
        <v>147</v>
      </c>
      <c r="AF36" s="15"/>
      <c r="AG36" s="15" t="s">
        <v>103</v>
      </c>
      <c r="AH36" s="15"/>
      <c r="AI36" s="15" t="s">
        <v>504</v>
      </c>
      <c r="AJ36" s="15" t="s">
        <v>661</v>
      </c>
      <c r="AK36" s="15" t="s">
        <v>574</v>
      </c>
      <c r="AL36" s="18">
        <v>252987004</v>
      </c>
      <c r="AM36" s="18" t="s">
        <v>731</v>
      </c>
      <c r="AN36" s="18" t="s">
        <v>732</v>
      </c>
      <c r="AO36" s="1" t="s">
        <v>812</v>
      </c>
    </row>
    <row r="37" spans="1:41" ht="12" customHeight="1" x14ac:dyDescent="0.2">
      <c r="A37" s="15" t="s">
        <v>121</v>
      </c>
      <c r="B37" s="15"/>
      <c r="C37" s="15">
        <v>5010</v>
      </c>
      <c r="D37" s="15" t="s">
        <v>545</v>
      </c>
      <c r="E37" s="15" t="s">
        <v>372</v>
      </c>
      <c r="F37" s="15" t="s">
        <v>563</v>
      </c>
      <c r="G37" s="15" t="s">
        <v>162</v>
      </c>
      <c r="H37" s="15" t="s">
        <v>606</v>
      </c>
      <c r="I37" s="15" t="s">
        <v>606</v>
      </c>
      <c r="J37" s="16"/>
      <c r="K37" s="16"/>
      <c r="L37" s="16"/>
      <c r="M37" s="16"/>
      <c r="N37" s="16"/>
      <c r="O37" s="16"/>
      <c r="P37" s="16">
        <v>25116</v>
      </c>
      <c r="Q37" s="16"/>
      <c r="R37" s="16"/>
      <c r="S37" s="16"/>
      <c r="T37" s="16"/>
      <c r="U37" s="16"/>
      <c r="V37" s="16"/>
      <c r="W37" s="16"/>
      <c r="X37" s="16"/>
      <c r="Y37" s="16"/>
      <c r="Z37" s="16">
        <f t="shared" ref="Z37:Z63" si="2">COUNTA(J37:Y37)</f>
        <v>1</v>
      </c>
      <c r="AA37" s="16" t="s">
        <v>26</v>
      </c>
      <c r="AB37" s="15" t="s">
        <v>654</v>
      </c>
      <c r="AC37" s="15" t="s">
        <v>192</v>
      </c>
      <c r="AD37" s="15" t="s">
        <v>103</v>
      </c>
      <c r="AE37" s="15" t="s">
        <v>602</v>
      </c>
      <c r="AF37" s="15"/>
      <c r="AG37" s="15" t="s">
        <v>103</v>
      </c>
      <c r="AH37" s="15"/>
      <c r="AI37" s="15" t="s">
        <v>114</v>
      </c>
      <c r="AJ37" s="15" t="s">
        <v>298</v>
      </c>
      <c r="AK37" s="15" t="s">
        <v>594</v>
      </c>
      <c r="AL37" s="18">
        <v>1231460007</v>
      </c>
      <c r="AM37" s="18" t="s">
        <v>733</v>
      </c>
      <c r="AN37" s="18" t="s">
        <v>734</v>
      </c>
      <c r="AO37" s="1" t="s">
        <v>812</v>
      </c>
    </row>
    <row r="38" spans="1:41" ht="12" customHeight="1" x14ac:dyDescent="0.2">
      <c r="A38" s="15" t="s">
        <v>121</v>
      </c>
      <c r="B38" s="15"/>
      <c r="C38" s="15">
        <v>5014</v>
      </c>
      <c r="D38" s="15" t="s">
        <v>545</v>
      </c>
      <c r="E38" s="15" t="s">
        <v>297</v>
      </c>
      <c r="F38" s="15" t="s">
        <v>325</v>
      </c>
      <c r="G38" s="15" t="s">
        <v>588</v>
      </c>
      <c r="H38" s="15" t="s">
        <v>359</v>
      </c>
      <c r="I38" s="15" t="s">
        <v>359</v>
      </c>
      <c r="J38" s="16"/>
      <c r="K38" s="16"/>
      <c r="L38" s="16"/>
      <c r="M38" s="16"/>
      <c r="N38" s="16"/>
      <c r="O38" s="16"/>
      <c r="P38" s="16"/>
      <c r="Q38" s="16"/>
      <c r="R38" s="16" t="s">
        <v>399</v>
      </c>
      <c r="S38" s="16"/>
      <c r="T38" s="16">
        <v>6873</v>
      </c>
      <c r="U38" s="16"/>
      <c r="V38" s="16"/>
      <c r="W38" s="16"/>
      <c r="X38" s="16"/>
      <c r="Y38" s="16"/>
      <c r="Z38" s="16">
        <f t="shared" si="2"/>
        <v>2</v>
      </c>
      <c r="AA38" s="16" t="s">
        <v>177</v>
      </c>
      <c r="AB38" s="15"/>
      <c r="AC38" s="15"/>
      <c r="AD38" s="15" t="s">
        <v>407</v>
      </c>
      <c r="AE38" s="15" t="s">
        <v>325</v>
      </c>
      <c r="AF38" s="15"/>
      <c r="AG38" s="15" t="s">
        <v>103</v>
      </c>
      <c r="AH38" s="15"/>
      <c r="AI38" s="15" t="s">
        <v>245</v>
      </c>
      <c r="AJ38" s="15" t="s">
        <v>217</v>
      </c>
      <c r="AK38" s="15" t="s">
        <v>558</v>
      </c>
      <c r="AL38" s="18">
        <v>102259006</v>
      </c>
      <c r="AM38" s="18" t="s">
        <v>735</v>
      </c>
      <c r="AN38" s="18" t="s">
        <v>736</v>
      </c>
      <c r="AO38" s="1" t="s">
        <v>812</v>
      </c>
    </row>
    <row r="39" spans="1:41" ht="12" customHeight="1" x14ac:dyDescent="0.2">
      <c r="A39" s="15" t="s">
        <v>121</v>
      </c>
      <c r="B39" s="15"/>
      <c r="C39" s="15">
        <v>5016</v>
      </c>
      <c r="D39" s="15" t="s">
        <v>545</v>
      </c>
      <c r="E39" s="15" t="s">
        <v>147</v>
      </c>
      <c r="F39" s="15" t="s">
        <v>147</v>
      </c>
      <c r="G39" s="15" t="s">
        <v>302</v>
      </c>
      <c r="H39" s="15" t="s">
        <v>664</v>
      </c>
      <c r="I39" s="15" t="s">
        <v>463</v>
      </c>
      <c r="J39" s="16"/>
      <c r="K39" s="16"/>
      <c r="L39" s="16"/>
      <c r="M39" s="16"/>
      <c r="N39" s="16">
        <v>29517</v>
      </c>
      <c r="O39" s="16">
        <v>29517</v>
      </c>
      <c r="P39" s="16"/>
      <c r="Q39" s="16" t="s">
        <v>399</v>
      </c>
      <c r="R39" s="16">
        <v>1723</v>
      </c>
      <c r="S39" s="16"/>
      <c r="T39" s="16"/>
      <c r="U39" s="16"/>
      <c r="V39" s="16" t="s">
        <v>32</v>
      </c>
      <c r="W39" s="16" t="s">
        <v>224</v>
      </c>
      <c r="X39" s="16"/>
      <c r="Y39" s="16"/>
      <c r="Z39" s="16">
        <f t="shared" si="2"/>
        <v>6</v>
      </c>
      <c r="AA39" s="16" t="s">
        <v>177</v>
      </c>
      <c r="AB39" s="15" t="s">
        <v>335</v>
      </c>
      <c r="AC39" s="15"/>
      <c r="AD39" s="15" t="s">
        <v>103</v>
      </c>
      <c r="AE39" s="15" t="s">
        <v>147</v>
      </c>
      <c r="AF39" s="15"/>
      <c r="AG39" s="15" t="s">
        <v>103</v>
      </c>
      <c r="AH39" s="15"/>
      <c r="AI39" s="15" t="s">
        <v>504</v>
      </c>
      <c r="AJ39" s="15" t="s">
        <v>661</v>
      </c>
      <c r="AK39" s="15" t="s">
        <v>98</v>
      </c>
      <c r="AL39" s="18">
        <v>103165007</v>
      </c>
      <c r="AM39" s="18" t="s">
        <v>737</v>
      </c>
      <c r="AN39" s="18" t="s">
        <v>738</v>
      </c>
      <c r="AO39" s="1" t="s">
        <v>812</v>
      </c>
    </row>
    <row r="40" spans="1:41" ht="12" customHeight="1" x14ac:dyDescent="0.2">
      <c r="A40" s="15" t="s">
        <v>121</v>
      </c>
      <c r="B40" s="15"/>
      <c r="C40" s="15">
        <v>5017</v>
      </c>
      <c r="D40" s="15" t="s">
        <v>545</v>
      </c>
      <c r="E40" s="15" t="s">
        <v>147</v>
      </c>
      <c r="F40" s="15" t="s">
        <v>147</v>
      </c>
      <c r="G40" s="15" t="s">
        <v>675</v>
      </c>
      <c r="H40" s="15" t="s">
        <v>128</v>
      </c>
      <c r="I40" s="15" t="s">
        <v>128</v>
      </c>
      <c r="J40" s="16" t="s">
        <v>399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>
        <f t="shared" si="2"/>
        <v>1</v>
      </c>
      <c r="AA40" s="16" t="s">
        <v>26</v>
      </c>
      <c r="AB40" s="15"/>
      <c r="AC40" s="15"/>
      <c r="AD40" s="15" t="s">
        <v>407</v>
      </c>
      <c r="AE40" s="15" t="s">
        <v>147</v>
      </c>
      <c r="AF40" s="15"/>
      <c r="AG40" s="15" t="s">
        <v>103</v>
      </c>
      <c r="AH40" s="15"/>
      <c r="AI40" s="15" t="s">
        <v>504</v>
      </c>
      <c r="AJ40" s="15" t="s">
        <v>661</v>
      </c>
      <c r="AK40" s="15" t="s">
        <v>454</v>
      </c>
      <c r="AL40" s="18">
        <v>103165007</v>
      </c>
      <c r="AM40" s="18" t="s">
        <v>737</v>
      </c>
      <c r="AN40" s="18" t="s">
        <v>738</v>
      </c>
      <c r="AO40" s="1" t="s">
        <v>812</v>
      </c>
    </row>
    <row r="41" spans="1:41" ht="12" customHeight="1" x14ac:dyDescent="0.2">
      <c r="A41" s="15" t="s">
        <v>121</v>
      </c>
      <c r="B41" s="15"/>
      <c r="C41" s="15">
        <v>5018</v>
      </c>
      <c r="D41" s="15" t="s">
        <v>545</v>
      </c>
      <c r="E41" s="15" t="s">
        <v>147</v>
      </c>
      <c r="F41" s="15" t="s">
        <v>147</v>
      </c>
      <c r="G41" s="15" t="s">
        <v>302</v>
      </c>
      <c r="H41" s="15" t="s">
        <v>316</v>
      </c>
      <c r="I41" s="15" t="s">
        <v>467</v>
      </c>
      <c r="J41" s="16">
        <v>11090</v>
      </c>
      <c r="K41" s="16"/>
      <c r="L41" s="16">
        <v>11090</v>
      </c>
      <c r="M41" s="16">
        <v>28307</v>
      </c>
      <c r="N41" s="16">
        <v>11090</v>
      </c>
      <c r="O41" s="16">
        <v>11090</v>
      </c>
      <c r="P41" s="16"/>
      <c r="Q41" s="16" t="s">
        <v>399</v>
      </c>
      <c r="R41" s="16"/>
      <c r="S41" s="16"/>
      <c r="T41" s="16"/>
      <c r="U41" s="16"/>
      <c r="V41" s="16" t="s">
        <v>321</v>
      </c>
      <c r="W41" s="16" t="s">
        <v>503</v>
      </c>
      <c r="X41" s="16"/>
      <c r="Y41" s="16"/>
      <c r="Z41" s="16">
        <f t="shared" si="2"/>
        <v>8</v>
      </c>
      <c r="AA41" s="16" t="s">
        <v>177</v>
      </c>
      <c r="AB41" s="15" t="s">
        <v>335</v>
      </c>
      <c r="AC41" s="15"/>
      <c r="AD41" s="15" t="s">
        <v>103</v>
      </c>
      <c r="AE41" s="15" t="s">
        <v>147</v>
      </c>
      <c r="AF41" s="15"/>
      <c r="AG41" s="15" t="s">
        <v>103</v>
      </c>
      <c r="AH41" s="15"/>
      <c r="AI41" s="15" t="s">
        <v>504</v>
      </c>
      <c r="AJ41" s="15" t="s">
        <v>661</v>
      </c>
      <c r="AK41" s="15" t="s">
        <v>516</v>
      </c>
      <c r="AL41" s="18">
        <v>103165007</v>
      </c>
      <c r="AM41" s="18" t="s">
        <v>737</v>
      </c>
      <c r="AN41" s="18" t="s">
        <v>738</v>
      </c>
      <c r="AO41" s="1" t="s">
        <v>812</v>
      </c>
    </row>
    <row r="42" spans="1:41" ht="12" customHeight="1" x14ac:dyDescent="0.2">
      <c r="A42" s="15" t="s">
        <v>121</v>
      </c>
      <c r="B42" s="15"/>
      <c r="C42" s="15">
        <v>5019</v>
      </c>
      <c r="D42" s="15" t="s">
        <v>545</v>
      </c>
      <c r="E42" s="15" t="s">
        <v>147</v>
      </c>
      <c r="F42" s="15" t="s">
        <v>147</v>
      </c>
      <c r="G42" s="15" t="s">
        <v>302</v>
      </c>
      <c r="H42" s="15" t="s">
        <v>468</v>
      </c>
      <c r="I42" s="15" t="s">
        <v>468</v>
      </c>
      <c r="J42" s="16"/>
      <c r="K42" s="16"/>
      <c r="L42" s="16"/>
      <c r="M42" s="16"/>
      <c r="N42" s="16">
        <v>29816</v>
      </c>
      <c r="O42" s="16">
        <v>29816</v>
      </c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>
        <f t="shared" si="2"/>
        <v>2</v>
      </c>
      <c r="AA42" s="16" t="s">
        <v>177</v>
      </c>
      <c r="AB42" s="15" t="s">
        <v>335</v>
      </c>
      <c r="AC42" s="15"/>
      <c r="AD42" s="15" t="s">
        <v>103</v>
      </c>
      <c r="AE42" s="15" t="s">
        <v>147</v>
      </c>
      <c r="AF42" s="15"/>
      <c r="AG42" s="15" t="s">
        <v>103</v>
      </c>
      <c r="AH42" s="15"/>
      <c r="AI42" s="15" t="s">
        <v>504</v>
      </c>
      <c r="AJ42" s="15" t="s">
        <v>661</v>
      </c>
      <c r="AK42" s="15" t="s">
        <v>229</v>
      </c>
      <c r="AL42" s="18">
        <v>405824009</v>
      </c>
      <c r="AM42" s="18" t="s">
        <v>739</v>
      </c>
      <c r="AN42" s="18" t="s">
        <v>740</v>
      </c>
      <c r="AO42" s="1" t="s">
        <v>812</v>
      </c>
    </row>
    <row r="43" spans="1:41" ht="12" customHeight="1" x14ac:dyDescent="0.2">
      <c r="A43" s="15" t="s">
        <v>121</v>
      </c>
      <c r="B43" s="15"/>
      <c r="C43" s="15">
        <v>5020</v>
      </c>
      <c r="D43" s="15" t="s">
        <v>545</v>
      </c>
      <c r="E43" s="15" t="s">
        <v>147</v>
      </c>
      <c r="F43" s="15" t="s">
        <v>147</v>
      </c>
      <c r="G43" s="15" t="s">
        <v>302</v>
      </c>
      <c r="H43" s="15" t="s">
        <v>509</v>
      </c>
      <c r="I43" s="15" t="s">
        <v>509</v>
      </c>
      <c r="J43" s="16"/>
      <c r="K43" s="16"/>
      <c r="L43" s="16"/>
      <c r="M43" s="16"/>
      <c r="N43" s="16"/>
      <c r="O43" s="16"/>
      <c r="P43" s="16"/>
      <c r="Q43" s="16">
        <v>28780</v>
      </c>
      <c r="R43" s="16">
        <v>1986</v>
      </c>
      <c r="S43" s="16"/>
      <c r="T43" s="16"/>
      <c r="U43" s="16"/>
      <c r="V43" s="16"/>
      <c r="W43" s="16"/>
      <c r="X43" s="16"/>
      <c r="Y43" s="16"/>
      <c r="Z43" s="16">
        <f t="shared" si="2"/>
        <v>2</v>
      </c>
      <c r="AA43" s="16" t="s">
        <v>177</v>
      </c>
      <c r="AB43" s="15" t="s">
        <v>335</v>
      </c>
      <c r="AC43" s="15"/>
      <c r="AD43" s="15" t="s">
        <v>103</v>
      </c>
      <c r="AE43" s="15" t="s">
        <v>147</v>
      </c>
      <c r="AF43" s="15"/>
      <c r="AG43" s="15" t="s">
        <v>103</v>
      </c>
      <c r="AH43" s="15"/>
      <c r="AI43" s="15" t="s">
        <v>504</v>
      </c>
      <c r="AJ43" s="15" t="s">
        <v>661</v>
      </c>
      <c r="AK43" s="15" t="s">
        <v>528</v>
      </c>
      <c r="AL43" s="18">
        <v>405824009</v>
      </c>
      <c r="AM43" s="18" t="s">
        <v>739</v>
      </c>
      <c r="AN43" s="18" t="s">
        <v>740</v>
      </c>
      <c r="AO43" s="1" t="s">
        <v>812</v>
      </c>
    </row>
    <row r="44" spans="1:41" ht="12" customHeight="1" x14ac:dyDescent="0.2">
      <c r="A44" s="15" t="s">
        <v>121</v>
      </c>
      <c r="B44" s="15"/>
      <c r="C44" s="15">
        <v>5021</v>
      </c>
      <c r="D44" s="15" t="s">
        <v>545</v>
      </c>
      <c r="E44" s="15" t="s">
        <v>147</v>
      </c>
      <c r="F44" s="15" t="s">
        <v>147</v>
      </c>
      <c r="G44" s="15" t="s">
        <v>302</v>
      </c>
      <c r="H44" s="15" t="s">
        <v>13</v>
      </c>
      <c r="I44" s="15" t="s">
        <v>13</v>
      </c>
      <c r="J44" s="16"/>
      <c r="K44" s="16"/>
      <c r="L44" s="16"/>
      <c r="M44" s="16"/>
      <c r="N44" s="16"/>
      <c r="O44" s="16"/>
      <c r="P44" s="16"/>
      <c r="Q44" s="16">
        <v>28986</v>
      </c>
      <c r="R44" s="16">
        <v>1983</v>
      </c>
      <c r="S44" s="16"/>
      <c r="T44" s="16"/>
      <c r="U44" s="16"/>
      <c r="V44" s="16"/>
      <c r="W44" s="16"/>
      <c r="X44" s="16"/>
      <c r="Y44" s="16"/>
      <c r="Z44" s="16">
        <f t="shared" si="2"/>
        <v>2</v>
      </c>
      <c r="AA44" s="16" t="s">
        <v>177</v>
      </c>
      <c r="AB44" s="15" t="s">
        <v>335</v>
      </c>
      <c r="AC44" s="15"/>
      <c r="AD44" s="15" t="s">
        <v>103</v>
      </c>
      <c r="AE44" s="15" t="s">
        <v>147</v>
      </c>
      <c r="AF44" s="15"/>
      <c r="AG44" s="15" t="s">
        <v>103</v>
      </c>
      <c r="AH44" s="15"/>
      <c r="AI44" s="15" t="s">
        <v>504</v>
      </c>
      <c r="AJ44" s="15" t="s">
        <v>661</v>
      </c>
      <c r="AK44" s="15" t="s">
        <v>58</v>
      </c>
      <c r="AL44" s="18">
        <v>405824009</v>
      </c>
      <c r="AM44" s="18" t="s">
        <v>739</v>
      </c>
      <c r="AN44" s="18" t="s">
        <v>740</v>
      </c>
      <c r="AO44" s="1" t="s">
        <v>812</v>
      </c>
    </row>
    <row r="45" spans="1:41" ht="12" customHeight="1" x14ac:dyDescent="0.2">
      <c r="A45" s="15" t="s">
        <v>121</v>
      </c>
      <c r="B45" s="15"/>
      <c r="C45" s="15">
        <v>5022</v>
      </c>
      <c r="D45" s="15" t="s">
        <v>545</v>
      </c>
      <c r="E45" s="15" t="s">
        <v>147</v>
      </c>
      <c r="F45" s="15" t="s">
        <v>147</v>
      </c>
      <c r="G45" s="15" t="s">
        <v>302</v>
      </c>
      <c r="H45" s="15" t="s">
        <v>54</v>
      </c>
      <c r="I45" s="15" t="s">
        <v>54</v>
      </c>
      <c r="J45" s="16"/>
      <c r="K45" s="16"/>
      <c r="L45" s="16"/>
      <c r="M45" s="16"/>
      <c r="N45" s="16"/>
      <c r="O45" s="16"/>
      <c r="P45" s="16"/>
      <c r="Q45" s="16">
        <v>28987</v>
      </c>
      <c r="R45" s="16">
        <v>1925</v>
      </c>
      <c r="S45" s="16"/>
      <c r="T45" s="16"/>
      <c r="U45" s="16"/>
      <c r="V45" s="16"/>
      <c r="W45" s="16"/>
      <c r="X45" s="16"/>
      <c r="Y45" s="16"/>
      <c r="Z45" s="16">
        <f t="shared" si="2"/>
        <v>2</v>
      </c>
      <c r="AA45" s="16" t="s">
        <v>177</v>
      </c>
      <c r="AB45" s="15" t="s">
        <v>335</v>
      </c>
      <c r="AC45" s="15"/>
      <c r="AD45" s="15" t="s">
        <v>103</v>
      </c>
      <c r="AE45" s="15" t="s">
        <v>147</v>
      </c>
      <c r="AF45" s="15"/>
      <c r="AG45" s="15" t="s">
        <v>103</v>
      </c>
      <c r="AH45" s="15"/>
      <c r="AI45" s="15" t="s">
        <v>504</v>
      </c>
      <c r="AJ45" s="15" t="s">
        <v>661</v>
      </c>
      <c r="AK45" s="15" t="s">
        <v>125</v>
      </c>
      <c r="AL45" s="18">
        <v>405824009</v>
      </c>
      <c r="AM45" s="18" t="s">
        <v>739</v>
      </c>
      <c r="AN45" s="18" t="s">
        <v>740</v>
      </c>
      <c r="AO45" s="1" t="s">
        <v>812</v>
      </c>
    </row>
    <row r="46" spans="1:41" ht="12" customHeight="1" x14ac:dyDescent="0.2">
      <c r="A46" s="15" t="s">
        <v>121</v>
      </c>
      <c r="B46" s="15"/>
      <c r="C46" s="15">
        <v>5023</v>
      </c>
      <c r="D46" s="15" t="s">
        <v>545</v>
      </c>
      <c r="E46" s="15" t="s">
        <v>147</v>
      </c>
      <c r="F46" s="15" t="s">
        <v>147</v>
      </c>
      <c r="G46" s="15" t="s">
        <v>302</v>
      </c>
      <c r="H46" s="15" t="s">
        <v>53</v>
      </c>
      <c r="I46" s="15" t="s">
        <v>53</v>
      </c>
      <c r="J46" s="16"/>
      <c r="K46" s="16"/>
      <c r="L46" s="16"/>
      <c r="M46" s="16"/>
      <c r="N46" s="16"/>
      <c r="O46" s="16"/>
      <c r="P46" s="16"/>
      <c r="Q46" s="16">
        <v>28778</v>
      </c>
      <c r="R46" s="16">
        <v>1924</v>
      </c>
      <c r="S46" s="16"/>
      <c r="T46" s="16"/>
      <c r="U46" s="16"/>
      <c r="V46" s="16"/>
      <c r="W46" s="16"/>
      <c r="X46" s="16"/>
      <c r="Y46" s="16"/>
      <c r="Z46" s="16">
        <f t="shared" si="2"/>
        <v>2</v>
      </c>
      <c r="AA46" s="16" t="s">
        <v>177</v>
      </c>
      <c r="AB46" s="15" t="s">
        <v>335</v>
      </c>
      <c r="AC46" s="15"/>
      <c r="AD46" s="15" t="s">
        <v>103</v>
      </c>
      <c r="AE46" s="15" t="s">
        <v>147</v>
      </c>
      <c r="AF46" s="15"/>
      <c r="AG46" s="15" t="s">
        <v>103</v>
      </c>
      <c r="AH46" s="15"/>
      <c r="AI46" s="15" t="s">
        <v>504</v>
      </c>
      <c r="AJ46" s="15" t="s">
        <v>661</v>
      </c>
      <c r="AK46" s="15" t="s">
        <v>457</v>
      </c>
      <c r="AL46" s="18">
        <v>405824009</v>
      </c>
      <c r="AM46" s="18" t="s">
        <v>739</v>
      </c>
      <c r="AN46" s="18" t="s">
        <v>740</v>
      </c>
      <c r="AO46" s="1" t="s">
        <v>812</v>
      </c>
    </row>
    <row r="47" spans="1:41" ht="12" customHeight="1" x14ac:dyDescent="0.2">
      <c r="A47" s="15" t="s">
        <v>121</v>
      </c>
      <c r="B47" s="15"/>
      <c r="C47" s="15">
        <v>5030</v>
      </c>
      <c r="D47" s="15" t="s">
        <v>545</v>
      </c>
      <c r="E47" s="15" t="s">
        <v>372</v>
      </c>
      <c r="F47" s="15" t="s">
        <v>500</v>
      </c>
      <c r="G47" s="15" t="s">
        <v>500</v>
      </c>
      <c r="H47" s="15" t="s">
        <v>540</v>
      </c>
      <c r="I47" s="15" t="s">
        <v>540</v>
      </c>
      <c r="J47" s="16">
        <v>17449</v>
      </c>
      <c r="K47" s="16"/>
      <c r="L47" s="16"/>
      <c r="M47" s="16"/>
      <c r="N47" s="16">
        <v>17449</v>
      </c>
      <c r="O47" s="16">
        <v>17449</v>
      </c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>
        <f t="shared" si="2"/>
        <v>3</v>
      </c>
      <c r="AA47" s="16" t="s">
        <v>177</v>
      </c>
      <c r="AB47" s="15" t="s">
        <v>67</v>
      </c>
      <c r="AC47" s="15" t="s">
        <v>66</v>
      </c>
      <c r="AD47" s="15" t="s">
        <v>103</v>
      </c>
      <c r="AE47" s="15" t="s">
        <v>500</v>
      </c>
      <c r="AF47" s="15"/>
      <c r="AG47" s="15" t="s">
        <v>103</v>
      </c>
      <c r="AH47" s="15"/>
      <c r="AI47" s="15" t="s">
        <v>63</v>
      </c>
      <c r="AJ47" s="15" t="s">
        <v>653</v>
      </c>
      <c r="AK47" s="15" t="s">
        <v>144</v>
      </c>
      <c r="AL47" s="18">
        <v>18557009</v>
      </c>
      <c r="AM47" s="18" t="s">
        <v>741</v>
      </c>
      <c r="AN47" s="18" t="s">
        <v>742</v>
      </c>
      <c r="AO47" s="1" t="s">
        <v>812</v>
      </c>
    </row>
    <row r="48" spans="1:41" ht="12" customHeight="1" x14ac:dyDescent="0.2">
      <c r="A48" s="15" t="s">
        <v>121</v>
      </c>
      <c r="B48" s="15"/>
      <c r="C48" s="15">
        <v>5031</v>
      </c>
      <c r="D48" s="15" t="s">
        <v>545</v>
      </c>
      <c r="E48" s="15" t="s">
        <v>372</v>
      </c>
      <c r="F48" s="15" t="s">
        <v>500</v>
      </c>
      <c r="G48" s="15" t="s">
        <v>500</v>
      </c>
      <c r="H48" s="15" t="s">
        <v>542</v>
      </c>
      <c r="I48" s="15" t="s">
        <v>542</v>
      </c>
      <c r="J48" s="16">
        <v>17408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>
        <f t="shared" si="2"/>
        <v>1</v>
      </c>
      <c r="AA48" s="16" t="s">
        <v>26</v>
      </c>
      <c r="AB48" s="15" t="s">
        <v>71</v>
      </c>
      <c r="AC48" s="15" t="s">
        <v>311</v>
      </c>
      <c r="AD48" s="15" t="s">
        <v>103</v>
      </c>
      <c r="AE48" s="15" t="s">
        <v>500</v>
      </c>
      <c r="AF48" s="15"/>
      <c r="AG48" s="15" t="s">
        <v>103</v>
      </c>
      <c r="AH48" s="15"/>
      <c r="AI48" s="15" t="s">
        <v>63</v>
      </c>
      <c r="AJ48" s="15" t="s">
        <v>653</v>
      </c>
      <c r="AK48" s="15" t="s">
        <v>447</v>
      </c>
      <c r="AL48" s="18">
        <v>18557009</v>
      </c>
      <c r="AM48" s="18" t="s">
        <v>741</v>
      </c>
      <c r="AN48" s="18" t="s">
        <v>742</v>
      </c>
      <c r="AO48" s="1" t="s">
        <v>812</v>
      </c>
    </row>
    <row r="49" spans="1:41" ht="12" customHeight="1" x14ac:dyDescent="0.2">
      <c r="A49" s="15" t="s">
        <v>121</v>
      </c>
      <c r="B49" s="15"/>
      <c r="C49" s="15">
        <v>5032</v>
      </c>
      <c r="D49" s="15" t="s">
        <v>545</v>
      </c>
      <c r="E49" s="15" t="s">
        <v>372</v>
      </c>
      <c r="F49" s="15" t="s">
        <v>254</v>
      </c>
      <c r="G49" s="15" t="s">
        <v>605</v>
      </c>
      <c r="H49" s="15" t="s">
        <v>349</v>
      </c>
      <c r="I49" s="15" t="s">
        <v>349</v>
      </c>
      <c r="J49" s="16">
        <v>3528</v>
      </c>
      <c r="K49" s="16"/>
      <c r="L49" s="16">
        <v>3528</v>
      </c>
      <c r="M49" s="16"/>
      <c r="N49" s="16">
        <v>3528</v>
      </c>
      <c r="O49" s="16">
        <v>3528</v>
      </c>
      <c r="P49" s="16"/>
      <c r="Q49" s="16">
        <v>32669</v>
      </c>
      <c r="R49" s="16">
        <v>9186</v>
      </c>
      <c r="S49" s="16"/>
      <c r="T49" s="16">
        <v>6377</v>
      </c>
      <c r="U49" s="16"/>
      <c r="V49" s="16"/>
      <c r="W49" s="16"/>
      <c r="X49" s="16"/>
      <c r="Y49" s="16"/>
      <c r="Z49" s="16">
        <f t="shared" si="2"/>
        <v>7</v>
      </c>
      <c r="AA49" s="16" t="s">
        <v>177</v>
      </c>
      <c r="AB49" s="15" t="s">
        <v>29</v>
      </c>
      <c r="AC49" s="15" t="s">
        <v>506</v>
      </c>
      <c r="AD49" s="15" t="s">
        <v>103</v>
      </c>
      <c r="AE49" s="15" t="s">
        <v>254</v>
      </c>
      <c r="AF49" s="15"/>
      <c r="AG49" s="15" t="s">
        <v>103</v>
      </c>
      <c r="AH49" s="15"/>
      <c r="AI49" s="15" t="s">
        <v>114</v>
      </c>
      <c r="AJ49" s="15" t="s">
        <v>298</v>
      </c>
      <c r="AK49" s="15" t="s">
        <v>197</v>
      </c>
      <c r="AL49" s="18">
        <v>236240005</v>
      </c>
      <c r="AM49" s="18" t="s">
        <v>743</v>
      </c>
      <c r="AN49" s="18" t="s">
        <v>744</v>
      </c>
      <c r="AO49" s="1" t="s">
        <v>812</v>
      </c>
    </row>
    <row r="50" spans="1:41" ht="12" customHeight="1" x14ac:dyDescent="0.2">
      <c r="A50" s="15" t="s">
        <v>121</v>
      </c>
      <c r="B50" s="15"/>
      <c r="C50" s="15">
        <v>5033</v>
      </c>
      <c r="D50" s="15" t="s">
        <v>545</v>
      </c>
      <c r="E50" s="15" t="s">
        <v>297</v>
      </c>
      <c r="F50" s="15" t="s">
        <v>325</v>
      </c>
      <c r="G50" s="15" t="s">
        <v>588</v>
      </c>
      <c r="H50" s="15" t="s">
        <v>207</v>
      </c>
      <c r="I50" s="15" t="s">
        <v>207</v>
      </c>
      <c r="J50" s="16"/>
      <c r="K50" s="16"/>
      <c r="L50" s="16"/>
      <c r="M50" s="16"/>
      <c r="N50" s="16"/>
      <c r="O50" s="16"/>
      <c r="P50" s="16"/>
      <c r="Q50" s="16"/>
      <c r="R50" s="16" t="s">
        <v>399</v>
      </c>
      <c r="S50" s="16"/>
      <c r="T50" s="16">
        <v>6874</v>
      </c>
      <c r="U50" s="16"/>
      <c r="V50" s="16"/>
      <c r="W50" s="16"/>
      <c r="X50" s="16"/>
      <c r="Y50" s="16"/>
      <c r="Z50" s="16">
        <f t="shared" si="2"/>
        <v>2</v>
      </c>
      <c r="AA50" s="16" t="s">
        <v>177</v>
      </c>
      <c r="AB50" s="15"/>
      <c r="AC50" s="15"/>
      <c r="AD50" s="15" t="s">
        <v>407</v>
      </c>
      <c r="AE50" s="15" t="s">
        <v>325</v>
      </c>
      <c r="AF50" s="15"/>
      <c r="AG50" s="15" t="s">
        <v>103</v>
      </c>
      <c r="AH50" s="15"/>
      <c r="AI50" s="15" t="s">
        <v>245</v>
      </c>
      <c r="AJ50" s="15" t="s">
        <v>217</v>
      </c>
      <c r="AK50" s="15" t="s">
        <v>361</v>
      </c>
      <c r="AL50" s="18">
        <v>435741000124103</v>
      </c>
      <c r="AM50" s="18" t="s">
        <v>745</v>
      </c>
      <c r="AN50" s="18" t="s">
        <v>742</v>
      </c>
      <c r="AO50" s="1" t="s">
        <v>812</v>
      </c>
    </row>
    <row r="51" spans="1:41" ht="12" customHeight="1" x14ac:dyDescent="0.2">
      <c r="A51" s="15" t="s">
        <v>121</v>
      </c>
      <c r="B51" s="15"/>
      <c r="C51" s="15">
        <v>5034</v>
      </c>
      <c r="D51" s="15" t="s">
        <v>545</v>
      </c>
      <c r="E51" s="15" t="s">
        <v>325</v>
      </c>
      <c r="F51" s="15" t="s">
        <v>325</v>
      </c>
      <c r="G51" s="15" t="s">
        <v>325</v>
      </c>
      <c r="H51" s="15" t="s">
        <v>44</v>
      </c>
      <c r="I51" s="15" t="s">
        <v>44</v>
      </c>
      <c r="J51" s="16"/>
      <c r="K51" s="16"/>
      <c r="L51" s="16"/>
      <c r="M51" s="16"/>
      <c r="N51" s="16"/>
      <c r="O51" s="16"/>
      <c r="P51" s="16"/>
      <c r="Q51" s="16"/>
      <c r="R51" s="16" t="s">
        <v>399</v>
      </c>
      <c r="S51" s="16"/>
      <c r="T51" s="16">
        <v>6875</v>
      </c>
      <c r="U51" s="16"/>
      <c r="V51" s="16"/>
      <c r="W51" s="16"/>
      <c r="X51" s="16"/>
      <c r="Y51" s="16"/>
      <c r="Z51" s="16">
        <f t="shared" si="2"/>
        <v>2</v>
      </c>
      <c r="AA51" s="16" t="s">
        <v>177</v>
      </c>
      <c r="AB51" s="15"/>
      <c r="AC51" s="15"/>
      <c r="AD51" s="15" t="s">
        <v>407</v>
      </c>
      <c r="AE51" s="15" t="s">
        <v>330</v>
      </c>
      <c r="AF51" s="15"/>
      <c r="AG51" s="15" t="s">
        <v>103</v>
      </c>
      <c r="AH51" s="15"/>
      <c r="AI51" s="15" t="s">
        <v>245</v>
      </c>
      <c r="AJ51" s="15" t="s">
        <v>217</v>
      </c>
      <c r="AK51" s="15" t="s">
        <v>435</v>
      </c>
      <c r="AL51" s="18">
        <v>435741000124103</v>
      </c>
      <c r="AM51" s="18" t="s">
        <v>745</v>
      </c>
      <c r="AN51" s="18" t="s">
        <v>742</v>
      </c>
      <c r="AO51" s="1" t="s">
        <v>812</v>
      </c>
    </row>
    <row r="52" spans="1:41" ht="12" customHeight="1" x14ac:dyDescent="0.2">
      <c r="A52" s="15" t="s">
        <v>121</v>
      </c>
      <c r="B52" s="15"/>
      <c r="C52" s="15">
        <v>5035</v>
      </c>
      <c r="D52" s="15" t="s">
        <v>545</v>
      </c>
      <c r="E52" s="15" t="s">
        <v>372</v>
      </c>
      <c r="F52" s="15" t="s">
        <v>257</v>
      </c>
      <c r="G52" s="15" t="s">
        <v>533</v>
      </c>
      <c r="H52" s="15" t="s">
        <v>585</v>
      </c>
      <c r="I52" s="15" t="s">
        <v>585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 t="s">
        <v>529</v>
      </c>
      <c r="W52" s="16"/>
      <c r="X52" s="16"/>
      <c r="Y52" s="16"/>
      <c r="Z52" s="16">
        <f t="shared" si="2"/>
        <v>1</v>
      </c>
      <c r="AA52" s="16" t="s">
        <v>26</v>
      </c>
      <c r="AB52" s="15" t="s">
        <v>589</v>
      </c>
      <c r="AC52" s="15"/>
      <c r="AD52" s="15" t="s">
        <v>103</v>
      </c>
      <c r="AE52" s="15" t="s">
        <v>602</v>
      </c>
      <c r="AF52" s="15"/>
      <c r="AG52" s="15" t="s">
        <v>103</v>
      </c>
      <c r="AH52" s="15"/>
      <c r="AI52" s="15" t="s">
        <v>317</v>
      </c>
      <c r="AJ52" s="15" t="s">
        <v>298</v>
      </c>
      <c r="AK52" s="15" t="s">
        <v>175</v>
      </c>
      <c r="AL52" s="18">
        <v>260939000</v>
      </c>
      <c r="AM52" s="18" t="s">
        <v>746</v>
      </c>
      <c r="AN52" s="18" t="s">
        <v>747</v>
      </c>
      <c r="AO52" s="1" t="s">
        <v>812</v>
      </c>
    </row>
    <row r="53" spans="1:41" ht="12" customHeight="1" x14ac:dyDescent="0.2">
      <c r="A53" s="15" t="s">
        <v>121</v>
      </c>
      <c r="B53" s="15"/>
      <c r="C53" s="15">
        <v>5036</v>
      </c>
      <c r="D53" s="15" t="s">
        <v>545</v>
      </c>
      <c r="E53" s="15" t="s">
        <v>297</v>
      </c>
      <c r="F53" s="15" t="s">
        <v>325</v>
      </c>
      <c r="G53" s="15" t="s">
        <v>588</v>
      </c>
      <c r="H53" s="15" t="s">
        <v>187</v>
      </c>
      <c r="I53" s="15" t="s">
        <v>187</v>
      </c>
      <c r="J53" s="16"/>
      <c r="K53" s="16"/>
      <c r="L53" s="16"/>
      <c r="M53" s="16"/>
      <c r="N53" s="16"/>
      <c r="O53" s="16"/>
      <c r="P53" s="16"/>
      <c r="Q53" s="16" t="s">
        <v>399</v>
      </c>
      <c r="R53" s="16">
        <v>5605</v>
      </c>
      <c r="S53" s="16"/>
      <c r="T53" s="16">
        <v>6876</v>
      </c>
      <c r="U53" s="16"/>
      <c r="V53" s="16"/>
      <c r="W53" s="16"/>
      <c r="X53" s="16"/>
      <c r="Y53" s="16"/>
      <c r="Z53" s="16">
        <f t="shared" si="2"/>
        <v>3</v>
      </c>
      <c r="AA53" s="16" t="s">
        <v>177</v>
      </c>
      <c r="AB53" s="15"/>
      <c r="AC53" s="15"/>
      <c r="AD53" s="15" t="s">
        <v>407</v>
      </c>
      <c r="AE53" s="15" t="s">
        <v>325</v>
      </c>
      <c r="AF53" s="15"/>
      <c r="AG53" s="15" t="s">
        <v>103</v>
      </c>
      <c r="AH53" s="15"/>
      <c r="AI53" s="15" t="s">
        <v>245</v>
      </c>
      <c r="AJ53" s="15" t="s">
        <v>217</v>
      </c>
      <c r="AK53" s="15" t="s">
        <v>153</v>
      </c>
      <c r="AL53" s="18">
        <v>227566009</v>
      </c>
      <c r="AM53" s="18" t="s">
        <v>748</v>
      </c>
      <c r="AN53" s="18" t="s">
        <v>749</v>
      </c>
      <c r="AO53" s="1" t="s">
        <v>812</v>
      </c>
    </row>
    <row r="54" spans="1:41" ht="12" customHeight="1" x14ac:dyDescent="0.2">
      <c r="A54" s="15" t="s">
        <v>121</v>
      </c>
      <c r="B54" s="15"/>
      <c r="C54" s="15">
        <v>5037</v>
      </c>
      <c r="D54" s="15" t="s">
        <v>545</v>
      </c>
      <c r="E54" s="15" t="s">
        <v>372</v>
      </c>
      <c r="F54" s="15" t="s">
        <v>500</v>
      </c>
      <c r="G54" s="15" t="s">
        <v>500</v>
      </c>
      <c r="H54" s="15" t="s">
        <v>112</v>
      </c>
      <c r="I54" s="15" t="s">
        <v>112</v>
      </c>
      <c r="J54" s="16"/>
      <c r="K54" s="16"/>
      <c r="L54" s="16"/>
      <c r="M54" s="16"/>
      <c r="N54" s="16">
        <v>29704</v>
      </c>
      <c r="O54" s="16">
        <v>29704</v>
      </c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>
        <f t="shared" si="2"/>
        <v>2</v>
      </c>
      <c r="AA54" s="16" t="s">
        <v>177</v>
      </c>
      <c r="AB54" s="15" t="s">
        <v>553</v>
      </c>
      <c r="AC54" s="15" t="s">
        <v>506</v>
      </c>
      <c r="AD54" s="15" t="s">
        <v>103</v>
      </c>
      <c r="AE54" s="15" t="s">
        <v>500</v>
      </c>
      <c r="AF54" s="15"/>
      <c r="AG54" s="15" t="s">
        <v>103</v>
      </c>
      <c r="AH54" s="15"/>
      <c r="AI54" s="15" t="s">
        <v>63</v>
      </c>
      <c r="AJ54" s="15" t="s">
        <v>653</v>
      </c>
      <c r="AK54" s="15" t="s">
        <v>668</v>
      </c>
      <c r="AL54" s="18">
        <v>253997002</v>
      </c>
      <c r="AM54" s="18" t="s">
        <v>750</v>
      </c>
      <c r="AN54" s="18" t="s">
        <v>751</v>
      </c>
      <c r="AO54" s="1" t="s">
        <v>812</v>
      </c>
    </row>
    <row r="55" spans="1:41" ht="12" customHeight="1" x14ac:dyDescent="0.2">
      <c r="A55" s="15" t="s">
        <v>121</v>
      </c>
      <c r="B55" s="15"/>
      <c r="C55" s="15">
        <v>5058</v>
      </c>
      <c r="D55" s="15" t="s">
        <v>545</v>
      </c>
      <c r="E55" s="15" t="s">
        <v>372</v>
      </c>
      <c r="F55" s="15" t="s">
        <v>666</v>
      </c>
      <c r="G55" s="15" t="s">
        <v>411</v>
      </c>
      <c r="H55" s="15" t="s">
        <v>573</v>
      </c>
      <c r="I55" s="15" t="s">
        <v>573</v>
      </c>
      <c r="J55" s="16">
        <v>2183</v>
      </c>
      <c r="K55" s="16"/>
      <c r="L55" s="16"/>
      <c r="M55" s="16"/>
      <c r="N55" s="16">
        <v>2183</v>
      </c>
      <c r="O55" s="16">
        <v>2183</v>
      </c>
      <c r="P55" s="16"/>
      <c r="Q55" s="16">
        <v>35396</v>
      </c>
      <c r="R55" s="16">
        <v>4268</v>
      </c>
      <c r="S55" s="16"/>
      <c r="T55" s="16">
        <v>2131</v>
      </c>
      <c r="U55" s="16"/>
      <c r="V55" s="16"/>
      <c r="W55" s="16"/>
      <c r="X55" s="16"/>
      <c r="Y55" s="16"/>
      <c r="Z55" s="16">
        <f t="shared" si="2"/>
        <v>6</v>
      </c>
      <c r="AA55" s="16" t="s">
        <v>177</v>
      </c>
      <c r="AB55" s="15" t="s">
        <v>348</v>
      </c>
      <c r="AC55" s="15" t="s">
        <v>506</v>
      </c>
      <c r="AD55" s="15" t="s">
        <v>103</v>
      </c>
      <c r="AE55" s="15" t="s">
        <v>231</v>
      </c>
      <c r="AF55" s="15"/>
      <c r="AG55" s="15" t="s">
        <v>103</v>
      </c>
      <c r="AH55" s="15"/>
      <c r="AI55" s="15" t="s">
        <v>317</v>
      </c>
      <c r="AJ55" s="15" t="s">
        <v>653</v>
      </c>
      <c r="AK55" s="15" t="s">
        <v>390</v>
      </c>
      <c r="AL55" s="18">
        <v>234890003</v>
      </c>
      <c r="AM55" s="18" t="s">
        <v>752</v>
      </c>
      <c r="AN55" s="18" t="s">
        <v>753</v>
      </c>
      <c r="AO55" s="1" t="s">
        <v>812</v>
      </c>
    </row>
    <row r="56" spans="1:41" ht="12" customHeight="1" x14ac:dyDescent="0.2">
      <c r="A56" s="15" t="s">
        <v>121</v>
      </c>
      <c r="B56" s="15"/>
      <c r="C56" s="15">
        <v>5059</v>
      </c>
      <c r="D56" s="15" t="s">
        <v>545</v>
      </c>
      <c r="E56" s="15" t="s">
        <v>372</v>
      </c>
      <c r="F56" s="15" t="s">
        <v>666</v>
      </c>
      <c r="G56" s="15" t="s">
        <v>411</v>
      </c>
      <c r="H56" s="15" t="s">
        <v>572</v>
      </c>
      <c r="I56" s="15" t="s">
        <v>572</v>
      </c>
      <c r="J56" s="16">
        <v>2182</v>
      </c>
      <c r="K56" s="16"/>
      <c r="L56" s="16"/>
      <c r="M56" s="16"/>
      <c r="N56" s="16">
        <v>2182</v>
      </c>
      <c r="O56" s="16">
        <v>2182</v>
      </c>
      <c r="P56" s="16"/>
      <c r="Q56" s="16">
        <v>35397</v>
      </c>
      <c r="R56" s="16">
        <v>4269</v>
      </c>
      <c r="S56" s="16"/>
      <c r="T56" s="16">
        <v>2132</v>
      </c>
      <c r="U56" s="16"/>
      <c r="V56" s="16"/>
      <c r="W56" s="16"/>
      <c r="X56" s="16"/>
      <c r="Y56" s="16"/>
      <c r="Z56" s="16">
        <f t="shared" si="2"/>
        <v>6</v>
      </c>
      <c r="AA56" s="16" t="s">
        <v>177</v>
      </c>
      <c r="AB56" s="15" t="s">
        <v>348</v>
      </c>
      <c r="AC56" s="15" t="s">
        <v>506</v>
      </c>
      <c r="AD56" s="15" t="s">
        <v>103</v>
      </c>
      <c r="AE56" s="15" t="s">
        <v>231</v>
      </c>
      <c r="AF56" s="15"/>
      <c r="AG56" s="15" t="s">
        <v>103</v>
      </c>
      <c r="AH56" s="15"/>
      <c r="AI56" s="15" t="s">
        <v>317</v>
      </c>
      <c r="AJ56" s="15" t="s">
        <v>653</v>
      </c>
      <c r="AK56" s="15" t="s">
        <v>70</v>
      </c>
      <c r="AL56" s="18">
        <v>234890003</v>
      </c>
      <c r="AM56" s="18" t="s">
        <v>752</v>
      </c>
      <c r="AN56" s="18" t="s">
        <v>753</v>
      </c>
      <c r="AO56" s="1" t="s">
        <v>812</v>
      </c>
    </row>
    <row r="57" spans="1:41" ht="12" customHeight="1" x14ac:dyDescent="0.2">
      <c r="A57" s="15" t="s">
        <v>121</v>
      </c>
      <c r="B57" s="15"/>
      <c r="C57" s="15">
        <v>5060</v>
      </c>
      <c r="D57" s="15" t="s">
        <v>545</v>
      </c>
      <c r="E57" s="15" t="s">
        <v>372</v>
      </c>
      <c r="F57" s="15" t="s">
        <v>666</v>
      </c>
      <c r="G57" s="15" t="s">
        <v>411</v>
      </c>
      <c r="H57" s="15" t="s">
        <v>119</v>
      </c>
      <c r="I57" s="15" t="s">
        <v>119</v>
      </c>
      <c r="J57" s="16">
        <v>25242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>
        <f t="shared" si="2"/>
        <v>1</v>
      </c>
      <c r="AA57" s="16" t="s">
        <v>26</v>
      </c>
      <c r="AB57" s="15" t="s">
        <v>348</v>
      </c>
      <c r="AC57" s="15" t="s">
        <v>506</v>
      </c>
      <c r="AD57" s="15" t="s">
        <v>103</v>
      </c>
      <c r="AE57" s="15" t="s">
        <v>231</v>
      </c>
      <c r="AF57" s="15"/>
      <c r="AG57" s="15" t="s">
        <v>103</v>
      </c>
      <c r="AH57" s="15"/>
      <c r="AI57" s="15" t="s">
        <v>317</v>
      </c>
      <c r="AJ57" s="15" t="s">
        <v>653</v>
      </c>
      <c r="AK57" s="15" t="s">
        <v>28</v>
      </c>
      <c r="AL57" s="18">
        <v>234890003</v>
      </c>
      <c r="AM57" s="18" t="s">
        <v>752</v>
      </c>
      <c r="AN57" s="18" t="s">
        <v>753</v>
      </c>
      <c r="AO57" s="1" t="s">
        <v>812</v>
      </c>
    </row>
    <row r="58" spans="1:41" ht="12" customHeight="1" x14ac:dyDescent="0.2">
      <c r="A58" s="15" t="s">
        <v>121</v>
      </c>
      <c r="B58" s="15"/>
      <c r="C58" s="15">
        <v>5061</v>
      </c>
      <c r="D58" s="15" t="s">
        <v>545</v>
      </c>
      <c r="E58" s="15" t="s">
        <v>372</v>
      </c>
      <c r="F58" s="15" t="s">
        <v>404</v>
      </c>
      <c r="G58" s="15" t="s">
        <v>428</v>
      </c>
      <c r="H58" s="15" t="s">
        <v>48</v>
      </c>
      <c r="I58" s="15" t="s">
        <v>48</v>
      </c>
      <c r="J58" s="16"/>
      <c r="K58" s="16"/>
      <c r="L58" s="16"/>
      <c r="M58" s="16"/>
      <c r="N58" s="16"/>
      <c r="O58" s="16"/>
      <c r="P58" s="16"/>
      <c r="Q58" s="16">
        <v>34858</v>
      </c>
      <c r="R58" s="16">
        <v>3483</v>
      </c>
      <c r="S58" s="16"/>
      <c r="T58" s="16">
        <v>3644</v>
      </c>
      <c r="U58" s="16"/>
      <c r="V58" s="16"/>
      <c r="W58" s="16"/>
      <c r="X58" s="16"/>
      <c r="Y58" s="16"/>
      <c r="Z58" s="16">
        <f t="shared" si="2"/>
        <v>3</v>
      </c>
      <c r="AA58" s="16" t="s">
        <v>177</v>
      </c>
      <c r="AB58" s="15" t="s">
        <v>348</v>
      </c>
      <c r="AC58" s="15" t="s">
        <v>506</v>
      </c>
      <c r="AD58" s="15" t="s">
        <v>103</v>
      </c>
      <c r="AE58" s="15" t="s">
        <v>286</v>
      </c>
      <c r="AF58" s="15"/>
      <c r="AG58" s="15" t="s">
        <v>103</v>
      </c>
      <c r="AH58" s="15"/>
      <c r="AI58" s="15" t="s">
        <v>317</v>
      </c>
      <c r="AJ58" s="15" t="s">
        <v>653</v>
      </c>
      <c r="AK58" s="15" t="s">
        <v>212</v>
      </c>
      <c r="AL58" s="18">
        <v>234890003</v>
      </c>
      <c r="AM58" s="18" t="s">
        <v>752</v>
      </c>
      <c r="AN58" s="18" t="s">
        <v>753</v>
      </c>
      <c r="AO58" s="1" t="s">
        <v>812</v>
      </c>
    </row>
    <row r="59" spans="1:41" ht="12" customHeight="1" x14ac:dyDescent="0.2">
      <c r="A59" s="15" t="s">
        <v>121</v>
      </c>
      <c r="B59" s="15"/>
      <c r="C59" s="15">
        <v>5062</v>
      </c>
      <c r="D59" s="15" t="s">
        <v>545</v>
      </c>
      <c r="E59" s="15" t="s">
        <v>372</v>
      </c>
      <c r="F59" s="15" t="s">
        <v>404</v>
      </c>
      <c r="G59" s="15" t="s">
        <v>428</v>
      </c>
      <c r="H59" s="15" t="s">
        <v>491</v>
      </c>
      <c r="I59" s="15" t="s">
        <v>491</v>
      </c>
      <c r="J59" s="16"/>
      <c r="K59" s="16"/>
      <c r="L59" s="16"/>
      <c r="M59" s="16"/>
      <c r="N59" s="16"/>
      <c r="O59" s="16"/>
      <c r="P59" s="16"/>
      <c r="Q59" s="16">
        <v>34859</v>
      </c>
      <c r="R59" s="16">
        <v>3484</v>
      </c>
      <c r="S59" s="16"/>
      <c r="T59" s="16">
        <v>3645</v>
      </c>
      <c r="U59" s="16"/>
      <c r="V59" s="16"/>
      <c r="W59" s="16"/>
      <c r="X59" s="16"/>
      <c r="Y59" s="16"/>
      <c r="Z59" s="16">
        <f t="shared" si="2"/>
        <v>3</v>
      </c>
      <c r="AA59" s="16" t="s">
        <v>177</v>
      </c>
      <c r="AB59" s="15" t="s">
        <v>348</v>
      </c>
      <c r="AC59" s="15" t="s">
        <v>506</v>
      </c>
      <c r="AD59" s="15" t="s">
        <v>103</v>
      </c>
      <c r="AE59" s="15" t="s">
        <v>286</v>
      </c>
      <c r="AF59" s="15"/>
      <c r="AG59" s="15" t="s">
        <v>103</v>
      </c>
      <c r="AH59" s="15"/>
      <c r="AI59" s="15" t="s">
        <v>317</v>
      </c>
      <c r="AJ59" s="15" t="s">
        <v>653</v>
      </c>
      <c r="AK59" s="15" t="s">
        <v>356</v>
      </c>
      <c r="AL59" s="18">
        <v>234890003</v>
      </c>
      <c r="AM59" s="18" t="s">
        <v>752</v>
      </c>
      <c r="AN59" s="18" t="s">
        <v>753</v>
      </c>
      <c r="AO59" s="1" t="s">
        <v>812</v>
      </c>
    </row>
    <row r="60" spans="1:41" ht="12" customHeight="1" x14ac:dyDescent="0.2">
      <c r="A60" s="15" t="s">
        <v>121</v>
      </c>
      <c r="B60" s="15"/>
      <c r="C60" s="15">
        <v>5063</v>
      </c>
      <c r="D60" s="15" t="s">
        <v>545</v>
      </c>
      <c r="E60" s="15" t="s">
        <v>372</v>
      </c>
      <c r="F60" s="15" t="s">
        <v>404</v>
      </c>
      <c r="G60" s="15" t="s">
        <v>428</v>
      </c>
      <c r="H60" s="15" t="s">
        <v>270</v>
      </c>
      <c r="I60" s="15" t="s">
        <v>270</v>
      </c>
      <c r="J60" s="16"/>
      <c r="K60" s="16"/>
      <c r="L60" s="16"/>
      <c r="M60" s="16"/>
      <c r="N60" s="16"/>
      <c r="O60" s="16"/>
      <c r="P60" s="16"/>
      <c r="Q60" s="16">
        <v>34860</v>
      </c>
      <c r="R60" s="16">
        <v>3485</v>
      </c>
      <c r="S60" s="16"/>
      <c r="T60" s="16">
        <v>3646</v>
      </c>
      <c r="U60" s="16"/>
      <c r="V60" s="16"/>
      <c r="W60" s="16"/>
      <c r="X60" s="16"/>
      <c r="Y60" s="16"/>
      <c r="Z60" s="16">
        <f t="shared" si="2"/>
        <v>3</v>
      </c>
      <c r="AA60" s="16" t="s">
        <v>177</v>
      </c>
      <c r="AB60" s="15" t="s">
        <v>348</v>
      </c>
      <c r="AC60" s="15" t="s">
        <v>506</v>
      </c>
      <c r="AD60" s="15" t="s">
        <v>103</v>
      </c>
      <c r="AE60" s="15" t="s">
        <v>286</v>
      </c>
      <c r="AF60" s="15"/>
      <c r="AG60" s="15" t="s">
        <v>103</v>
      </c>
      <c r="AH60" s="15"/>
      <c r="AI60" s="15" t="s">
        <v>317</v>
      </c>
      <c r="AJ60" s="15" t="s">
        <v>653</v>
      </c>
      <c r="AK60" s="15" t="s">
        <v>284</v>
      </c>
      <c r="AL60" s="18">
        <v>234890003</v>
      </c>
      <c r="AM60" s="18" t="s">
        <v>752</v>
      </c>
      <c r="AN60" s="18" t="s">
        <v>753</v>
      </c>
      <c r="AO60" s="1" t="s">
        <v>812</v>
      </c>
    </row>
    <row r="61" spans="1:41" ht="12" customHeight="1" x14ac:dyDescent="0.2">
      <c r="A61" s="15" t="s">
        <v>121</v>
      </c>
      <c r="B61" s="15"/>
      <c r="C61" s="15">
        <v>5064</v>
      </c>
      <c r="D61" s="15" t="s">
        <v>545</v>
      </c>
      <c r="E61" s="15" t="s">
        <v>372</v>
      </c>
      <c r="F61" s="15" t="s">
        <v>404</v>
      </c>
      <c r="G61" s="15" t="s">
        <v>428</v>
      </c>
      <c r="H61" s="15" t="s">
        <v>49</v>
      </c>
      <c r="I61" s="15" t="s">
        <v>49</v>
      </c>
      <c r="J61" s="16"/>
      <c r="K61" s="16"/>
      <c r="L61" s="16"/>
      <c r="M61" s="16"/>
      <c r="N61" s="16"/>
      <c r="O61" s="16"/>
      <c r="P61" s="16"/>
      <c r="Q61" s="16">
        <v>34861</v>
      </c>
      <c r="R61" s="16">
        <v>3486</v>
      </c>
      <c r="S61" s="16"/>
      <c r="T61" s="16">
        <v>3647</v>
      </c>
      <c r="U61" s="16"/>
      <c r="V61" s="16"/>
      <c r="W61" s="16"/>
      <c r="X61" s="16"/>
      <c r="Y61" s="16"/>
      <c r="Z61" s="16">
        <f t="shared" si="2"/>
        <v>3</v>
      </c>
      <c r="AA61" s="16" t="s">
        <v>177</v>
      </c>
      <c r="AB61" s="15" t="s">
        <v>348</v>
      </c>
      <c r="AC61" s="15" t="s">
        <v>506</v>
      </c>
      <c r="AD61" s="15" t="s">
        <v>103</v>
      </c>
      <c r="AE61" s="15" t="s">
        <v>286</v>
      </c>
      <c r="AF61" s="15"/>
      <c r="AG61" s="15" t="s">
        <v>103</v>
      </c>
      <c r="AH61" s="15"/>
      <c r="AI61" s="15" t="s">
        <v>317</v>
      </c>
      <c r="AJ61" s="15" t="s">
        <v>653</v>
      </c>
      <c r="AK61" s="15" t="s">
        <v>234</v>
      </c>
      <c r="AL61" s="18">
        <v>234890003</v>
      </c>
      <c r="AM61" s="18" t="s">
        <v>752</v>
      </c>
      <c r="AN61" s="18" t="s">
        <v>753</v>
      </c>
      <c r="AO61" s="1" t="s">
        <v>812</v>
      </c>
    </row>
    <row r="62" spans="1:41" ht="12" customHeight="1" x14ac:dyDescent="0.2">
      <c r="A62" s="15" t="s">
        <v>121</v>
      </c>
      <c r="B62" s="15"/>
      <c r="C62" s="15">
        <v>5065</v>
      </c>
      <c r="D62" s="15" t="s">
        <v>545</v>
      </c>
      <c r="E62" s="15" t="s">
        <v>290</v>
      </c>
      <c r="F62" s="15" t="s">
        <v>404</v>
      </c>
      <c r="G62" s="15" t="s">
        <v>230</v>
      </c>
      <c r="H62" s="15" t="s">
        <v>117</v>
      </c>
      <c r="I62" s="15" t="s">
        <v>117</v>
      </c>
      <c r="J62" s="16"/>
      <c r="K62" s="16"/>
      <c r="L62" s="16"/>
      <c r="M62" s="16"/>
      <c r="N62" s="16">
        <v>23506</v>
      </c>
      <c r="O62" s="16">
        <v>23506</v>
      </c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>
        <f t="shared" si="2"/>
        <v>2</v>
      </c>
      <c r="AA62" s="16" t="s">
        <v>177</v>
      </c>
      <c r="AB62" s="15" t="s">
        <v>553</v>
      </c>
      <c r="AC62" s="15" t="s">
        <v>506</v>
      </c>
      <c r="AD62" s="15" t="s">
        <v>103</v>
      </c>
      <c r="AE62" s="15" t="s">
        <v>415</v>
      </c>
      <c r="AF62" s="15"/>
      <c r="AG62" s="15" t="s">
        <v>103</v>
      </c>
      <c r="AH62" s="15"/>
      <c r="AI62" s="15" t="s">
        <v>317</v>
      </c>
      <c r="AJ62" s="15" t="s">
        <v>208</v>
      </c>
      <c r="AK62" s="15" t="s">
        <v>264</v>
      </c>
      <c r="AL62" s="18">
        <v>234890003</v>
      </c>
      <c r="AM62" s="18" t="s">
        <v>752</v>
      </c>
      <c r="AN62" s="18" t="s">
        <v>753</v>
      </c>
      <c r="AO62" s="1" t="s">
        <v>812</v>
      </c>
    </row>
    <row r="63" spans="1:41" ht="12" customHeight="1" x14ac:dyDescent="0.2">
      <c r="A63" s="15" t="s">
        <v>121</v>
      </c>
      <c r="B63" s="15"/>
      <c r="C63" s="15">
        <v>5066</v>
      </c>
      <c r="D63" s="15" t="s">
        <v>545</v>
      </c>
      <c r="E63" s="15" t="s">
        <v>290</v>
      </c>
      <c r="F63" s="15" t="s">
        <v>404</v>
      </c>
      <c r="G63" s="15" t="s">
        <v>230</v>
      </c>
      <c r="H63" s="15" t="s">
        <v>108</v>
      </c>
      <c r="I63" s="15" t="s">
        <v>108</v>
      </c>
      <c r="J63" s="16"/>
      <c r="K63" s="16"/>
      <c r="L63" s="16"/>
      <c r="M63" s="16"/>
      <c r="N63" s="16">
        <v>23507</v>
      </c>
      <c r="O63" s="16">
        <v>23507</v>
      </c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>
        <f t="shared" si="2"/>
        <v>2</v>
      </c>
      <c r="AA63" s="16" t="s">
        <v>177</v>
      </c>
      <c r="AB63" s="15" t="s">
        <v>553</v>
      </c>
      <c r="AC63" s="15" t="s">
        <v>506</v>
      </c>
      <c r="AD63" s="15" t="s">
        <v>103</v>
      </c>
      <c r="AE63" s="15" t="s">
        <v>415</v>
      </c>
      <c r="AF63" s="15"/>
      <c r="AG63" s="15" t="s">
        <v>103</v>
      </c>
      <c r="AH63" s="15"/>
      <c r="AI63" s="15" t="s">
        <v>317</v>
      </c>
      <c r="AJ63" s="15" t="s">
        <v>208</v>
      </c>
      <c r="AK63" s="15" t="s">
        <v>105</v>
      </c>
      <c r="AL63" s="18">
        <v>234647001</v>
      </c>
      <c r="AM63" s="18" t="s">
        <v>754</v>
      </c>
      <c r="AN63" s="18" t="s">
        <v>755</v>
      </c>
      <c r="AO63" s="1" t="s">
        <v>812</v>
      </c>
    </row>
    <row r="64" spans="1:41" ht="12" customHeight="1" x14ac:dyDescent="0.2">
      <c r="A64" s="15" t="s">
        <v>121</v>
      </c>
      <c r="B64" s="15"/>
      <c r="C64" s="15">
        <v>5069</v>
      </c>
      <c r="D64" s="15" t="s">
        <v>545</v>
      </c>
      <c r="E64" s="15" t="s">
        <v>147</v>
      </c>
      <c r="F64" s="15" t="s">
        <v>147</v>
      </c>
      <c r="G64" s="15" t="s">
        <v>111</v>
      </c>
      <c r="H64" s="15" t="s">
        <v>584</v>
      </c>
      <c r="I64" s="15" t="s">
        <v>584</v>
      </c>
      <c r="J64" s="16">
        <v>25462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>
        <f t="shared" ref="Z64:Z125" si="3">COUNTA(J64:Y64)</f>
        <v>1</v>
      </c>
      <c r="AA64" s="16" t="s">
        <v>26</v>
      </c>
      <c r="AB64" s="15" t="s">
        <v>374</v>
      </c>
      <c r="AC64" s="15"/>
      <c r="AD64" s="15" t="s">
        <v>103</v>
      </c>
      <c r="AE64" s="15" t="s">
        <v>147</v>
      </c>
      <c r="AF64" s="15"/>
      <c r="AG64" s="15" t="s">
        <v>103</v>
      </c>
      <c r="AH64" s="15"/>
      <c r="AI64" s="15" t="s">
        <v>504</v>
      </c>
      <c r="AJ64" s="15" t="s">
        <v>661</v>
      </c>
      <c r="AK64" s="15" t="s">
        <v>220</v>
      </c>
      <c r="AL64" s="18">
        <v>444124004</v>
      </c>
      <c r="AM64" s="18" t="s">
        <v>756</v>
      </c>
      <c r="AN64" s="18" t="s">
        <v>757</v>
      </c>
      <c r="AO64" s="1" t="s">
        <v>812</v>
      </c>
    </row>
    <row r="65" spans="1:41" ht="12" customHeight="1" x14ac:dyDescent="0.2">
      <c r="A65" s="15" t="s">
        <v>121</v>
      </c>
      <c r="B65" s="15"/>
      <c r="C65" s="15">
        <v>5070</v>
      </c>
      <c r="D65" s="15" t="s">
        <v>545</v>
      </c>
      <c r="E65" s="15" t="s">
        <v>147</v>
      </c>
      <c r="F65" s="15" t="s">
        <v>147</v>
      </c>
      <c r="G65" s="15" t="s">
        <v>302</v>
      </c>
      <c r="H65" s="15" t="s">
        <v>502</v>
      </c>
      <c r="I65" s="15" t="s">
        <v>502</v>
      </c>
      <c r="J65" s="16"/>
      <c r="K65" s="16"/>
      <c r="L65" s="16"/>
      <c r="M65" s="16"/>
      <c r="N65" s="16"/>
      <c r="O65" s="16"/>
      <c r="P65" s="16"/>
      <c r="Q65" s="16">
        <v>32123</v>
      </c>
      <c r="R65" s="16">
        <v>1842</v>
      </c>
      <c r="S65" s="16"/>
      <c r="T65" s="16">
        <v>1746</v>
      </c>
      <c r="U65" s="16"/>
      <c r="V65" s="16"/>
      <c r="W65" s="16"/>
      <c r="X65" s="16"/>
      <c r="Y65" s="16"/>
      <c r="Z65" s="16">
        <f t="shared" si="3"/>
        <v>3</v>
      </c>
      <c r="AA65" s="16" t="s">
        <v>177</v>
      </c>
      <c r="AB65" s="15" t="s">
        <v>335</v>
      </c>
      <c r="AC65" s="15"/>
      <c r="AD65" s="15" t="s">
        <v>103</v>
      </c>
      <c r="AE65" s="15" t="s">
        <v>147</v>
      </c>
      <c r="AF65" s="15"/>
      <c r="AG65" s="15" t="s">
        <v>103</v>
      </c>
      <c r="AH65" s="15"/>
      <c r="AI65" s="15" t="s">
        <v>504</v>
      </c>
      <c r="AJ65" s="15" t="s">
        <v>661</v>
      </c>
      <c r="AK65" s="15" t="s">
        <v>310</v>
      </c>
      <c r="AL65" s="18">
        <v>444124004</v>
      </c>
      <c r="AM65" s="18" t="s">
        <v>756</v>
      </c>
      <c r="AN65" s="18" t="s">
        <v>757</v>
      </c>
      <c r="AO65" s="1" t="s">
        <v>812</v>
      </c>
    </row>
    <row r="66" spans="1:41" ht="12" customHeight="1" x14ac:dyDescent="0.2">
      <c r="A66" s="15" t="s">
        <v>121</v>
      </c>
      <c r="B66" s="15"/>
      <c r="C66" s="15">
        <v>5071</v>
      </c>
      <c r="D66" s="15" t="s">
        <v>545</v>
      </c>
      <c r="E66" s="15" t="s">
        <v>147</v>
      </c>
      <c r="F66" s="15" t="s">
        <v>147</v>
      </c>
      <c r="G66" s="15" t="s">
        <v>302</v>
      </c>
      <c r="H66" s="15" t="s">
        <v>466</v>
      </c>
      <c r="I66" s="15" t="s">
        <v>466</v>
      </c>
      <c r="J66" s="16"/>
      <c r="K66" s="16"/>
      <c r="L66" s="16"/>
      <c r="M66" s="16"/>
      <c r="N66" s="16"/>
      <c r="O66" s="16"/>
      <c r="P66" s="16"/>
      <c r="Q66" s="16">
        <v>32124</v>
      </c>
      <c r="R66" s="16">
        <v>1698</v>
      </c>
      <c r="S66" s="16"/>
      <c r="T66" s="16">
        <v>1747</v>
      </c>
      <c r="U66" s="16"/>
      <c r="V66" s="16"/>
      <c r="W66" s="16"/>
      <c r="X66" s="16"/>
      <c r="Y66" s="16"/>
      <c r="Z66" s="16">
        <f t="shared" si="3"/>
        <v>3</v>
      </c>
      <c r="AA66" s="16" t="s">
        <v>177</v>
      </c>
      <c r="AB66" s="15" t="s">
        <v>335</v>
      </c>
      <c r="AC66" s="15"/>
      <c r="AD66" s="15" t="s">
        <v>103</v>
      </c>
      <c r="AE66" s="15" t="s">
        <v>147</v>
      </c>
      <c r="AF66" s="15"/>
      <c r="AG66" s="15" t="s">
        <v>103</v>
      </c>
      <c r="AH66" s="15"/>
      <c r="AI66" s="15" t="s">
        <v>504</v>
      </c>
      <c r="AJ66" s="15" t="s">
        <v>661</v>
      </c>
      <c r="AK66" s="15" t="s">
        <v>132</v>
      </c>
      <c r="AL66" s="18">
        <v>444124004</v>
      </c>
      <c r="AM66" s="18" t="s">
        <v>756</v>
      </c>
      <c r="AN66" s="18" t="s">
        <v>757</v>
      </c>
      <c r="AO66" s="1" t="s">
        <v>812</v>
      </c>
    </row>
    <row r="67" spans="1:41" ht="12" customHeight="1" x14ac:dyDescent="0.2">
      <c r="A67" s="15" t="s">
        <v>121</v>
      </c>
      <c r="B67" s="15"/>
      <c r="C67" s="15">
        <v>5072</v>
      </c>
      <c r="D67" s="15" t="s">
        <v>545</v>
      </c>
      <c r="E67" s="15" t="s">
        <v>147</v>
      </c>
      <c r="F67" s="15" t="s">
        <v>147</v>
      </c>
      <c r="G67" s="15" t="s">
        <v>302</v>
      </c>
      <c r="H67" s="15" t="s">
        <v>55</v>
      </c>
      <c r="I67" s="15" t="s">
        <v>55</v>
      </c>
      <c r="J67" s="16"/>
      <c r="K67" s="16"/>
      <c r="L67" s="16"/>
      <c r="M67" s="16"/>
      <c r="N67" s="16"/>
      <c r="O67" s="16"/>
      <c r="P67" s="16"/>
      <c r="Q67" s="16">
        <v>28836</v>
      </c>
      <c r="R67" s="16">
        <v>1926</v>
      </c>
      <c r="S67" s="16"/>
      <c r="T67" s="16"/>
      <c r="U67" s="16"/>
      <c r="V67" s="16"/>
      <c r="W67" s="16"/>
      <c r="X67" s="16"/>
      <c r="Y67" s="16"/>
      <c r="Z67" s="16">
        <f t="shared" si="3"/>
        <v>2</v>
      </c>
      <c r="AA67" s="16" t="s">
        <v>177</v>
      </c>
      <c r="AB67" s="15" t="s">
        <v>335</v>
      </c>
      <c r="AC67" s="15"/>
      <c r="AD67" s="15" t="s">
        <v>103</v>
      </c>
      <c r="AE67" s="15" t="s">
        <v>147</v>
      </c>
      <c r="AF67" s="15"/>
      <c r="AG67" s="15" t="s">
        <v>103</v>
      </c>
      <c r="AH67" s="15"/>
      <c r="AI67" s="15" t="s">
        <v>504</v>
      </c>
      <c r="AJ67" s="15" t="s">
        <v>661</v>
      </c>
      <c r="AK67" s="15" t="s">
        <v>567</v>
      </c>
      <c r="AL67" s="18">
        <v>444124004</v>
      </c>
      <c r="AM67" s="18" t="s">
        <v>756</v>
      </c>
      <c r="AN67" s="18" t="s">
        <v>757</v>
      </c>
      <c r="AO67" s="1" t="s">
        <v>812</v>
      </c>
    </row>
    <row r="68" spans="1:41" ht="12" customHeight="1" x14ac:dyDescent="0.2">
      <c r="A68" s="15" t="s">
        <v>121</v>
      </c>
      <c r="B68" s="15"/>
      <c r="C68" s="15">
        <v>5073</v>
      </c>
      <c r="D68" s="15" t="s">
        <v>545</v>
      </c>
      <c r="E68" s="15" t="s">
        <v>147</v>
      </c>
      <c r="F68" s="15" t="s">
        <v>147</v>
      </c>
      <c r="G68" s="15" t="s">
        <v>302</v>
      </c>
      <c r="H68" s="15" t="s">
        <v>56</v>
      </c>
      <c r="I68" s="15" t="s">
        <v>56</v>
      </c>
      <c r="J68" s="16"/>
      <c r="K68" s="16"/>
      <c r="L68" s="16"/>
      <c r="M68" s="16"/>
      <c r="N68" s="16"/>
      <c r="O68" s="16"/>
      <c r="P68" s="16"/>
      <c r="Q68" s="16">
        <v>28835</v>
      </c>
      <c r="R68" s="16">
        <v>1927</v>
      </c>
      <c r="S68" s="16"/>
      <c r="T68" s="16"/>
      <c r="U68" s="16"/>
      <c r="V68" s="16"/>
      <c r="W68" s="16"/>
      <c r="X68" s="16"/>
      <c r="Y68" s="16"/>
      <c r="Z68" s="16">
        <f t="shared" si="3"/>
        <v>2</v>
      </c>
      <c r="AA68" s="16" t="s">
        <v>177</v>
      </c>
      <c r="AB68" s="15" t="s">
        <v>335</v>
      </c>
      <c r="AC68" s="15"/>
      <c r="AD68" s="15" t="s">
        <v>103</v>
      </c>
      <c r="AE68" s="15" t="s">
        <v>147</v>
      </c>
      <c r="AF68" s="15"/>
      <c r="AG68" s="15" t="s">
        <v>103</v>
      </c>
      <c r="AH68" s="15"/>
      <c r="AI68" s="15" t="s">
        <v>504</v>
      </c>
      <c r="AJ68" s="15" t="s">
        <v>661</v>
      </c>
      <c r="AK68" s="15" t="s">
        <v>511</v>
      </c>
      <c r="AL68" s="18">
        <v>444124004</v>
      </c>
      <c r="AM68" s="18" t="s">
        <v>756</v>
      </c>
      <c r="AN68" s="18" t="s">
        <v>757</v>
      </c>
      <c r="AO68" s="1" t="s">
        <v>812</v>
      </c>
    </row>
    <row r="69" spans="1:41" ht="12" customHeight="1" x14ac:dyDescent="0.2">
      <c r="A69" s="15" t="s">
        <v>121</v>
      </c>
      <c r="B69" s="15"/>
      <c r="C69" s="15">
        <v>5074</v>
      </c>
      <c r="D69" s="15" t="s">
        <v>545</v>
      </c>
      <c r="E69" s="15" t="s">
        <v>147</v>
      </c>
      <c r="F69" s="15" t="s">
        <v>147</v>
      </c>
      <c r="G69" s="15" t="s">
        <v>302</v>
      </c>
      <c r="H69" s="15" t="s">
        <v>446</v>
      </c>
      <c r="I69" s="15" t="s">
        <v>446</v>
      </c>
      <c r="J69" s="16"/>
      <c r="K69" s="16"/>
      <c r="L69" s="16"/>
      <c r="M69" s="16"/>
      <c r="N69" s="16"/>
      <c r="O69" s="16"/>
      <c r="P69" s="16"/>
      <c r="Q69" s="16">
        <v>28701</v>
      </c>
      <c r="R69" s="16">
        <v>1910</v>
      </c>
      <c r="S69" s="16"/>
      <c r="T69" s="16"/>
      <c r="U69" s="16"/>
      <c r="V69" s="16"/>
      <c r="W69" s="16"/>
      <c r="X69" s="16"/>
      <c r="Y69" s="16"/>
      <c r="Z69" s="16">
        <f t="shared" si="3"/>
        <v>2</v>
      </c>
      <c r="AA69" s="16" t="s">
        <v>177</v>
      </c>
      <c r="AB69" s="15" t="s">
        <v>335</v>
      </c>
      <c r="AC69" s="15"/>
      <c r="AD69" s="15" t="s">
        <v>103</v>
      </c>
      <c r="AE69" s="15" t="s">
        <v>147</v>
      </c>
      <c r="AF69" s="15"/>
      <c r="AG69" s="15" t="s">
        <v>103</v>
      </c>
      <c r="AH69" s="15"/>
      <c r="AI69" s="15" t="s">
        <v>504</v>
      </c>
      <c r="AJ69" s="15" t="s">
        <v>661</v>
      </c>
      <c r="AK69" s="15" t="s">
        <v>189</v>
      </c>
      <c r="AL69" s="18">
        <v>444124004</v>
      </c>
      <c r="AM69" s="18" t="s">
        <v>756</v>
      </c>
      <c r="AN69" s="18" t="s">
        <v>757</v>
      </c>
      <c r="AO69" s="1" t="s">
        <v>812</v>
      </c>
    </row>
    <row r="70" spans="1:41" ht="12" customHeight="1" x14ac:dyDescent="0.2">
      <c r="A70" s="15" t="s">
        <v>121</v>
      </c>
      <c r="B70" s="15"/>
      <c r="C70" s="15">
        <v>5075</v>
      </c>
      <c r="D70" s="15" t="s">
        <v>545</v>
      </c>
      <c r="E70" s="15" t="s">
        <v>147</v>
      </c>
      <c r="F70" s="15" t="s">
        <v>147</v>
      </c>
      <c r="G70" s="15" t="s">
        <v>302</v>
      </c>
      <c r="H70" s="15" t="s">
        <v>52</v>
      </c>
      <c r="I70" s="15" t="s">
        <v>52</v>
      </c>
      <c r="J70" s="16"/>
      <c r="K70" s="16"/>
      <c r="L70" s="16"/>
      <c r="M70" s="16"/>
      <c r="N70" s="16"/>
      <c r="O70" s="16"/>
      <c r="P70" s="16"/>
      <c r="Q70" s="16">
        <v>28702</v>
      </c>
      <c r="R70" s="16">
        <v>1928</v>
      </c>
      <c r="S70" s="16"/>
      <c r="T70" s="16"/>
      <c r="U70" s="16"/>
      <c r="V70" s="16"/>
      <c r="W70" s="16"/>
      <c r="X70" s="16"/>
      <c r="Y70" s="16"/>
      <c r="Z70" s="16">
        <f t="shared" si="3"/>
        <v>2</v>
      </c>
      <c r="AA70" s="16" t="s">
        <v>177</v>
      </c>
      <c r="AB70" s="15" t="s">
        <v>335</v>
      </c>
      <c r="AC70" s="15"/>
      <c r="AD70" s="15" t="s">
        <v>103</v>
      </c>
      <c r="AE70" s="15" t="s">
        <v>147</v>
      </c>
      <c r="AF70" s="15"/>
      <c r="AG70" s="15" t="s">
        <v>103</v>
      </c>
      <c r="AH70" s="15"/>
      <c r="AI70" s="15" t="s">
        <v>504</v>
      </c>
      <c r="AJ70" s="15" t="s">
        <v>661</v>
      </c>
      <c r="AK70" s="15" t="s">
        <v>213</v>
      </c>
      <c r="AL70" s="18">
        <v>444124004</v>
      </c>
      <c r="AM70" s="18" t="s">
        <v>756</v>
      </c>
      <c r="AN70" s="18" t="s">
        <v>757</v>
      </c>
      <c r="AO70" s="1" t="s">
        <v>812</v>
      </c>
    </row>
    <row r="71" spans="1:41" ht="12" customHeight="1" x14ac:dyDescent="0.2">
      <c r="A71" s="15" t="s">
        <v>121</v>
      </c>
      <c r="B71" s="15"/>
      <c r="C71" s="15">
        <v>5076</v>
      </c>
      <c r="D71" s="15" t="s">
        <v>545</v>
      </c>
      <c r="E71" s="15" t="s">
        <v>147</v>
      </c>
      <c r="F71" s="15" t="s">
        <v>147</v>
      </c>
      <c r="G71" s="15" t="s">
        <v>302</v>
      </c>
      <c r="H71" s="15" t="s">
        <v>498</v>
      </c>
      <c r="I71" s="15" t="s">
        <v>498</v>
      </c>
      <c r="J71" s="16"/>
      <c r="K71" s="16"/>
      <c r="L71" s="16"/>
      <c r="M71" s="16"/>
      <c r="N71" s="16"/>
      <c r="O71" s="16"/>
      <c r="P71" s="16"/>
      <c r="Q71" s="16">
        <v>28703</v>
      </c>
      <c r="R71" s="16">
        <v>1879</v>
      </c>
      <c r="S71" s="16"/>
      <c r="T71" s="16"/>
      <c r="U71" s="16"/>
      <c r="V71" s="16"/>
      <c r="W71" s="16"/>
      <c r="X71" s="16"/>
      <c r="Y71" s="16"/>
      <c r="Z71" s="16">
        <f t="shared" si="3"/>
        <v>2</v>
      </c>
      <c r="AA71" s="16" t="s">
        <v>177</v>
      </c>
      <c r="AB71" s="15" t="s">
        <v>335</v>
      </c>
      <c r="AC71" s="15"/>
      <c r="AD71" s="15" t="s">
        <v>103</v>
      </c>
      <c r="AE71" s="15" t="s">
        <v>147</v>
      </c>
      <c r="AF71" s="15"/>
      <c r="AG71" s="15" t="s">
        <v>103</v>
      </c>
      <c r="AH71" s="15"/>
      <c r="AI71" s="15" t="s">
        <v>504</v>
      </c>
      <c r="AJ71" s="15" t="s">
        <v>661</v>
      </c>
      <c r="AK71" s="15" t="s">
        <v>632</v>
      </c>
      <c r="AL71" s="18">
        <v>444124004</v>
      </c>
      <c r="AM71" s="18" t="s">
        <v>756</v>
      </c>
      <c r="AN71" s="18" t="s">
        <v>757</v>
      </c>
      <c r="AO71" s="1" t="s">
        <v>812</v>
      </c>
    </row>
    <row r="72" spans="1:41" ht="12" customHeight="1" x14ac:dyDescent="0.2">
      <c r="A72" s="15" t="s">
        <v>121</v>
      </c>
      <c r="B72" s="15"/>
      <c r="C72" s="15">
        <v>5077</v>
      </c>
      <c r="D72" s="15" t="s">
        <v>545</v>
      </c>
      <c r="E72" s="15" t="s">
        <v>147</v>
      </c>
      <c r="F72" s="15" t="s">
        <v>147</v>
      </c>
      <c r="G72" s="15" t="s">
        <v>302</v>
      </c>
      <c r="H72" s="15" t="s">
        <v>633</v>
      </c>
      <c r="I72" s="15" t="s">
        <v>633</v>
      </c>
      <c r="J72" s="16"/>
      <c r="K72" s="16"/>
      <c r="L72" s="16"/>
      <c r="M72" s="16"/>
      <c r="N72" s="16"/>
      <c r="O72" s="16"/>
      <c r="P72" s="16"/>
      <c r="Q72" s="16">
        <v>28705</v>
      </c>
      <c r="R72" s="16">
        <v>1960</v>
      </c>
      <c r="S72" s="16"/>
      <c r="T72" s="16"/>
      <c r="U72" s="16"/>
      <c r="V72" s="16"/>
      <c r="W72" s="16"/>
      <c r="X72" s="16"/>
      <c r="Y72" s="16"/>
      <c r="Z72" s="16">
        <f t="shared" si="3"/>
        <v>2</v>
      </c>
      <c r="AA72" s="16" t="s">
        <v>177</v>
      </c>
      <c r="AB72" s="15" t="s">
        <v>335</v>
      </c>
      <c r="AC72" s="15"/>
      <c r="AD72" s="15" t="s">
        <v>103</v>
      </c>
      <c r="AE72" s="15" t="s">
        <v>147</v>
      </c>
      <c r="AF72" s="15"/>
      <c r="AG72" s="15" t="s">
        <v>103</v>
      </c>
      <c r="AH72" s="15"/>
      <c r="AI72" s="15" t="s">
        <v>504</v>
      </c>
      <c r="AJ72" s="15" t="s">
        <v>661</v>
      </c>
      <c r="AK72" s="15" t="s">
        <v>450</v>
      </c>
      <c r="AL72" s="18">
        <v>444124004</v>
      </c>
      <c r="AM72" s="18" t="s">
        <v>756</v>
      </c>
      <c r="AN72" s="18" t="s">
        <v>757</v>
      </c>
      <c r="AO72" s="1" t="s">
        <v>812</v>
      </c>
    </row>
    <row r="73" spans="1:41" ht="12" customHeight="1" x14ac:dyDescent="0.2">
      <c r="A73" s="15" t="s">
        <v>121</v>
      </c>
      <c r="B73" s="15"/>
      <c r="C73" s="15">
        <v>5078</v>
      </c>
      <c r="D73" s="15" t="s">
        <v>545</v>
      </c>
      <c r="E73" s="15" t="s">
        <v>147</v>
      </c>
      <c r="F73" s="15" t="s">
        <v>147</v>
      </c>
      <c r="G73" s="15" t="s">
        <v>302</v>
      </c>
      <c r="H73" s="15" t="s">
        <v>501</v>
      </c>
      <c r="I73" s="15" t="s">
        <v>501</v>
      </c>
      <c r="J73" s="16"/>
      <c r="K73" s="16"/>
      <c r="L73" s="16"/>
      <c r="M73" s="16"/>
      <c r="N73" s="16"/>
      <c r="O73" s="16"/>
      <c r="P73" s="16"/>
      <c r="Q73" s="16">
        <v>32125</v>
      </c>
      <c r="R73" s="16">
        <v>1843</v>
      </c>
      <c r="S73" s="16"/>
      <c r="T73" s="16">
        <v>1748</v>
      </c>
      <c r="U73" s="16"/>
      <c r="V73" s="16"/>
      <c r="W73" s="16"/>
      <c r="X73" s="16"/>
      <c r="Y73" s="16"/>
      <c r="Z73" s="16">
        <f t="shared" si="3"/>
        <v>3</v>
      </c>
      <c r="AA73" s="16" t="s">
        <v>177</v>
      </c>
      <c r="AB73" s="15" t="s">
        <v>335</v>
      </c>
      <c r="AC73" s="15"/>
      <c r="AD73" s="15" t="s">
        <v>103</v>
      </c>
      <c r="AE73" s="15" t="s">
        <v>147</v>
      </c>
      <c r="AF73" s="15"/>
      <c r="AG73" s="15" t="s">
        <v>103</v>
      </c>
      <c r="AH73" s="15"/>
      <c r="AI73" s="15" t="s">
        <v>504</v>
      </c>
      <c r="AJ73" s="15" t="s">
        <v>661</v>
      </c>
      <c r="AK73" s="15" t="s">
        <v>258</v>
      </c>
      <c r="AL73" s="18">
        <v>444124004</v>
      </c>
      <c r="AM73" s="18" t="s">
        <v>756</v>
      </c>
      <c r="AN73" s="18" t="s">
        <v>757</v>
      </c>
      <c r="AO73" s="1" t="s">
        <v>812</v>
      </c>
    </row>
    <row r="74" spans="1:41" ht="12" customHeight="1" x14ac:dyDescent="0.2">
      <c r="A74" s="15" t="s">
        <v>121</v>
      </c>
      <c r="B74" s="15"/>
      <c r="C74" s="15">
        <v>5079</v>
      </c>
      <c r="D74" s="15" t="s">
        <v>545</v>
      </c>
      <c r="E74" s="15" t="s">
        <v>372</v>
      </c>
      <c r="F74" s="15" t="s">
        <v>247</v>
      </c>
      <c r="G74" s="15" t="s">
        <v>18</v>
      </c>
      <c r="H74" s="15" t="s">
        <v>373</v>
      </c>
      <c r="I74" s="15" t="s">
        <v>373</v>
      </c>
      <c r="J74" s="16"/>
      <c r="K74" s="16">
        <v>521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>
        <f t="shared" si="3"/>
        <v>1</v>
      </c>
      <c r="AA74" s="16" t="s">
        <v>26</v>
      </c>
      <c r="AB74" s="15" t="s">
        <v>521</v>
      </c>
      <c r="AC74" s="15" t="s">
        <v>506</v>
      </c>
      <c r="AD74" s="15" t="s">
        <v>103</v>
      </c>
      <c r="AE74" s="15" t="s">
        <v>602</v>
      </c>
      <c r="AF74" s="15"/>
      <c r="AG74" s="15" t="s">
        <v>103</v>
      </c>
      <c r="AH74" s="15"/>
      <c r="AI74" s="15" t="s">
        <v>81</v>
      </c>
      <c r="AJ74" s="15" t="s">
        <v>298</v>
      </c>
      <c r="AK74" s="15" t="s">
        <v>662</v>
      </c>
      <c r="AL74" s="18">
        <v>19997007</v>
      </c>
      <c r="AM74" s="18" t="s">
        <v>758</v>
      </c>
      <c r="AN74" s="18" t="s">
        <v>759</v>
      </c>
      <c r="AO74" s="1" t="s">
        <v>812</v>
      </c>
    </row>
    <row r="75" spans="1:41" ht="12" customHeight="1" x14ac:dyDescent="0.2">
      <c r="A75" s="15" t="s">
        <v>121</v>
      </c>
      <c r="B75" s="15"/>
      <c r="C75" s="15">
        <v>5080</v>
      </c>
      <c r="D75" s="15" t="s">
        <v>545</v>
      </c>
      <c r="E75" s="15" t="s">
        <v>325</v>
      </c>
      <c r="F75" s="15" t="s">
        <v>325</v>
      </c>
      <c r="G75" s="15" t="s">
        <v>325</v>
      </c>
      <c r="H75" s="15" t="s">
        <v>17</v>
      </c>
      <c r="I75" s="15" t="s">
        <v>17</v>
      </c>
      <c r="J75" s="16">
        <v>18308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>
        <f t="shared" si="3"/>
        <v>1</v>
      </c>
      <c r="AA75" s="16" t="s">
        <v>26</v>
      </c>
      <c r="AB75" s="15" t="s">
        <v>156</v>
      </c>
      <c r="AC75" s="15" t="s">
        <v>630</v>
      </c>
      <c r="AD75" s="15" t="s">
        <v>103</v>
      </c>
      <c r="AE75" s="15" t="s">
        <v>325</v>
      </c>
      <c r="AF75" s="15"/>
      <c r="AG75" s="15" t="s">
        <v>103</v>
      </c>
      <c r="AH75" s="15"/>
      <c r="AI75" s="15" t="s">
        <v>245</v>
      </c>
      <c r="AJ75" s="15" t="s">
        <v>217</v>
      </c>
      <c r="AK75" s="15" t="s">
        <v>565</v>
      </c>
      <c r="AL75" s="18">
        <v>409063005</v>
      </c>
      <c r="AM75" s="18" t="s">
        <v>760</v>
      </c>
      <c r="AN75" s="18" t="s">
        <v>761</v>
      </c>
      <c r="AO75" s="1" t="s">
        <v>812</v>
      </c>
    </row>
    <row r="76" spans="1:41" ht="12" customHeight="1" x14ac:dyDescent="0.2">
      <c r="A76" s="15" t="s">
        <v>121</v>
      </c>
      <c r="B76" s="15"/>
      <c r="C76" s="15">
        <v>5081</v>
      </c>
      <c r="D76" s="15" t="s">
        <v>545</v>
      </c>
      <c r="E76" s="15" t="s">
        <v>325</v>
      </c>
      <c r="F76" s="15" t="s">
        <v>325</v>
      </c>
      <c r="G76" s="15" t="s">
        <v>325</v>
      </c>
      <c r="H76" s="15" t="s">
        <v>16</v>
      </c>
      <c r="I76" s="15" t="s">
        <v>16</v>
      </c>
      <c r="J76" s="16">
        <v>11433</v>
      </c>
      <c r="K76" s="16"/>
      <c r="L76" s="16">
        <v>11433</v>
      </c>
      <c r="M76" s="16"/>
      <c r="N76" s="16"/>
      <c r="O76" s="16"/>
      <c r="P76" s="16"/>
      <c r="Q76" s="16"/>
      <c r="R76" s="16"/>
      <c r="S76" s="16"/>
      <c r="T76" s="16"/>
      <c r="U76" s="16"/>
      <c r="V76" s="16" t="s">
        <v>399</v>
      </c>
      <c r="W76" s="16"/>
      <c r="X76" s="16"/>
      <c r="Y76" s="16"/>
      <c r="Z76" s="16">
        <f t="shared" si="3"/>
        <v>3</v>
      </c>
      <c r="AA76" s="16" t="s">
        <v>177</v>
      </c>
      <c r="AB76" s="15" t="s">
        <v>325</v>
      </c>
      <c r="AC76" s="15" t="s">
        <v>506</v>
      </c>
      <c r="AD76" s="15" t="s">
        <v>103</v>
      </c>
      <c r="AE76" s="15" t="s">
        <v>325</v>
      </c>
      <c r="AF76" s="15"/>
      <c r="AG76" s="15" t="s">
        <v>103</v>
      </c>
      <c r="AH76" s="15"/>
      <c r="AI76" s="15" t="s">
        <v>245</v>
      </c>
      <c r="AJ76" s="15" t="s">
        <v>217</v>
      </c>
      <c r="AK76" s="15" t="s">
        <v>325</v>
      </c>
      <c r="AL76" s="18">
        <v>700435004</v>
      </c>
      <c r="AM76" s="18" t="s">
        <v>762</v>
      </c>
      <c r="AN76" s="18" t="s">
        <v>763</v>
      </c>
      <c r="AO76" s="1" t="s">
        <v>812</v>
      </c>
    </row>
    <row r="77" spans="1:41" ht="12" customHeight="1" x14ac:dyDescent="0.2">
      <c r="A77" s="15" t="s">
        <v>121</v>
      </c>
      <c r="B77" s="15"/>
      <c r="C77" s="15">
        <v>5082</v>
      </c>
      <c r="D77" s="15" t="s">
        <v>545</v>
      </c>
      <c r="E77" s="15" t="s">
        <v>372</v>
      </c>
      <c r="F77" s="15" t="s">
        <v>489</v>
      </c>
      <c r="G77" s="15" t="s">
        <v>610</v>
      </c>
      <c r="H77" s="15" t="s">
        <v>45</v>
      </c>
      <c r="I77" s="15" t="s">
        <v>45</v>
      </c>
      <c r="J77" s="16">
        <v>25974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>
        <f t="shared" si="3"/>
        <v>1</v>
      </c>
      <c r="AA77" s="16" t="s">
        <v>26</v>
      </c>
      <c r="AB77" s="15" t="s">
        <v>181</v>
      </c>
      <c r="AC77" s="15" t="s">
        <v>136</v>
      </c>
      <c r="AD77" s="15" t="s">
        <v>449</v>
      </c>
      <c r="AE77" s="15" t="s">
        <v>602</v>
      </c>
      <c r="AF77" s="15"/>
      <c r="AG77" s="15" t="s">
        <v>103</v>
      </c>
      <c r="AH77" s="15"/>
      <c r="AI77" s="15" t="s">
        <v>317</v>
      </c>
      <c r="AJ77" s="15" t="s">
        <v>298</v>
      </c>
      <c r="AK77" s="15" t="s">
        <v>99</v>
      </c>
      <c r="AL77" s="18">
        <v>47909001</v>
      </c>
      <c r="AM77" s="18" t="s">
        <v>764</v>
      </c>
      <c r="AN77" s="18" t="s">
        <v>765</v>
      </c>
      <c r="AO77" s="1" t="s">
        <v>812</v>
      </c>
    </row>
    <row r="78" spans="1:41" ht="12" customHeight="1" x14ac:dyDescent="0.2">
      <c r="A78" s="15" t="s">
        <v>121</v>
      </c>
      <c r="B78" s="15"/>
      <c r="C78" s="15">
        <v>5083</v>
      </c>
      <c r="D78" s="15" t="s">
        <v>545</v>
      </c>
      <c r="E78" s="15" t="s">
        <v>372</v>
      </c>
      <c r="F78" s="15" t="s">
        <v>489</v>
      </c>
      <c r="G78" s="15" t="s">
        <v>610</v>
      </c>
      <c r="H78" s="15" t="s">
        <v>417</v>
      </c>
      <c r="I78" s="15" t="s">
        <v>417</v>
      </c>
      <c r="J78" s="16">
        <v>25975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>
        <f t="shared" si="3"/>
        <v>1</v>
      </c>
      <c r="AA78" s="16" t="s">
        <v>26</v>
      </c>
      <c r="AB78" s="15" t="s">
        <v>181</v>
      </c>
      <c r="AC78" s="15" t="s">
        <v>136</v>
      </c>
      <c r="AD78" s="15" t="s">
        <v>449</v>
      </c>
      <c r="AE78" s="15" t="s">
        <v>602</v>
      </c>
      <c r="AF78" s="15"/>
      <c r="AG78" s="15" t="s">
        <v>103</v>
      </c>
      <c r="AH78" s="15"/>
      <c r="AI78" s="15" t="s">
        <v>317</v>
      </c>
      <c r="AJ78" s="15" t="s">
        <v>298</v>
      </c>
      <c r="AK78" s="15" t="s">
        <v>69</v>
      </c>
      <c r="AL78" s="18">
        <v>47909001</v>
      </c>
      <c r="AM78" s="18" t="s">
        <v>764</v>
      </c>
      <c r="AN78" s="18" t="s">
        <v>765</v>
      </c>
      <c r="AO78" s="1" t="s">
        <v>812</v>
      </c>
    </row>
    <row r="79" spans="1:41" ht="12" customHeight="1" x14ac:dyDescent="0.2">
      <c r="A79" s="15" t="s">
        <v>121</v>
      </c>
      <c r="B79" s="15"/>
      <c r="C79" s="15">
        <v>5084</v>
      </c>
      <c r="D79" s="15" t="s">
        <v>545</v>
      </c>
      <c r="E79" s="15" t="s">
        <v>372</v>
      </c>
      <c r="F79" s="15" t="s">
        <v>489</v>
      </c>
      <c r="G79" s="15" t="s">
        <v>273</v>
      </c>
      <c r="H79" s="15" t="s">
        <v>2</v>
      </c>
      <c r="I79" s="15" t="s">
        <v>2</v>
      </c>
      <c r="J79" s="16"/>
      <c r="K79" s="16"/>
      <c r="L79" s="16"/>
      <c r="M79" s="16"/>
      <c r="N79" s="16">
        <v>29576</v>
      </c>
      <c r="O79" s="16">
        <v>29576</v>
      </c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>
        <f t="shared" si="3"/>
        <v>2</v>
      </c>
      <c r="AA79" s="16" t="s">
        <v>177</v>
      </c>
      <c r="AB79" s="15" t="s">
        <v>322</v>
      </c>
      <c r="AC79" s="15"/>
      <c r="AD79" s="15" t="s">
        <v>103</v>
      </c>
      <c r="AE79" s="15" t="s">
        <v>602</v>
      </c>
      <c r="AF79" s="15"/>
      <c r="AG79" s="15" t="s">
        <v>103</v>
      </c>
      <c r="AH79" s="15"/>
      <c r="AI79" s="15" t="s">
        <v>317</v>
      </c>
      <c r="AJ79" s="15" t="s">
        <v>298</v>
      </c>
      <c r="AK79" s="15" t="s">
        <v>322</v>
      </c>
      <c r="AL79" s="18">
        <v>465723002</v>
      </c>
      <c r="AM79" s="18" t="s">
        <v>766</v>
      </c>
      <c r="AN79" s="18" t="s">
        <v>767</v>
      </c>
      <c r="AO79" s="1" t="s">
        <v>812</v>
      </c>
    </row>
    <row r="80" spans="1:41" ht="12" customHeight="1" x14ac:dyDescent="0.2">
      <c r="A80" s="15" t="s">
        <v>121</v>
      </c>
      <c r="B80" s="15"/>
      <c r="C80" s="15">
        <v>5085</v>
      </c>
      <c r="D80" s="15" t="s">
        <v>545</v>
      </c>
      <c r="E80" s="15" t="s">
        <v>372</v>
      </c>
      <c r="F80" s="15" t="s">
        <v>85</v>
      </c>
      <c r="G80" s="15" t="s">
        <v>413</v>
      </c>
      <c r="H80" s="15" t="s">
        <v>301</v>
      </c>
      <c r="I80" s="15" t="s">
        <v>301</v>
      </c>
      <c r="J80" s="16">
        <v>25649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>
        <f t="shared" si="3"/>
        <v>1</v>
      </c>
      <c r="AA80" s="16" t="s">
        <v>26</v>
      </c>
      <c r="AB80" s="15" t="s">
        <v>659</v>
      </c>
      <c r="AC80" s="15"/>
      <c r="AD80" s="15" t="s">
        <v>103</v>
      </c>
      <c r="AE80" s="15" t="s">
        <v>354</v>
      </c>
      <c r="AF80" s="15"/>
      <c r="AG80" s="15" t="s">
        <v>103</v>
      </c>
      <c r="AH80" s="15"/>
      <c r="AI80" s="15" t="s">
        <v>113</v>
      </c>
      <c r="AJ80" s="15" t="s">
        <v>298</v>
      </c>
      <c r="AK80" s="15" t="s">
        <v>676</v>
      </c>
      <c r="AL80" s="18">
        <v>465723002</v>
      </c>
      <c r="AM80" s="18" t="s">
        <v>766</v>
      </c>
      <c r="AN80" s="18" t="s">
        <v>767</v>
      </c>
      <c r="AO80" s="1" t="s">
        <v>812</v>
      </c>
    </row>
    <row r="81" spans="1:41" ht="12" customHeight="1" x14ac:dyDescent="0.2">
      <c r="A81" s="15" t="s">
        <v>121</v>
      </c>
      <c r="B81" s="15"/>
      <c r="C81" s="15">
        <v>5086</v>
      </c>
      <c r="D81" s="15" t="s">
        <v>545</v>
      </c>
      <c r="E81" s="15" t="s">
        <v>325</v>
      </c>
      <c r="F81" s="15" t="s">
        <v>325</v>
      </c>
      <c r="G81" s="15" t="s">
        <v>378</v>
      </c>
      <c r="H81" s="15" t="s">
        <v>191</v>
      </c>
      <c r="I81" s="15" t="s">
        <v>191</v>
      </c>
      <c r="J81" s="16"/>
      <c r="K81" s="16"/>
      <c r="L81" s="16"/>
      <c r="M81" s="16"/>
      <c r="N81" s="16">
        <v>24349</v>
      </c>
      <c r="O81" s="16">
        <v>24349</v>
      </c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>
        <f t="shared" si="3"/>
        <v>2</v>
      </c>
      <c r="AA81" s="16" t="s">
        <v>177</v>
      </c>
      <c r="AB81" s="15" t="s">
        <v>287</v>
      </c>
      <c r="AC81" s="15" t="s">
        <v>506</v>
      </c>
      <c r="AD81" s="15" t="s">
        <v>103</v>
      </c>
      <c r="AE81" s="15" t="s">
        <v>325</v>
      </c>
      <c r="AF81" s="15"/>
      <c r="AG81" s="15" t="s">
        <v>103</v>
      </c>
      <c r="AH81" s="15"/>
      <c r="AI81" s="15" t="s">
        <v>245</v>
      </c>
      <c r="AJ81" s="15" t="s">
        <v>217</v>
      </c>
      <c r="AK81" s="15" t="s">
        <v>287</v>
      </c>
      <c r="AL81" s="18">
        <v>735038008</v>
      </c>
      <c r="AM81" s="18" t="s">
        <v>768</v>
      </c>
      <c r="AN81" s="18" t="s">
        <v>769</v>
      </c>
      <c r="AO81" s="1" t="s">
        <v>812</v>
      </c>
    </row>
    <row r="82" spans="1:41" ht="12" customHeight="1" x14ac:dyDescent="0.2">
      <c r="A82" s="15" t="s">
        <v>121</v>
      </c>
      <c r="B82" s="15"/>
      <c r="C82" s="15">
        <v>5087</v>
      </c>
      <c r="D82" s="15" t="s">
        <v>545</v>
      </c>
      <c r="E82" s="15" t="s">
        <v>372</v>
      </c>
      <c r="F82" s="15" t="s">
        <v>619</v>
      </c>
      <c r="G82" s="15" t="s">
        <v>355</v>
      </c>
      <c r="H82" s="15" t="s">
        <v>442</v>
      </c>
      <c r="I82" s="15" t="s">
        <v>442</v>
      </c>
      <c r="J82" s="16">
        <v>13648</v>
      </c>
      <c r="K82" s="16"/>
      <c r="L82" s="16">
        <v>24319</v>
      </c>
      <c r="M82" s="16"/>
      <c r="N82" s="16">
        <v>13648</v>
      </c>
      <c r="O82" s="16">
        <v>13648</v>
      </c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>
        <f t="shared" si="3"/>
        <v>4</v>
      </c>
      <c r="AA82" s="16" t="s">
        <v>177</v>
      </c>
      <c r="AB82" s="15" t="s">
        <v>383</v>
      </c>
      <c r="AC82" s="15" t="s">
        <v>506</v>
      </c>
      <c r="AD82" s="15" t="s">
        <v>103</v>
      </c>
      <c r="AE82" s="15" t="s">
        <v>602</v>
      </c>
      <c r="AF82" s="15"/>
      <c r="AG82" s="15" t="s">
        <v>103</v>
      </c>
      <c r="AH82" s="15"/>
      <c r="AI82" s="15" t="s">
        <v>113</v>
      </c>
      <c r="AJ82" s="15" t="s">
        <v>298</v>
      </c>
      <c r="AK82" s="15" t="s">
        <v>383</v>
      </c>
      <c r="AL82" s="18">
        <v>735038008</v>
      </c>
      <c r="AM82" s="18" t="s">
        <v>768</v>
      </c>
      <c r="AN82" s="18" t="s">
        <v>769</v>
      </c>
      <c r="AO82" s="1" t="s">
        <v>812</v>
      </c>
    </row>
    <row r="83" spans="1:41" ht="12" customHeight="1" x14ac:dyDescent="0.2">
      <c r="A83" s="15" t="s">
        <v>121</v>
      </c>
      <c r="B83" s="15"/>
      <c r="C83" s="15">
        <v>5088</v>
      </c>
      <c r="D83" s="15" t="s">
        <v>545</v>
      </c>
      <c r="E83" s="15" t="s">
        <v>147</v>
      </c>
      <c r="F83" s="15" t="s">
        <v>147</v>
      </c>
      <c r="G83" s="15" t="s">
        <v>302</v>
      </c>
      <c r="H83" s="15" t="s">
        <v>36</v>
      </c>
      <c r="I83" s="15" t="s">
        <v>455</v>
      </c>
      <c r="J83" s="16" t="s">
        <v>399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>
        <f t="shared" si="3"/>
        <v>1</v>
      </c>
      <c r="AA83" s="16" t="s">
        <v>26</v>
      </c>
      <c r="AB83" s="15" t="s">
        <v>335</v>
      </c>
      <c r="AC83" s="15"/>
      <c r="AD83" s="15" t="s">
        <v>103</v>
      </c>
      <c r="AE83" s="15" t="s">
        <v>147</v>
      </c>
      <c r="AF83" s="15"/>
      <c r="AG83" s="15" t="s">
        <v>103</v>
      </c>
      <c r="AH83" s="15"/>
      <c r="AI83" s="15" t="s">
        <v>504</v>
      </c>
      <c r="AJ83" s="15" t="s">
        <v>661</v>
      </c>
      <c r="AK83" s="15" t="s">
        <v>477</v>
      </c>
      <c r="AL83" s="18">
        <v>92814006</v>
      </c>
      <c r="AM83" s="18" t="s">
        <v>770</v>
      </c>
      <c r="AN83" s="18" t="s">
        <v>771</v>
      </c>
      <c r="AO83" s="1" t="s">
        <v>812</v>
      </c>
    </row>
    <row r="84" spans="1:41" ht="12" customHeight="1" x14ac:dyDescent="0.2">
      <c r="A84" s="15" t="s">
        <v>121</v>
      </c>
      <c r="B84" s="15"/>
      <c r="C84" s="15">
        <v>5089</v>
      </c>
      <c r="D84" s="15" t="s">
        <v>545</v>
      </c>
      <c r="E84" s="15" t="s">
        <v>147</v>
      </c>
      <c r="F84" s="15" t="s">
        <v>147</v>
      </c>
      <c r="G84" s="15" t="s">
        <v>302</v>
      </c>
      <c r="H84" s="15" t="s">
        <v>400</v>
      </c>
      <c r="I84" s="15" t="s">
        <v>400</v>
      </c>
      <c r="J84" s="16"/>
      <c r="K84" s="16"/>
      <c r="L84" s="16"/>
      <c r="M84" s="16"/>
      <c r="N84" s="16"/>
      <c r="O84" s="16"/>
      <c r="P84" s="16"/>
      <c r="Q84" s="16">
        <v>32126</v>
      </c>
      <c r="R84" s="16">
        <v>1844</v>
      </c>
      <c r="S84" s="16"/>
      <c r="T84" s="16">
        <v>1749</v>
      </c>
      <c r="U84" s="16"/>
      <c r="V84" s="16"/>
      <c r="W84" s="16"/>
      <c r="X84" s="16"/>
      <c r="Y84" s="16"/>
      <c r="Z84" s="16">
        <f t="shared" si="3"/>
        <v>3</v>
      </c>
      <c r="AA84" s="16" t="s">
        <v>177</v>
      </c>
      <c r="AB84" s="15" t="s">
        <v>335</v>
      </c>
      <c r="AC84" s="15"/>
      <c r="AD84" s="15" t="s">
        <v>103</v>
      </c>
      <c r="AE84" s="15" t="s">
        <v>147</v>
      </c>
      <c r="AF84" s="15"/>
      <c r="AG84" s="15" t="s">
        <v>103</v>
      </c>
      <c r="AH84" s="15"/>
      <c r="AI84" s="15" t="s">
        <v>504</v>
      </c>
      <c r="AJ84" s="15" t="s">
        <v>661</v>
      </c>
      <c r="AK84" s="15" t="s">
        <v>320</v>
      </c>
      <c r="AL84" s="18">
        <v>92814006</v>
      </c>
      <c r="AM84" s="18" t="s">
        <v>770</v>
      </c>
      <c r="AN84" s="18" t="s">
        <v>771</v>
      </c>
      <c r="AO84" s="1" t="s">
        <v>812</v>
      </c>
    </row>
    <row r="85" spans="1:41" ht="12" customHeight="1" x14ac:dyDescent="0.2">
      <c r="A85" s="15" t="s">
        <v>121</v>
      </c>
      <c r="B85" s="15"/>
      <c r="C85" s="15">
        <v>5090</v>
      </c>
      <c r="D85" s="15" t="s">
        <v>545</v>
      </c>
      <c r="E85" s="15" t="s">
        <v>147</v>
      </c>
      <c r="F85" s="15" t="s">
        <v>147</v>
      </c>
      <c r="G85" s="15" t="s">
        <v>302</v>
      </c>
      <c r="H85" s="15" t="s">
        <v>190</v>
      </c>
      <c r="I85" s="15" t="s">
        <v>492</v>
      </c>
      <c r="J85" s="16"/>
      <c r="K85" s="16"/>
      <c r="L85" s="16"/>
      <c r="M85" s="16"/>
      <c r="N85" s="16">
        <v>29873</v>
      </c>
      <c r="O85" s="16">
        <v>29873</v>
      </c>
      <c r="P85" s="16"/>
      <c r="Q85" s="16">
        <v>32127</v>
      </c>
      <c r="R85" s="16">
        <v>1699</v>
      </c>
      <c r="S85" s="16"/>
      <c r="T85" s="16">
        <v>1750</v>
      </c>
      <c r="U85" s="16"/>
      <c r="V85" s="16"/>
      <c r="W85" s="16"/>
      <c r="X85" s="16"/>
      <c r="Y85" s="16"/>
      <c r="Z85" s="16">
        <f t="shared" si="3"/>
        <v>5</v>
      </c>
      <c r="AA85" s="16" t="s">
        <v>177</v>
      </c>
      <c r="AB85" s="15" t="s">
        <v>335</v>
      </c>
      <c r="AC85" s="15"/>
      <c r="AD85" s="15" t="s">
        <v>103</v>
      </c>
      <c r="AE85" s="15" t="s">
        <v>147</v>
      </c>
      <c r="AF85" s="15"/>
      <c r="AG85" s="15" t="s">
        <v>103</v>
      </c>
      <c r="AH85" s="15"/>
      <c r="AI85" s="15" t="s">
        <v>504</v>
      </c>
      <c r="AJ85" s="15" t="s">
        <v>661</v>
      </c>
      <c r="AK85" s="15" t="s">
        <v>259</v>
      </c>
      <c r="AL85" s="18">
        <v>92814006</v>
      </c>
      <c r="AM85" s="18" t="s">
        <v>770</v>
      </c>
      <c r="AN85" s="18" t="s">
        <v>771</v>
      </c>
      <c r="AO85" s="1" t="s">
        <v>812</v>
      </c>
    </row>
    <row r="86" spans="1:41" ht="12" customHeight="1" x14ac:dyDescent="0.2">
      <c r="A86" s="15" t="s">
        <v>121</v>
      </c>
      <c r="B86" s="15"/>
      <c r="C86" s="15">
        <v>5091</v>
      </c>
      <c r="D86" s="15" t="s">
        <v>545</v>
      </c>
      <c r="E86" s="15" t="s">
        <v>147</v>
      </c>
      <c r="F86" s="15" t="s">
        <v>147</v>
      </c>
      <c r="G86" s="15" t="s">
        <v>302</v>
      </c>
      <c r="H86" s="15" t="s">
        <v>674</v>
      </c>
      <c r="I86" s="15" t="s">
        <v>674</v>
      </c>
      <c r="J86" s="16"/>
      <c r="K86" s="16"/>
      <c r="L86" s="16"/>
      <c r="M86" s="16"/>
      <c r="N86" s="16">
        <v>30615</v>
      </c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>
        <f t="shared" si="3"/>
        <v>1</v>
      </c>
      <c r="AA86" s="16" t="s">
        <v>26</v>
      </c>
      <c r="AB86" s="15" t="s">
        <v>335</v>
      </c>
      <c r="AC86" s="15"/>
      <c r="AD86" s="15" t="s">
        <v>103</v>
      </c>
      <c r="AE86" s="15" t="s">
        <v>147</v>
      </c>
      <c r="AF86" s="15"/>
      <c r="AG86" s="15" t="s">
        <v>103</v>
      </c>
      <c r="AH86" s="15"/>
      <c r="AI86" s="15" t="s">
        <v>504</v>
      </c>
      <c r="AJ86" s="15" t="s">
        <v>661</v>
      </c>
      <c r="AK86" s="15" t="s">
        <v>386</v>
      </c>
      <c r="AL86" s="18">
        <v>92814006</v>
      </c>
      <c r="AM86" s="18" t="s">
        <v>770</v>
      </c>
      <c r="AN86" s="18" t="s">
        <v>771</v>
      </c>
      <c r="AO86" s="1" t="s">
        <v>812</v>
      </c>
    </row>
    <row r="87" spans="1:41" ht="12" customHeight="1" x14ac:dyDescent="0.2">
      <c r="A87" s="15" t="s">
        <v>121</v>
      </c>
      <c r="B87" s="15"/>
      <c r="C87" s="15">
        <v>5092</v>
      </c>
      <c r="D87" s="15" t="s">
        <v>545</v>
      </c>
      <c r="E87" s="15" t="s">
        <v>372</v>
      </c>
      <c r="F87" s="15" t="s">
        <v>500</v>
      </c>
      <c r="G87" s="15" t="s">
        <v>500</v>
      </c>
      <c r="H87" s="15" t="s">
        <v>543</v>
      </c>
      <c r="I87" s="15" t="s">
        <v>543</v>
      </c>
      <c r="J87" s="16">
        <v>17448</v>
      </c>
      <c r="K87" s="16"/>
      <c r="L87" s="16"/>
      <c r="M87" s="16"/>
      <c r="N87" s="16">
        <v>17448</v>
      </c>
      <c r="O87" s="16">
        <v>17448</v>
      </c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>
        <f t="shared" si="3"/>
        <v>3</v>
      </c>
      <c r="AA87" s="16" t="s">
        <v>177</v>
      </c>
      <c r="AB87" s="15" t="s">
        <v>244</v>
      </c>
      <c r="AC87" s="15" t="s">
        <v>506</v>
      </c>
      <c r="AD87" s="15" t="s">
        <v>103</v>
      </c>
      <c r="AE87" s="15" t="s">
        <v>500</v>
      </c>
      <c r="AF87" s="15"/>
      <c r="AG87" s="15" t="s">
        <v>103</v>
      </c>
      <c r="AH87" s="15"/>
      <c r="AI87" s="15" t="s">
        <v>63</v>
      </c>
      <c r="AJ87" s="15" t="s">
        <v>653</v>
      </c>
      <c r="AK87" s="15" t="s">
        <v>293</v>
      </c>
      <c r="AL87" s="18">
        <v>20815007</v>
      </c>
      <c r="AM87" s="18" t="s">
        <v>772</v>
      </c>
      <c r="AN87" s="18" t="s">
        <v>773</v>
      </c>
      <c r="AO87" s="1" t="s">
        <v>812</v>
      </c>
    </row>
    <row r="88" spans="1:41" ht="12" customHeight="1" x14ac:dyDescent="0.2">
      <c r="A88" s="15" t="s">
        <v>121</v>
      </c>
      <c r="B88" s="15"/>
      <c r="C88" s="15">
        <v>5093</v>
      </c>
      <c r="D88" s="15" t="s">
        <v>545</v>
      </c>
      <c r="E88" s="15" t="s">
        <v>147</v>
      </c>
      <c r="F88" s="15" t="s">
        <v>147</v>
      </c>
      <c r="G88" s="15" t="s">
        <v>554</v>
      </c>
      <c r="H88" s="15" t="s">
        <v>695</v>
      </c>
      <c r="I88" s="15" t="s">
        <v>616</v>
      </c>
      <c r="J88" s="16"/>
      <c r="K88" s="16"/>
      <c r="L88" s="16"/>
      <c r="M88" s="16"/>
      <c r="N88" s="16"/>
      <c r="O88" s="16"/>
      <c r="P88" s="16"/>
      <c r="Q88" s="16" t="s">
        <v>399</v>
      </c>
      <c r="R88" s="16"/>
      <c r="S88" s="16"/>
      <c r="T88" s="16"/>
      <c r="U88" s="16"/>
      <c r="V88" s="16"/>
      <c r="W88" s="16"/>
      <c r="X88" s="16"/>
      <c r="Y88" s="16"/>
      <c r="Z88" s="16">
        <f t="shared" si="3"/>
        <v>1</v>
      </c>
      <c r="AA88" s="16" t="s">
        <v>26</v>
      </c>
      <c r="AB88" s="15" t="s">
        <v>587</v>
      </c>
      <c r="AC88" s="15"/>
      <c r="AD88" s="15" t="s">
        <v>103</v>
      </c>
      <c r="AE88" s="15" t="s">
        <v>147</v>
      </c>
      <c r="AF88" s="15"/>
      <c r="AG88" s="15" t="s">
        <v>103</v>
      </c>
      <c r="AH88" s="15"/>
      <c r="AI88" s="15" t="s">
        <v>504</v>
      </c>
      <c r="AJ88" s="15" t="s">
        <v>661</v>
      </c>
      <c r="AK88" s="15" t="s">
        <v>107</v>
      </c>
      <c r="AL88" s="18">
        <v>372903001</v>
      </c>
      <c r="AM88" s="18" t="s">
        <v>774</v>
      </c>
      <c r="AN88" s="18" t="s">
        <v>775</v>
      </c>
      <c r="AO88" s="1" t="s">
        <v>812</v>
      </c>
    </row>
    <row r="89" spans="1:41" ht="12" customHeight="1" x14ac:dyDescent="0.2">
      <c r="A89" s="15" t="s">
        <v>121</v>
      </c>
      <c r="B89" s="15"/>
      <c r="C89" s="15">
        <v>5094</v>
      </c>
      <c r="D89" s="15" t="s">
        <v>545</v>
      </c>
      <c r="E89" s="15" t="s">
        <v>147</v>
      </c>
      <c r="F89" s="15" t="s">
        <v>147</v>
      </c>
      <c r="G89" s="15" t="s">
        <v>302</v>
      </c>
      <c r="H89" s="15" t="s">
        <v>656</v>
      </c>
      <c r="I89" s="15" t="s">
        <v>525</v>
      </c>
      <c r="J89" s="16"/>
      <c r="K89" s="16"/>
      <c r="L89" s="16"/>
      <c r="M89" s="16"/>
      <c r="N89" s="16"/>
      <c r="O89" s="16"/>
      <c r="P89" s="16"/>
      <c r="Q89" s="16" t="s">
        <v>399</v>
      </c>
      <c r="R89" s="16"/>
      <c r="S89" s="16"/>
      <c r="T89" s="16"/>
      <c r="U89" s="16"/>
      <c r="V89" s="16"/>
      <c r="W89" s="16"/>
      <c r="X89" s="16"/>
      <c r="Y89" s="16"/>
      <c r="Z89" s="16">
        <f t="shared" si="3"/>
        <v>1</v>
      </c>
      <c r="AA89" s="16" t="s">
        <v>26</v>
      </c>
      <c r="AB89" s="15" t="s">
        <v>335</v>
      </c>
      <c r="AC89" s="15"/>
      <c r="AD89" s="15" t="s">
        <v>103</v>
      </c>
      <c r="AE89" s="15" t="s">
        <v>147</v>
      </c>
      <c r="AF89" s="15"/>
      <c r="AG89" s="15" t="s">
        <v>103</v>
      </c>
      <c r="AH89" s="15"/>
      <c r="AI89" s="15" t="s">
        <v>504</v>
      </c>
      <c r="AJ89" s="15" t="s">
        <v>661</v>
      </c>
      <c r="AK89" s="15" t="s">
        <v>106</v>
      </c>
      <c r="AL89" s="18">
        <v>414629003</v>
      </c>
      <c r="AM89" s="18" t="s">
        <v>701</v>
      </c>
      <c r="AN89" s="18" t="s">
        <v>702</v>
      </c>
      <c r="AO89" s="1" t="s">
        <v>812</v>
      </c>
    </row>
    <row r="90" spans="1:41" ht="12" customHeight="1" x14ac:dyDescent="0.2">
      <c r="A90" s="15" t="s">
        <v>121</v>
      </c>
      <c r="B90" s="15"/>
      <c r="C90" s="15">
        <v>5095</v>
      </c>
      <c r="D90" s="15" t="s">
        <v>545</v>
      </c>
      <c r="E90" s="15" t="s">
        <v>147</v>
      </c>
      <c r="F90" s="15" t="s">
        <v>147</v>
      </c>
      <c r="G90" s="15" t="s">
        <v>554</v>
      </c>
      <c r="H90" s="15" t="s">
        <v>312</v>
      </c>
      <c r="I90" s="15" t="s">
        <v>362</v>
      </c>
      <c r="J90" s="16"/>
      <c r="K90" s="16"/>
      <c r="L90" s="16"/>
      <c r="M90" s="16">
        <v>28709</v>
      </c>
      <c r="N90" s="16"/>
      <c r="O90" s="16"/>
      <c r="P90" s="16"/>
      <c r="Q90" s="16" t="s">
        <v>399</v>
      </c>
      <c r="R90" s="16"/>
      <c r="S90" s="16"/>
      <c r="T90" s="16"/>
      <c r="U90" s="16"/>
      <c r="V90" s="16"/>
      <c r="W90" s="16"/>
      <c r="X90" s="16"/>
      <c r="Y90" s="16"/>
      <c r="Z90" s="16">
        <f t="shared" si="3"/>
        <v>2</v>
      </c>
      <c r="AA90" s="16" t="s">
        <v>177</v>
      </c>
      <c r="AB90" s="15" t="s">
        <v>587</v>
      </c>
      <c r="AC90" s="15"/>
      <c r="AD90" s="15" t="s">
        <v>103</v>
      </c>
      <c r="AE90" s="15" t="s">
        <v>147</v>
      </c>
      <c r="AF90" s="15"/>
      <c r="AG90" s="15" t="s">
        <v>103</v>
      </c>
      <c r="AH90" s="15"/>
      <c r="AI90" s="15" t="s">
        <v>504</v>
      </c>
      <c r="AJ90" s="15" t="s">
        <v>661</v>
      </c>
      <c r="AK90" s="15" t="s">
        <v>357</v>
      </c>
      <c r="AL90" s="18">
        <v>387383007</v>
      </c>
      <c r="AM90" s="18" t="s">
        <v>776</v>
      </c>
      <c r="AN90" s="18" t="s">
        <v>777</v>
      </c>
      <c r="AO90" s="1" t="s">
        <v>812</v>
      </c>
    </row>
    <row r="91" spans="1:41" ht="12" customHeight="1" x14ac:dyDescent="0.2">
      <c r="A91" s="15" t="s">
        <v>121</v>
      </c>
      <c r="B91" s="15"/>
      <c r="C91" s="15">
        <v>5096</v>
      </c>
      <c r="D91" s="15" t="s">
        <v>545</v>
      </c>
      <c r="E91" s="15" t="s">
        <v>147</v>
      </c>
      <c r="F91" s="15" t="s">
        <v>147</v>
      </c>
      <c r="G91" s="15" t="s">
        <v>302</v>
      </c>
      <c r="H91" s="15" t="s">
        <v>396</v>
      </c>
      <c r="I91" s="15" t="s">
        <v>522</v>
      </c>
      <c r="J91" s="16"/>
      <c r="K91" s="16"/>
      <c r="L91" s="16"/>
      <c r="M91" s="16"/>
      <c r="N91" s="16"/>
      <c r="O91" s="16"/>
      <c r="P91" s="16"/>
      <c r="Q91" s="16" t="s">
        <v>399</v>
      </c>
      <c r="R91" s="16"/>
      <c r="S91" s="16"/>
      <c r="T91" s="16"/>
      <c r="U91" s="16"/>
      <c r="V91" s="16" t="s">
        <v>346</v>
      </c>
      <c r="W91" s="16" t="s">
        <v>441</v>
      </c>
      <c r="X91" s="16"/>
      <c r="Y91" s="16"/>
      <c r="Z91" s="16">
        <f t="shared" si="3"/>
        <v>3</v>
      </c>
      <c r="AA91" s="16" t="s">
        <v>177</v>
      </c>
      <c r="AB91" s="15" t="s">
        <v>335</v>
      </c>
      <c r="AC91" s="15"/>
      <c r="AD91" s="15" t="s">
        <v>103</v>
      </c>
      <c r="AE91" s="15" t="s">
        <v>147</v>
      </c>
      <c r="AF91" s="15"/>
      <c r="AG91" s="15" t="s">
        <v>103</v>
      </c>
      <c r="AH91" s="15"/>
      <c r="AI91" s="15" t="s">
        <v>504</v>
      </c>
      <c r="AJ91" s="15" t="s">
        <v>661</v>
      </c>
      <c r="AK91" s="15" t="s">
        <v>453</v>
      </c>
      <c r="AL91" s="18">
        <v>386952008</v>
      </c>
      <c r="AM91" s="18" t="s">
        <v>778</v>
      </c>
      <c r="AN91" s="18" t="s">
        <v>779</v>
      </c>
      <c r="AO91" s="1" t="s">
        <v>812</v>
      </c>
    </row>
    <row r="92" spans="1:41" ht="12" customHeight="1" x14ac:dyDescent="0.2">
      <c r="A92" s="15" t="s">
        <v>121</v>
      </c>
      <c r="B92" s="15"/>
      <c r="C92" s="15">
        <v>5097</v>
      </c>
      <c r="D92" s="15" t="s">
        <v>545</v>
      </c>
      <c r="E92" s="15" t="s">
        <v>147</v>
      </c>
      <c r="F92" s="15" t="s">
        <v>147</v>
      </c>
      <c r="G92" s="15" t="s">
        <v>554</v>
      </c>
      <c r="H92" s="15" t="s">
        <v>392</v>
      </c>
      <c r="I92" s="15" t="s">
        <v>617</v>
      </c>
      <c r="J92" s="16"/>
      <c r="K92" s="16"/>
      <c r="L92" s="16"/>
      <c r="M92" s="16"/>
      <c r="N92" s="16"/>
      <c r="O92" s="16"/>
      <c r="P92" s="16"/>
      <c r="Q92" s="16" t="s">
        <v>399</v>
      </c>
      <c r="R92" s="16"/>
      <c r="S92" s="16"/>
      <c r="T92" s="16"/>
      <c r="U92" s="16"/>
      <c r="V92" s="16"/>
      <c r="W92" s="16"/>
      <c r="X92" s="16"/>
      <c r="Y92" s="16"/>
      <c r="Z92" s="16">
        <f t="shared" si="3"/>
        <v>1</v>
      </c>
      <c r="AA92" s="16" t="s">
        <v>26</v>
      </c>
      <c r="AB92" s="15" t="s">
        <v>587</v>
      </c>
      <c r="AC92" s="15"/>
      <c r="AD92" s="15" t="s">
        <v>103</v>
      </c>
      <c r="AE92" s="15" t="s">
        <v>147</v>
      </c>
      <c r="AF92" s="15"/>
      <c r="AG92" s="15" t="s">
        <v>103</v>
      </c>
      <c r="AH92" s="15"/>
      <c r="AI92" s="15" t="s">
        <v>504</v>
      </c>
      <c r="AJ92" s="15" t="s">
        <v>661</v>
      </c>
      <c r="AK92" s="15" t="s">
        <v>628</v>
      </c>
      <c r="AL92" s="18">
        <v>39815009</v>
      </c>
      <c r="AM92" s="18" t="s">
        <v>780</v>
      </c>
      <c r="AN92" s="18" t="s">
        <v>781</v>
      </c>
      <c r="AO92" s="1" t="s">
        <v>812</v>
      </c>
    </row>
    <row r="93" spans="1:41" ht="12" customHeight="1" x14ac:dyDescent="0.2">
      <c r="A93" s="15" t="s">
        <v>121</v>
      </c>
      <c r="B93" s="15"/>
      <c r="C93" s="15">
        <v>5098</v>
      </c>
      <c r="D93" s="15" t="s">
        <v>545</v>
      </c>
      <c r="E93" s="15" t="s">
        <v>372</v>
      </c>
      <c r="F93" s="15" t="s">
        <v>232</v>
      </c>
      <c r="G93" s="15" t="s">
        <v>564</v>
      </c>
      <c r="H93" s="15" t="s">
        <v>398</v>
      </c>
      <c r="I93" s="15" t="s">
        <v>398</v>
      </c>
      <c r="J93" s="16"/>
      <c r="K93" s="16">
        <v>5164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>
        <f t="shared" si="3"/>
        <v>1</v>
      </c>
      <c r="AA93" s="16" t="s">
        <v>26</v>
      </c>
      <c r="AB93" s="15" t="s">
        <v>553</v>
      </c>
      <c r="AC93" s="15" t="s">
        <v>506</v>
      </c>
      <c r="AD93" s="15" t="s">
        <v>103</v>
      </c>
      <c r="AE93" s="15" t="s">
        <v>602</v>
      </c>
      <c r="AF93" s="15"/>
      <c r="AG93" s="15" t="s">
        <v>103</v>
      </c>
      <c r="AH93" s="15"/>
      <c r="AI93" s="15" t="s">
        <v>131</v>
      </c>
      <c r="AJ93" s="15" t="s">
        <v>298</v>
      </c>
      <c r="AK93" s="15" t="s">
        <v>380</v>
      </c>
      <c r="AL93" s="18">
        <v>397793000</v>
      </c>
      <c r="AM93" s="18" t="s">
        <v>782</v>
      </c>
      <c r="AN93" s="18" t="s">
        <v>783</v>
      </c>
      <c r="AO93" s="1" t="s">
        <v>812</v>
      </c>
    </row>
    <row r="94" spans="1:41" ht="12" customHeight="1" x14ac:dyDescent="0.2">
      <c r="A94" s="15" t="s">
        <v>121</v>
      </c>
      <c r="B94" s="15"/>
      <c r="C94" s="15">
        <v>5099</v>
      </c>
      <c r="D94" s="15" t="s">
        <v>545</v>
      </c>
      <c r="E94" s="15" t="s">
        <v>290</v>
      </c>
      <c r="F94" s="15" t="s">
        <v>601</v>
      </c>
      <c r="G94" s="15" t="s">
        <v>280</v>
      </c>
      <c r="H94" s="15" t="s">
        <v>226</v>
      </c>
      <c r="I94" s="15" t="s">
        <v>226</v>
      </c>
      <c r="J94" s="16"/>
      <c r="K94" s="16"/>
      <c r="L94" s="16"/>
      <c r="M94" s="16"/>
      <c r="N94" s="16"/>
      <c r="O94" s="16"/>
      <c r="P94" s="16">
        <v>25661</v>
      </c>
      <c r="Q94" s="16"/>
      <c r="R94" s="16"/>
      <c r="S94" s="16"/>
      <c r="T94" s="16"/>
      <c r="U94" s="16"/>
      <c r="V94" s="16"/>
      <c r="W94" s="16"/>
      <c r="X94" s="16"/>
      <c r="Y94" s="16" t="s">
        <v>620</v>
      </c>
      <c r="Z94" s="16">
        <f t="shared" si="3"/>
        <v>2</v>
      </c>
      <c r="AA94" s="16" t="s">
        <v>177</v>
      </c>
      <c r="AB94" s="15" t="s">
        <v>265</v>
      </c>
      <c r="AC94" s="15" t="s">
        <v>249</v>
      </c>
      <c r="AD94" s="15" t="s">
        <v>103</v>
      </c>
      <c r="AE94" s="15" t="s">
        <v>381</v>
      </c>
      <c r="AF94" s="15"/>
      <c r="AG94" s="15" t="s">
        <v>103</v>
      </c>
      <c r="AH94" s="15"/>
      <c r="AI94" s="15" t="s">
        <v>46</v>
      </c>
      <c r="AJ94" s="15" t="s">
        <v>208</v>
      </c>
      <c r="AK94" s="15" t="s">
        <v>214</v>
      </c>
      <c r="AL94" s="18">
        <v>86052008</v>
      </c>
      <c r="AM94" s="18" t="s">
        <v>784</v>
      </c>
      <c r="AN94" s="18" t="s">
        <v>785</v>
      </c>
      <c r="AO94" s="1" t="s">
        <v>812</v>
      </c>
    </row>
    <row r="95" spans="1:41" ht="12" customHeight="1" x14ac:dyDescent="0.2">
      <c r="A95" s="15" t="s">
        <v>121</v>
      </c>
      <c r="B95" s="15"/>
      <c r="C95" s="15">
        <v>5100</v>
      </c>
      <c r="D95" s="15" t="s">
        <v>545</v>
      </c>
      <c r="E95" s="15" t="s">
        <v>290</v>
      </c>
      <c r="F95" s="15" t="s">
        <v>601</v>
      </c>
      <c r="G95" s="15" t="s">
        <v>280</v>
      </c>
      <c r="H95" s="15" t="s">
        <v>228</v>
      </c>
      <c r="I95" s="15" t="s">
        <v>228</v>
      </c>
      <c r="J95" s="16"/>
      <c r="K95" s="16"/>
      <c r="L95" s="16"/>
      <c r="M95" s="16"/>
      <c r="N95" s="16"/>
      <c r="O95" s="16"/>
      <c r="P95" s="16"/>
      <c r="Q95" s="16">
        <v>33021</v>
      </c>
      <c r="R95" s="16">
        <v>7132</v>
      </c>
      <c r="S95" s="16"/>
      <c r="T95" s="16">
        <v>4851</v>
      </c>
      <c r="U95" s="16"/>
      <c r="V95" s="16"/>
      <c r="W95" s="16"/>
      <c r="X95" s="16" t="s">
        <v>34</v>
      </c>
      <c r="Y95" s="16" t="s">
        <v>590</v>
      </c>
      <c r="Z95" s="16">
        <f t="shared" si="3"/>
        <v>5</v>
      </c>
      <c r="AA95" s="16" t="s">
        <v>177</v>
      </c>
      <c r="AB95" s="15" t="s">
        <v>265</v>
      </c>
      <c r="AC95" s="15" t="s">
        <v>421</v>
      </c>
      <c r="AD95" s="15" t="s">
        <v>103</v>
      </c>
      <c r="AE95" s="15" t="s">
        <v>381</v>
      </c>
      <c r="AF95" s="15"/>
      <c r="AG95" s="15" t="s">
        <v>103</v>
      </c>
      <c r="AH95" s="15"/>
      <c r="AI95" s="15" t="s">
        <v>46</v>
      </c>
      <c r="AJ95" s="15" t="s">
        <v>208</v>
      </c>
      <c r="AK95" s="15" t="s">
        <v>560</v>
      </c>
      <c r="AL95" s="18">
        <v>86052008</v>
      </c>
      <c r="AM95" s="18" t="s">
        <v>784</v>
      </c>
      <c r="AN95" s="18" t="s">
        <v>785</v>
      </c>
      <c r="AO95" s="1" t="s">
        <v>812</v>
      </c>
    </row>
    <row r="96" spans="1:41" ht="12" customHeight="1" x14ac:dyDescent="0.2">
      <c r="A96" s="15" t="s">
        <v>121</v>
      </c>
      <c r="B96" s="15"/>
      <c r="C96" s="15">
        <v>5101</v>
      </c>
      <c r="D96" s="15" t="s">
        <v>545</v>
      </c>
      <c r="E96" s="15" t="s">
        <v>372</v>
      </c>
      <c r="F96" s="15" t="s">
        <v>601</v>
      </c>
      <c r="G96" s="15" t="s">
        <v>358</v>
      </c>
      <c r="H96" s="15" t="s">
        <v>199</v>
      </c>
      <c r="I96" s="15" t="s">
        <v>199</v>
      </c>
      <c r="J96" s="16"/>
      <c r="K96" s="16"/>
      <c r="L96" s="16">
        <v>22374</v>
      </c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>
        <f t="shared" si="3"/>
        <v>1</v>
      </c>
      <c r="AA96" s="16" t="s">
        <v>26</v>
      </c>
      <c r="AB96" s="15" t="s">
        <v>507</v>
      </c>
      <c r="AC96" s="15" t="s">
        <v>137</v>
      </c>
      <c r="AD96" s="15" t="s">
        <v>103</v>
      </c>
      <c r="AE96" s="15" t="s">
        <v>624</v>
      </c>
      <c r="AF96" s="15"/>
      <c r="AG96" s="15" t="s">
        <v>103</v>
      </c>
      <c r="AH96" s="15"/>
      <c r="AI96" s="15" t="s">
        <v>46</v>
      </c>
      <c r="AJ96" s="15" t="s">
        <v>298</v>
      </c>
      <c r="AK96" s="15" t="s">
        <v>137</v>
      </c>
      <c r="AL96" s="18">
        <v>426413004</v>
      </c>
      <c r="AM96" s="18" t="s">
        <v>786</v>
      </c>
      <c r="AN96" s="18" t="s">
        <v>787</v>
      </c>
      <c r="AO96" s="1" t="s">
        <v>812</v>
      </c>
    </row>
    <row r="97" spans="1:41" ht="12" customHeight="1" x14ac:dyDescent="0.2">
      <c r="A97" s="15" t="s">
        <v>121</v>
      </c>
      <c r="B97" s="15"/>
      <c r="C97" s="15">
        <v>5102</v>
      </c>
      <c r="D97" s="15" t="s">
        <v>545</v>
      </c>
      <c r="E97" s="15" t="s">
        <v>372</v>
      </c>
      <c r="F97" s="15" t="s">
        <v>601</v>
      </c>
      <c r="G97" s="15" t="s">
        <v>593</v>
      </c>
      <c r="H97" s="15" t="s">
        <v>484</v>
      </c>
      <c r="I97" s="15" t="s">
        <v>484</v>
      </c>
      <c r="J97" s="16"/>
      <c r="K97" s="16"/>
      <c r="L97" s="16">
        <v>8836</v>
      </c>
      <c r="M97" s="16"/>
      <c r="N97" s="16"/>
      <c r="O97" s="16"/>
      <c r="P97" s="16"/>
      <c r="Q97" s="16">
        <v>29927</v>
      </c>
      <c r="R97" s="16">
        <v>2544</v>
      </c>
      <c r="S97" s="16"/>
      <c r="T97" s="16">
        <v>3034</v>
      </c>
      <c r="U97" s="16"/>
      <c r="V97" s="16"/>
      <c r="W97" s="16"/>
      <c r="X97" s="16"/>
      <c r="Y97" s="16"/>
      <c r="Z97" s="16">
        <f t="shared" si="3"/>
        <v>4</v>
      </c>
      <c r="AA97" s="16" t="s">
        <v>177</v>
      </c>
      <c r="AB97" s="15" t="s">
        <v>600</v>
      </c>
      <c r="AC97" s="15" t="s">
        <v>599</v>
      </c>
      <c r="AD97" s="15" t="s">
        <v>103</v>
      </c>
      <c r="AE97" s="15" t="s">
        <v>544</v>
      </c>
      <c r="AF97" s="15"/>
      <c r="AG97" s="15" t="s">
        <v>103</v>
      </c>
      <c r="AH97" s="15"/>
      <c r="AI97" s="15" t="s">
        <v>46</v>
      </c>
      <c r="AJ97" s="15" t="s">
        <v>653</v>
      </c>
      <c r="AK97" s="15" t="s">
        <v>458</v>
      </c>
      <c r="AL97" s="18">
        <v>179127003</v>
      </c>
      <c r="AM97" s="18" t="s">
        <v>788</v>
      </c>
      <c r="AN97" s="18" t="s">
        <v>789</v>
      </c>
      <c r="AO97" s="1" t="s">
        <v>812</v>
      </c>
    </row>
    <row r="98" spans="1:41" ht="12" customHeight="1" x14ac:dyDescent="0.2">
      <c r="A98" s="15" t="s">
        <v>121</v>
      </c>
      <c r="B98" s="15"/>
      <c r="C98" s="15">
        <v>5103</v>
      </c>
      <c r="D98" s="15" t="s">
        <v>545</v>
      </c>
      <c r="E98" s="15" t="s">
        <v>372</v>
      </c>
      <c r="F98" s="15" t="s">
        <v>601</v>
      </c>
      <c r="G98" s="15" t="s">
        <v>593</v>
      </c>
      <c r="H98" s="15" t="s">
        <v>394</v>
      </c>
      <c r="I98" s="15" t="s">
        <v>394</v>
      </c>
      <c r="J98" s="16"/>
      <c r="K98" s="16"/>
      <c r="L98" s="16">
        <v>8837</v>
      </c>
      <c r="M98" s="16"/>
      <c r="N98" s="16"/>
      <c r="O98" s="16"/>
      <c r="P98" s="16"/>
      <c r="Q98" s="16">
        <v>29928</v>
      </c>
      <c r="R98" s="16">
        <v>2545</v>
      </c>
      <c r="S98" s="16"/>
      <c r="T98" s="16">
        <v>3035</v>
      </c>
      <c r="U98" s="16"/>
      <c r="V98" s="16"/>
      <c r="W98" s="16"/>
      <c r="X98" s="16"/>
      <c r="Y98" s="16"/>
      <c r="Z98" s="16">
        <f t="shared" si="3"/>
        <v>4</v>
      </c>
      <c r="AA98" s="16" t="s">
        <v>177</v>
      </c>
      <c r="AB98" s="15" t="s">
        <v>600</v>
      </c>
      <c r="AC98" s="15" t="s">
        <v>599</v>
      </c>
      <c r="AD98" s="15" t="s">
        <v>103</v>
      </c>
      <c r="AE98" s="15" t="s">
        <v>544</v>
      </c>
      <c r="AF98" s="15"/>
      <c r="AG98" s="15" t="s">
        <v>103</v>
      </c>
      <c r="AH98" s="15"/>
      <c r="AI98" s="15" t="s">
        <v>46</v>
      </c>
      <c r="AJ98" s="15" t="s">
        <v>653</v>
      </c>
      <c r="AK98" s="15" t="s">
        <v>64</v>
      </c>
      <c r="AL98" s="18">
        <v>179127003</v>
      </c>
      <c r="AM98" s="18" t="s">
        <v>788</v>
      </c>
      <c r="AN98" s="18" t="s">
        <v>789</v>
      </c>
      <c r="AO98" s="1" t="s">
        <v>812</v>
      </c>
    </row>
    <row r="99" spans="1:41" ht="12" customHeight="1" x14ac:dyDescent="0.2">
      <c r="A99" s="15" t="s">
        <v>121</v>
      </c>
      <c r="B99" s="15"/>
      <c r="C99" s="15">
        <v>5104</v>
      </c>
      <c r="D99" s="15" t="s">
        <v>545</v>
      </c>
      <c r="E99" s="15" t="s">
        <v>372</v>
      </c>
      <c r="F99" s="15" t="s">
        <v>257</v>
      </c>
      <c r="G99" s="15" t="s">
        <v>251</v>
      </c>
      <c r="H99" s="15" t="s">
        <v>39</v>
      </c>
      <c r="I99" s="15" t="s">
        <v>39</v>
      </c>
      <c r="J99" s="16"/>
      <c r="K99" s="16"/>
      <c r="L99" s="16"/>
      <c r="M99" s="16"/>
      <c r="N99" s="16"/>
      <c r="O99" s="16"/>
      <c r="P99" s="16">
        <v>26400</v>
      </c>
      <c r="Q99" s="16"/>
      <c r="R99" s="16"/>
      <c r="S99" s="16"/>
      <c r="T99" s="16"/>
      <c r="U99" s="16"/>
      <c r="V99" s="16"/>
      <c r="W99" s="16"/>
      <c r="X99" s="16"/>
      <c r="Y99" s="16"/>
      <c r="Z99" s="16">
        <f t="shared" si="3"/>
        <v>1</v>
      </c>
      <c r="AA99" s="16" t="s">
        <v>26</v>
      </c>
      <c r="AB99" s="15" t="s">
        <v>255</v>
      </c>
      <c r="AC99" s="15" t="s">
        <v>506</v>
      </c>
      <c r="AD99" s="15" t="s">
        <v>103</v>
      </c>
      <c r="AE99" s="15" t="s">
        <v>602</v>
      </c>
      <c r="AF99" s="15"/>
      <c r="AG99" s="15" t="s">
        <v>103</v>
      </c>
      <c r="AH99" s="15"/>
      <c r="AI99" s="15" t="s">
        <v>317</v>
      </c>
      <c r="AJ99" s="15" t="s">
        <v>298</v>
      </c>
      <c r="AK99" s="15" t="s">
        <v>577</v>
      </c>
      <c r="AL99" s="18"/>
      <c r="AM99" s="18"/>
      <c r="AN99" s="18"/>
      <c r="AO99" s="1" t="s">
        <v>812</v>
      </c>
    </row>
    <row r="100" spans="1:41" ht="12" customHeight="1" x14ac:dyDescent="0.2">
      <c r="A100" s="15" t="s">
        <v>121</v>
      </c>
      <c r="B100" s="15"/>
      <c r="C100" s="15">
        <v>5105</v>
      </c>
      <c r="D100" s="15" t="s">
        <v>545</v>
      </c>
      <c r="E100" s="15" t="s">
        <v>372</v>
      </c>
      <c r="F100" s="15" t="s">
        <v>257</v>
      </c>
      <c r="G100" s="15" t="s">
        <v>251</v>
      </c>
      <c r="H100" s="15" t="s">
        <v>76</v>
      </c>
      <c r="I100" s="15" t="s">
        <v>76</v>
      </c>
      <c r="J100" s="16"/>
      <c r="K100" s="16"/>
      <c r="L100" s="16"/>
      <c r="M100" s="16"/>
      <c r="N100" s="16"/>
      <c r="O100" s="16"/>
      <c r="P100" s="16">
        <v>26401</v>
      </c>
      <c r="Q100" s="16"/>
      <c r="R100" s="16"/>
      <c r="S100" s="16"/>
      <c r="T100" s="16"/>
      <c r="U100" s="16"/>
      <c r="V100" s="16"/>
      <c r="W100" s="16"/>
      <c r="X100" s="16"/>
      <c r="Y100" s="16"/>
      <c r="Z100" s="16">
        <f t="shared" si="3"/>
        <v>1</v>
      </c>
      <c r="AA100" s="16" t="s">
        <v>26</v>
      </c>
      <c r="AB100" s="15" t="s">
        <v>255</v>
      </c>
      <c r="AC100" s="15" t="s">
        <v>506</v>
      </c>
      <c r="AD100" s="15" t="s">
        <v>103</v>
      </c>
      <c r="AE100" s="15" t="s">
        <v>602</v>
      </c>
      <c r="AF100" s="15"/>
      <c r="AG100" s="15" t="s">
        <v>103</v>
      </c>
      <c r="AH100" s="15"/>
      <c r="AI100" s="15" t="s">
        <v>317</v>
      </c>
      <c r="AJ100" s="15" t="s">
        <v>298</v>
      </c>
      <c r="AK100" s="15" t="s">
        <v>336</v>
      </c>
      <c r="AL100" s="18"/>
      <c r="AM100" s="18"/>
      <c r="AN100" s="18"/>
      <c r="AO100" s="1" t="s">
        <v>812</v>
      </c>
    </row>
    <row r="101" spans="1:41" ht="12" customHeight="1" x14ac:dyDescent="0.2">
      <c r="A101" s="15" t="s">
        <v>121</v>
      </c>
      <c r="B101" s="15"/>
      <c r="C101" s="15">
        <v>5106</v>
      </c>
      <c r="D101" s="15" t="s">
        <v>545</v>
      </c>
      <c r="E101" s="15" t="s">
        <v>372</v>
      </c>
      <c r="F101" s="15" t="s">
        <v>257</v>
      </c>
      <c r="G101" s="15" t="s">
        <v>251</v>
      </c>
      <c r="H101" s="15" t="s">
        <v>75</v>
      </c>
      <c r="I101" s="15" t="s">
        <v>75</v>
      </c>
      <c r="J101" s="16"/>
      <c r="K101" s="16"/>
      <c r="L101" s="16"/>
      <c r="M101" s="16"/>
      <c r="N101" s="16"/>
      <c r="O101" s="16"/>
      <c r="P101" s="16">
        <v>26402</v>
      </c>
      <c r="Q101" s="16"/>
      <c r="R101" s="16"/>
      <c r="S101" s="16"/>
      <c r="T101" s="16"/>
      <c r="U101" s="16"/>
      <c r="V101" s="16"/>
      <c r="W101" s="16"/>
      <c r="X101" s="16"/>
      <c r="Y101" s="16"/>
      <c r="Z101" s="16">
        <f t="shared" si="3"/>
        <v>1</v>
      </c>
      <c r="AA101" s="16" t="s">
        <v>26</v>
      </c>
      <c r="AB101" s="15" t="s">
        <v>255</v>
      </c>
      <c r="AC101" s="15" t="s">
        <v>506</v>
      </c>
      <c r="AD101" s="15" t="s">
        <v>103</v>
      </c>
      <c r="AE101" s="15" t="s">
        <v>602</v>
      </c>
      <c r="AF101" s="15"/>
      <c r="AG101" s="15" t="s">
        <v>103</v>
      </c>
      <c r="AH101" s="15"/>
      <c r="AI101" s="15" t="s">
        <v>317</v>
      </c>
      <c r="AJ101" s="15" t="s">
        <v>298</v>
      </c>
      <c r="AK101" s="15" t="s">
        <v>578</v>
      </c>
      <c r="AL101" s="18"/>
      <c r="AM101" s="18"/>
      <c r="AN101" s="18"/>
      <c r="AO101" s="1" t="s">
        <v>812</v>
      </c>
    </row>
    <row r="102" spans="1:41" ht="12" customHeight="1" x14ac:dyDescent="0.2">
      <c r="A102" s="15" t="s">
        <v>121</v>
      </c>
      <c r="B102" s="15"/>
      <c r="C102" s="15">
        <v>5107</v>
      </c>
      <c r="D102" s="15" t="s">
        <v>545</v>
      </c>
      <c r="E102" s="15" t="s">
        <v>372</v>
      </c>
      <c r="F102" s="15" t="s">
        <v>257</v>
      </c>
      <c r="G102" s="15" t="s">
        <v>251</v>
      </c>
      <c r="H102" s="15" t="s">
        <v>77</v>
      </c>
      <c r="I102" s="15" t="s">
        <v>77</v>
      </c>
      <c r="J102" s="16"/>
      <c r="K102" s="16"/>
      <c r="L102" s="16"/>
      <c r="M102" s="16"/>
      <c r="N102" s="16"/>
      <c r="O102" s="16"/>
      <c r="P102" s="16">
        <v>26403</v>
      </c>
      <c r="Q102" s="16"/>
      <c r="R102" s="16"/>
      <c r="S102" s="16"/>
      <c r="T102" s="16"/>
      <c r="U102" s="16"/>
      <c r="V102" s="16"/>
      <c r="W102" s="16"/>
      <c r="X102" s="16"/>
      <c r="Y102" s="16"/>
      <c r="Z102" s="16">
        <f t="shared" si="3"/>
        <v>1</v>
      </c>
      <c r="AA102" s="16" t="s">
        <v>26</v>
      </c>
      <c r="AB102" s="15" t="s">
        <v>255</v>
      </c>
      <c r="AC102" s="15" t="s">
        <v>506</v>
      </c>
      <c r="AD102" s="15" t="s">
        <v>103</v>
      </c>
      <c r="AE102" s="15" t="s">
        <v>602</v>
      </c>
      <c r="AF102" s="15"/>
      <c r="AG102" s="15" t="s">
        <v>103</v>
      </c>
      <c r="AH102" s="15"/>
      <c r="AI102" s="15" t="s">
        <v>317</v>
      </c>
      <c r="AJ102" s="15" t="s">
        <v>298</v>
      </c>
      <c r="AK102" s="15" t="s">
        <v>670</v>
      </c>
      <c r="AL102" s="18"/>
      <c r="AM102" s="18"/>
      <c r="AN102" s="18"/>
      <c r="AO102" s="1" t="s">
        <v>812</v>
      </c>
    </row>
    <row r="103" spans="1:41" ht="12" customHeight="1" x14ac:dyDescent="0.2">
      <c r="A103" s="15" t="s">
        <v>121</v>
      </c>
      <c r="B103" s="15"/>
      <c r="C103" s="15">
        <v>5108</v>
      </c>
      <c r="D103" s="15" t="s">
        <v>545</v>
      </c>
      <c r="E103" s="15" t="s">
        <v>372</v>
      </c>
      <c r="F103" s="15" t="s">
        <v>601</v>
      </c>
      <c r="G103" s="15" t="s">
        <v>593</v>
      </c>
      <c r="H103" s="15" t="s">
        <v>482</v>
      </c>
      <c r="I103" s="15" t="s">
        <v>482</v>
      </c>
      <c r="J103" s="16"/>
      <c r="K103" s="16">
        <v>524</v>
      </c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 t="s">
        <v>88</v>
      </c>
      <c r="Z103" s="16">
        <f t="shared" si="3"/>
        <v>2</v>
      </c>
      <c r="AA103" s="16" t="s">
        <v>177</v>
      </c>
      <c r="AB103" s="15" t="s">
        <v>553</v>
      </c>
      <c r="AC103" s="15" t="s">
        <v>506</v>
      </c>
      <c r="AD103" s="15" t="s">
        <v>103</v>
      </c>
      <c r="AE103" s="15" t="s">
        <v>544</v>
      </c>
      <c r="AF103" s="15"/>
      <c r="AG103" s="15" t="s">
        <v>103</v>
      </c>
      <c r="AH103" s="15"/>
      <c r="AI103" s="15" t="s">
        <v>46</v>
      </c>
      <c r="AJ103" s="15" t="s">
        <v>653</v>
      </c>
      <c r="AK103" s="15" t="s">
        <v>306</v>
      </c>
      <c r="AL103" s="18">
        <v>86052008</v>
      </c>
      <c r="AM103" s="18" t="s">
        <v>784</v>
      </c>
      <c r="AN103" s="18" t="s">
        <v>785</v>
      </c>
      <c r="AO103" s="1" t="s">
        <v>812</v>
      </c>
    </row>
    <row r="104" spans="1:41" ht="12" customHeight="1" x14ac:dyDescent="0.2">
      <c r="A104" s="15" t="s">
        <v>121</v>
      </c>
      <c r="B104" s="15"/>
      <c r="C104" s="15">
        <v>5109</v>
      </c>
      <c r="D104" s="15" t="s">
        <v>545</v>
      </c>
      <c r="E104" s="15" t="s">
        <v>290</v>
      </c>
      <c r="F104" s="15" t="s">
        <v>495</v>
      </c>
      <c r="G104" s="15" t="s">
        <v>296</v>
      </c>
      <c r="H104" s="15" t="s">
        <v>570</v>
      </c>
      <c r="I104" s="15" t="s">
        <v>570</v>
      </c>
      <c r="J104" s="16"/>
      <c r="K104" s="16"/>
      <c r="L104" s="16"/>
      <c r="M104" s="16"/>
      <c r="N104" s="16"/>
      <c r="O104" s="16"/>
      <c r="P104" s="16"/>
      <c r="Q104" s="16">
        <v>32780</v>
      </c>
      <c r="R104" s="16">
        <v>7851</v>
      </c>
      <c r="S104" s="16"/>
      <c r="T104" s="16">
        <v>4640</v>
      </c>
      <c r="U104" s="16"/>
      <c r="V104" s="16"/>
      <c r="W104" s="16"/>
      <c r="X104" s="16"/>
      <c r="Y104" s="16"/>
      <c r="Z104" s="16">
        <f t="shared" si="3"/>
        <v>3</v>
      </c>
      <c r="AA104" s="16" t="s">
        <v>177</v>
      </c>
      <c r="AB104" s="15" t="s">
        <v>508</v>
      </c>
      <c r="AC104" s="15" t="s">
        <v>96</v>
      </c>
      <c r="AD104" s="15" t="s">
        <v>103</v>
      </c>
      <c r="AE104" s="15" t="s">
        <v>329</v>
      </c>
      <c r="AF104" s="15"/>
      <c r="AG104" s="15" t="s">
        <v>103</v>
      </c>
      <c r="AH104" s="15"/>
      <c r="AI104" s="15" t="s">
        <v>618</v>
      </c>
      <c r="AJ104" s="15" t="s">
        <v>208</v>
      </c>
      <c r="AK104" s="15" t="s">
        <v>655</v>
      </c>
      <c r="AL104" s="18">
        <v>174870004</v>
      </c>
      <c r="AM104" s="18" t="s">
        <v>790</v>
      </c>
      <c r="AN104" s="18" t="s">
        <v>791</v>
      </c>
      <c r="AO104" s="1" t="s">
        <v>812</v>
      </c>
    </row>
    <row r="105" spans="1:41" ht="12" customHeight="1" x14ac:dyDescent="0.2">
      <c r="A105" s="15" t="s">
        <v>121</v>
      </c>
      <c r="B105" s="15"/>
      <c r="C105" s="15">
        <v>5110</v>
      </c>
      <c r="D105" s="15" t="s">
        <v>545</v>
      </c>
      <c r="E105" s="15" t="s">
        <v>290</v>
      </c>
      <c r="F105" s="15" t="s">
        <v>495</v>
      </c>
      <c r="G105" s="15" t="s">
        <v>296</v>
      </c>
      <c r="H105" s="15" t="s">
        <v>569</v>
      </c>
      <c r="I105" s="15" t="s">
        <v>569</v>
      </c>
      <c r="J105" s="16"/>
      <c r="K105" s="16"/>
      <c r="L105" s="16"/>
      <c r="M105" s="16"/>
      <c r="N105" s="16"/>
      <c r="O105" s="16"/>
      <c r="P105" s="16"/>
      <c r="Q105" s="16">
        <v>32781</v>
      </c>
      <c r="R105" s="16">
        <v>7852</v>
      </c>
      <c r="S105" s="16"/>
      <c r="T105" s="16">
        <v>4641</v>
      </c>
      <c r="U105" s="16"/>
      <c r="V105" s="16"/>
      <c r="W105" s="16"/>
      <c r="X105" s="16"/>
      <c r="Y105" s="16"/>
      <c r="Z105" s="16">
        <f t="shared" si="3"/>
        <v>3</v>
      </c>
      <c r="AA105" s="16" t="s">
        <v>177</v>
      </c>
      <c r="AB105" s="15" t="s">
        <v>508</v>
      </c>
      <c r="AC105" s="15" t="s">
        <v>96</v>
      </c>
      <c r="AD105" s="15" t="s">
        <v>103</v>
      </c>
      <c r="AE105" s="15" t="s">
        <v>329</v>
      </c>
      <c r="AF105" s="15"/>
      <c r="AG105" s="15" t="s">
        <v>103</v>
      </c>
      <c r="AH105" s="15"/>
      <c r="AI105" s="15" t="s">
        <v>618</v>
      </c>
      <c r="AJ105" s="15" t="s">
        <v>208</v>
      </c>
      <c r="AK105" s="15" t="s">
        <v>154</v>
      </c>
      <c r="AL105" s="18">
        <v>174870004</v>
      </c>
      <c r="AM105" s="18" t="s">
        <v>790</v>
      </c>
      <c r="AN105" s="18" t="s">
        <v>791</v>
      </c>
      <c r="AO105" s="1" t="s">
        <v>812</v>
      </c>
    </row>
    <row r="106" spans="1:41" ht="12" customHeight="1" x14ac:dyDescent="0.2">
      <c r="A106" s="15" t="s">
        <v>121</v>
      </c>
      <c r="B106" s="15"/>
      <c r="C106" s="15">
        <v>5111</v>
      </c>
      <c r="D106" s="15" t="s">
        <v>545</v>
      </c>
      <c r="E106" s="15" t="s">
        <v>290</v>
      </c>
      <c r="F106" s="15" t="s">
        <v>495</v>
      </c>
      <c r="G106" s="15" t="s">
        <v>296</v>
      </c>
      <c r="H106" s="15" t="s">
        <v>568</v>
      </c>
      <c r="I106" s="15" t="s">
        <v>568</v>
      </c>
      <c r="J106" s="16"/>
      <c r="K106" s="16"/>
      <c r="L106" s="16"/>
      <c r="M106" s="16"/>
      <c r="N106" s="16"/>
      <c r="O106" s="16"/>
      <c r="P106" s="16"/>
      <c r="Q106" s="16">
        <v>32782</v>
      </c>
      <c r="R106" s="16">
        <v>7853</v>
      </c>
      <c r="S106" s="16"/>
      <c r="T106" s="16">
        <v>4642</v>
      </c>
      <c r="U106" s="16"/>
      <c r="V106" s="16"/>
      <c r="W106" s="16"/>
      <c r="X106" s="16"/>
      <c r="Y106" s="16"/>
      <c r="Z106" s="16">
        <f t="shared" si="3"/>
        <v>3</v>
      </c>
      <c r="AA106" s="16" t="s">
        <v>177</v>
      </c>
      <c r="AB106" s="15" t="s">
        <v>508</v>
      </c>
      <c r="AC106" s="15" t="s">
        <v>96</v>
      </c>
      <c r="AD106" s="15" t="s">
        <v>103</v>
      </c>
      <c r="AE106" s="15" t="s">
        <v>329</v>
      </c>
      <c r="AF106" s="15"/>
      <c r="AG106" s="15" t="s">
        <v>103</v>
      </c>
      <c r="AH106" s="15"/>
      <c r="AI106" s="15" t="s">
        <v>618</v>
      </c>
      <c r="AJ106" s="15" t="s">
        <v>208</v>
      </c>
      <c r="AK106" s="15" t="s">
        <v>678</v>
      </c>
      <c r="AL106" s="18">
        <v>174870004</v>
      </c>
      <c r="AM106" s="18" t="s">
        <v>790</v>
      </c>
      <c r="AN106" s="18" t="s">
        <v>791</v>
      </c>
      <c r="AO106" s="1" t="s">
        <v>812</v>
      </c>
    </row>
    <row r="107" spans="1:41" ht="12" customHeight="1" x14ac:dyDescent="0.2">
      <c r="A107" s="15" t="s">
        <v>121</v>
      </c>
      <c r="B107" s="15"/>
      <c r="C107" s="15">
        <v>5112</v>
      </c>
      <c r="D107" s="15" t="s">
        <v>545</v>
      </c>
      <c r="E107" s="15" t="s">
        <v>372</v>
      </c>
      <c r="F107" s="15" t="s">
        <v>601</v>
      </c>
      <c r="G107" s="15" t="s">
        <v>358</v>
      </c>
      <c r="H107" s="15" t="s">
        <v>261</v>
      </c>
      <c r="I107" s="15" t="s">
        <v>261</v>
      </c>
      <c r="J107" s="16"/>
      <c r="K107" s="16"/>
      <c r="L107" s="16">
        <v>20820</v>
      </c>
      <c r="M107" s="16"/>
      <c r="N107" s="16">
        <v>22640</v>
      </c>
      <c r="O107" s="16">
        <v>22640</v>
      </c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>
        <f t="shared" si="3"/>
        <v>3</v>
      </c>
      <c r="AA107" s="16" t="s">
        <v>177</v>
      </c>
      <c r="AB107" s="15" t="s">
        <v>313</v>
      </c>
      <c r="AC107" s="15"/>
      <c r="AD107" s="15" t="s">
        <v>103</v>
      </c>
      <c r="AE107" s="15" t="s">
        <v>624</v>
      </c>
      <c r="AF107" s="15"/>
      <c r="AG107" s="15" t="s">
        <v>103</v>
      </c>
      <c r="AH107" s="15"/>
      <c r="AI107" s="15" t="s">
        <v>46</v>
      </c>
      <c r="AJ107" s="15" t="s">
        <v>298</v>
      </c>
      <c r="AK107" s="15" t="s">
        <v>313</v>
      </c>
      <c r="AL107" s="18">
        <v>439417007</v>
      </c>
      <c r="AM107" s="18" t="s">
        <v>792</v>
      </c>
      <c r="AN107" s="18" t="s">
        <v>793</v>
      </c>
      <c r="AO107" s="1" t="s">
        <v>812</v>
      </c>
    </row>
    <row r="108" spans="1:41" ht="12" customHeight="1" x14ac:dyDescent="0.2">
      <c r="A108" s="15" t="s">
        <v>121</v>
      </c>
      <c r="B108" s="15"/>
      <c r="C108" s="15">
        <v>5113</v>
      </c>
      <c r="D108" s="15" t="s">
        <v>545</v>
      </c>
      <c r="E108" s="15" t="s">
        <v>372</v>
      </c>
      <c r="F108" s="15" t="s">
        <v>601</v>
      </c>
      <c r="G108" s="15" t="s">
        <v>593</v>
      </c>
      <c r="H108" s="15" t="s">
        <v>483</v>
      </c>
      <c r="I108" s="15" t="s">
        <v>483</v>
      </c>
      <c r="J108" s="16"/>
      <c r="K108" s="16"/>
      <c r="L108" s="16">
        <v>22636</v>
      </c>
      <c r="M108" s="16"/>
      <c r="N108" s="16">
        <v>22800</v>
      </c>
      <c r="O108" s="16">
        <v>22800</v>
      </c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>
        <f t="shared" si="3"/>
        <v>3</v>
      </c>
      <c r="AA108" s="16" t="s">
        <v>177</v>
      </c>
      <c r="AB108" s="15" t="s">
        <v>313</v>
      </c>
      <c r="AC108" s="15"/>
      <c r="AD108" s="15" t="s">
        <v>103</v>
      </c>
      <c r="AE108" s="15" t="s">
        <v>544</v>
      </c>
      <c r="AF108" s="15"/>
      <c r="AG108" s="15" t="s">
        <v>103</v>
      </c>
      <c r="AH108" s="15"/>
      <c r="AI108" s="15" t="s">
        <v>46</v>
      </c>
      <c r="AJ108" s="15" t="s">
        <v>653</v>
      </c>
      <c r="AK108" s="15" t="s">
        <v>22</v>
      </c>
      <c r="AL108" s="18">
        <v>439417007</v>
      </c>
      <c r="AM108" s="18" t="s">
        <v>792</v>
      </c>
      <c r="AN108" s="18" t="s">
        <v>793</v>
      </c>
      <c r="AO108" s="1" t="s">
        <v>812</v>
      </c>
    </row>
    <row r="109" spans="1:41" ht="12" customHeight="1" x14ac:dyDescent="0.2">
      <c r="A109" s="15" t="s">
        <v>121</v>
      </c>
      <c r="B109" s="15"/>
      <c r="C109" s="15">
        <v>5114</v>
      </c>
      <c r="D109" s="15" t="s">
        <v>545</v>
      </c>
      <c r="E109" s="15" t="s">
        <v>372</v>
      </c>
      <c r="F109" s="15" t="s">
        <v>601</v>
      </c>
      <c r="G109" s="15" t="s">
        <v>593</v>
      </c>
      <c r="H109" s="15" t="s">
        <v>486</v>
      </c>
      <c r="I109" s="15" t="s">
        <v>486</v>
      </c>
      <c r="J109" s="16"/>
      <c r="K109" s="16"/>
      <c r="L109" s="16"/>
      <c r="M109" s="16"/>
      <c r="N109" s="16">
        <v>22801</v>
      </c>
      <c r="O109" s="16">
        <v>22801</v>
      </c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>
        <f t="shared" si="3"/>
        <v>2</v>
      </c>
      <c r="AA109" s="16" t="s">
        <v>177</v>
      </c>
      <c r="AB109" s="15" t="s">
        <v>313</v>
      </c>
      <c r="AC109" s="15"/>
      <c r="AD109" s="15" t="s">
        <v>103</v>
      </c>
      <c r="AE109" s="15" t="s">
        <v>544</v>
      </c>
      <c r="AF109" s="15"/>
      <c r="AG109" s="15" t="s">
        <v>103</v>
      </c>
      <c r="AH109" s="15"/>
      <c r="AI109" s="15" t="s">
        <v>46</v>
      </c>
      <c r="AJ109" s="15" t="s">
        <v>653</v>
      </c>
      <c r="AK109" s="15" t="s">
        <v>62</v>
      </c>
      <c r="AL109" s="18">
        <v>439417007</v>
      </c>
      <c r="AM109" s="18" t="s">
        <v>792</v>
      </c>
      <c r="AN109" s="18" t="s">
        <v>793</v>
      </c>
      <c r="AO109" s="1" t="s">
        <v>812</v>
      </c>
    </row>
    <row r="110" spans="1:41" ht="12" customHeight="1" x14ac:dyDescent="0.2">
      <c r="A110" s="15" t="s">
        <v>121</v>
      </c>
      <c r="B110" s="15"/>
      <c r="C110" s="15">
        <v>5115</v>
      </c>
      <c r="D110" s="15" t="s">
        <v>545</v>
      </c>
      <c r="E110" s="15" t="s">
        <v>372</v>
      </c>
      <c r="F110" s="15" t="s">
        <v>601</v>
      </c>
      <c r="G110" s="15" t="s">
        <v>593</v>
      </c>
      <c r="H110" s="15" t="s">
        <v>487</v>
      </c>
      <c r="I110" s="15" t="s">
        <v>487</v>
      </c>
      <c r="J110" s="16"/>
      <c r="K110" s="16"/>
      <c r="L110" s="16"/>
      <c r="M110" s="16"/>
      <c r="N110" s="16">
        <v>22802</v>
      </c>
      <c r="O110" s="16">
        <v>22802</v>
      </c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>
        <f t="shared" si="3"/>
        <v>2</v>
      </c>
      <c r="AA110" s="16" t="s">
        <v>177</v>
      </c>
      <c r="AB110" s="15" t="s">
        <v>313</v>
      </c>
      <c r="AC110" s="15"/>
      <c r="AD110" s="15" t="s">
        <v>103</v>
      </c>
      <c r="AE110" s="15" t="s">
        <v>544</v>
      </c>
      <c r="AF110" s="15"/>
      <c r="AG110" s="15" t="s">
        <v>103</v>
      </c>
      <c r="AH110" s="15"/>
      <c r="AI110" s="15" t="s">
        <v>46</v>
      </c>
      <c r="AJ110" s="15" t="s">
        <v>653</v>
      </c>
      <c r="AK110" s="15" t="s">
        <v>91</v>
      </c>
      <c r="AL110" s="18">
        <v>439417007</v>
      </c>
      <c r="AM110" s="18" t="s">
        <v>792</v>
      </c>
      <c r="AN110" s="18" t="s">
        <v>793</v>
      </c>
      <c r="AO110" s="1" t="s">
        <v>812</v>
      </c>
    </row>
    <row r="111" spans="1:41" ht="12" customHeight="1" x14ac:dyDescent="0.2">
      <c r="A111" s="15" t="s">
        <v>121</v>
      </c>
      <c r="B111" s="15"/>
      <c r="C111" s="15">
        <v>5116</v>
      </c>
      <c r="D111" s="15" t="s">
        <v>545</v>
      </c>
      <c r="E111" s="15" t="s">
        <v>290</v>
      </c>
      <c r="F111" s="15" t="s">
        <v>601</v>
      </c>
      <c r="G111" s="15" t="s">
        <v>280</v>
      </c>
      <c r="H111" s="15" t="s">
        <v>227</v>
      </c>
      <c r="I111" s="15" t="s">
        <v>227</v>
      </c>
      <c r="J111" s="16">
        <v>16826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>
        <f t="shared" si="3"/>
        <v>1</v>
      </c>
      <c r="AA111" s="16" t="s">
        <v>26</v>
      </c>
      <c r="AB111" s="15" t="s">
        <v>313</v>
      </c>
      <c r="AC111" s="15"/>
      <c r="AD111" s="15" t="s">
        <v>103</v>
      </c>
      <c r="AE111" s="15" t="s">
        <v>381</v>
      </c>
      <c r="AF111" s="15"/>
      <c r="AG111" s="15" t="s">
        <v>103</v>
      </c>
      <c r="AH111" s="15"/>
      <c r="AI111" s="15" t="s">
        <v>46</v>
      </c>
      <c r="AJ111" s="15" t="s">
        <v>208</v>
      </c>
      <c r="AK111" s="15" t="s">
        <v>180</v>
      </c>
      <c r="AL111" s="18">
        <v>439417007</v>
      </c>
      <c r="AM111" s="18" t="s">
        <v>792</v>
      </c>
      <c r="AN111" s="18" t="s">
        <v>793</v>
      </c>
      <c r="AO111" s="1" t="s">
        <v>812</v>
      </c>
    </row>
    <row r="112" spans="1:41" ht="12" customHeight="1" x14ac:dyDescent="0.2">
      <c r="A112" s="15" t="s">
        <v>121</v>
      </c>
      <c r="B112" s="15"/>
      <c r="C112" s="15">
        <v>5117</v>
      </c>
      <c r="D112" s="15" t="s">
        <v>545</v>
      </c>
      <c r="E112" s="15" t="s">
        <v>290</v>
      </c>
      <c r="F112" s="15" t="s">
        <v>601</v>
      </c>
      <c r="G112" s="15" t="s">
        <v>280</v>
      </c>
      <c r="H112" s="15" t="s">
        <v>243</v>
      </c>
      <c r="I112" s="15" t="s">
        <v>243</v>
      </c>
      <c r="J112" s="16"/>
      <c r="K112" s="16"/>
      <c r="L112" s="16">
        <v>21348</v>
      </c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>
        <f t="shared" si="3"/>
        <v>1</v>
      </c>
      <c r="AA112" s="16" t="s">
        <v>26</v>
      </c>
      <c r="AB112" s="15" t="s">
        <v>313</v>
      </c>
      <c r="AC112" s="15"/>
      <c r="AD112" s="15" t="s">
        <v>103</v>
      </c>
      <c r="AE112" s="15" t="s">
        <v>381</v>
      </c>
      <c r="AF112" s="15"/>
      <c r="AG112" s="15" t="s">
        <v>103</v>
      </c>
      <c r="AH112" s="15"/>
      <c r="AI112" s="15" t="s">
        <v>46</v>
      </c>
      <c r="AJ112" s="15" t="s">
        <v>208</v>
      </c>
      <c r="AK112" s="15" t="s">
        <v>319</v>
      </c>
      <c r="AL112" s="18">
        <v>439417007</v>
      </c>
      <c r="AM112" s="18" t="s">
        <v>792</v>
      </c>
      <c r="AN112" s="18" t="s">
        <v>793</v>
      </c>
      <c r="AO112" s="1" t="s">
        <v>812</v>
      </c>
    </row>
    <row r="113" spans="1:41" ht="12" customHeight="1" x14ac:dyDescent="0.2">
      <c r="A113" s="15" t="s">
        <v>121</v>
      </c>
      <c r="B113" s="15"/>
      <c r="C113" s="15">
        <v>5118</v>
      </c>
      <c r="D113" s="15" t="s">
        <v>545</v>
      </c>
      <c r="E113" s="15" t="s">
        <v>372</v>
      </c>
      <c r="F113" s="15" t="s">
        <v>601</v>
      </c>
      <c r="G113" s="15" t="s">
        <v>593</v>
      </c>
      <c r="H113" s="15" t="s">
        <v>420</v>
      </c>
      <c r="I113" s="15" t="s">
        <v>420</v>
      </c>
      <c r="J113" s="16"/>
      <c r="K113" s="16"/>
      <c r="L113" s="16">
        <v>23155</v>
      </c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>
        <f t="shared" si="3"/>
        <v>1</v>
      </c>
      <c r="AA113" s="16" t="s">
        <v>26</v>
      </c>
      <c r="AB113" s="15" t="s">
        <v>313</v>
      </c>
      <c r="AC113" s="15"/>
      <c r="AD113" s="15" t="s">
        <v>103</v>
      </c>
      <c r="AE113" s="15" t="s">
        <v>544</v>
      </c>
      <c r="AF113" s="15"/>
      <c r="AG113" s="15" t="s">
        <v>103</v>
      </c>
      <c r="AH113" s="15"/>
      <c r="AI113" s="15" t="s">
        <v>46</v>
      </c>
      <c r="AJ113" s="15" t="s">
        <v>653</v>
      </c>
      <c r="AK113" s="15" t="s">
        <v>319</v>
      </c>
      <c r="AL113" s="18">
        <v>439417007</v>
      </c>
      <c r="AM113" s="18" t="s">
        <v>792</v>
      </c>
      <c r="AN113" s="18" t="s">
        <v>793</v>
      </c>
      <c r="AO113" s="1" t="s">
        <v>812</v>
      </c>
    </row>
    <row r="114" spans="1:41" ht="12" customHeight="1" x14ac:dyDescent="0.2">
      <c r="A114" s="15" t="s">
        <v>121</v>
      </c>
      <c r="B114" s="15"/>
      <c r="C114" s="15">
        <v>5119</v>
      </c>
      <c r="D114" s="15" t="s">
        <v>545</v>
      </c>
      <c r="E114" s="15" t="s">
        <v>290</v>
      </c>
      <c r="F114" s="15" t="s">
        <v>601</v>
      </c>
      <c r="G114" s="15" t="s">
        <v>280</v>
      </c>
      <c r="H114" s="15" t="s">
        <v>211</v>
      </c>
      <c r="I114" s="15" t="s">
        <v>211</v>
      </c>
      <c r="J114" s="16"/>
      <c r="K114" s="16"/>
      <c r="L114" s="16">
        <v>21938</v>
      </c>
      <c r="M114" s="16"/>
      <c r="N114" s="16"/>
      <c r="O114" s="16"/>
      <c r="P114" s="16"/>
      <c r="Q114" s="16"/>
      <c r="R114" s="16"/>
      <c r="S114" s="16"/>
      <c r="T114" s="16"/>
      <c r="U114" s="16"/>
      <c r="V114" s="16" t="s">
        <v>59</v>
      </c>
      <c r="W114" s="16"/>
      <c r="X114" s="16"/>
      <c r="Y114" s="16"/>
      <c r="Z114" s="16">
        <f t="shared" si="3"/>
        <v>2</v>
      </c>
      <c r="AA114" s="16" t="s">
        <v>177</v>
      </c>
      <c r="AB114" s="15" t="s">
        <v>313</v>
      </c>
      <c r="AC114" s="15"/>
      <c r="AD114" s="15" t="s">
        <v>103</v>
      </c>
      <c r="AE114" s="15" t="s">
        <v>381</v>
      </c>
      <c r="AF114" s="15"/>
      <c r="AG114" s="15" t="s">
        <v>103</v>
      </c>
      <c r="AH114" s="15"/>
      <c r="AI114" s="15" t="s">
        <v>46</v>
      </c>
      <c r="AJ114" s="15" t="s">
        <v>208</v>
      </c>
      <c r="AK114" s="15" t="s">
        <v>464</v>
      </c>
      <c r="AL114" s="18">
        <v>439417007</v>
      </c>
      <c r="AM114" s="18" t="s">
        <v>792</v>
      </c>
      <c r="AN114" s="18" t="s">
        <v>793</v>
      </c>
      <c r="AO114" s="1" t="s">
        <v>812</v>
      </c>
    </row>
    <row r="115" spans="1:41" ht="12" customHeight="1" x14ac:dyDescent="0.2">
      <c r="A115" s="15" t="s">
        <v>121</v>
      </c>
      <c r="B115" s="15"/>
      <c r="C115" s="15">
        <v>5120</v>
      </c>
      <c r="D115" s="15" t="s">
        <v>545</v>
      </c>
      <c r="E115" s="15" t="s">
        <v>372</v>
      </c>
      <c r="F115" s="15" t="s">
        <v>601</v>
      </c>
      <c r="G115" s="15" t="s">
        <v>358</v>
      </c>
      <c r="H115" s="15" t="s">
        <v>651</v>
      </c>
      <c r="I115" s="15" t="s">
        <v>651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 t="s">
        <v>129</v>
      </c>
      <c r="Y115" s="16"/>
      <c r="Z115" s="16">
        <f t="shared" si="3"/>
        <v>1</v>
      </c>
      <c r="AA115" s="16" t="s">
        <v>26</v>
      </c>
      <c r="AB115" s="15" t="s">
        <v>313</v>
      </c>
      <c r="AC115" s="15" t="s">
        <v>586</v>
      </c>
      <c r="AD115" s="15" t="s">
        <v>103</v>
      </c>
      <c r="AE115" s="15" t="s">
        <v>624</v>
      </c>
      <c r="AF115" s="15"/>
      <c r="AG115" s="15" t="s">
        <v>103</v>
      </c>
      <c r="AH115" s="15"/>
      <c r="AI115" s="15" t="s">
        <v>46</v>
      </c>
      <c r="AJ115" s="15" t="s">
        <v>298</v>
      </c>
      <c r="AK115" s="15" t="s">
        <v>464</v>
      </c>
      <c r="AL115" s="18">
        <v>439417007</v>
      </c>
      <c r="AM115" s="18" t="s">
        <v>792</v>
      </c>
      <c r="AN115" s="18" t="s">
        <v>793</v>
      </c>
      <c r="AO115" s="1" t="s">
        <v>812</v>
      </c>
    </row>
    <row r="116" spans="1:41" ht="12" customHeight="1" x14ac:dyDescent="0.2">
      <c r="A116" s="15" t="s">
        <v>121</v>
      </c>
      <c r="B116" s="15"/>
      <c r="C116" s="15">
        <v>5121</v>
      </c>
      <c r="D116" s="15" t="s">
        <v>545</v>
      </c>
      <c r="E116" s="15" t="s">
        <v>372</v>
      </c>
      <c r="F116" s="15" t="s">
        <v>601</v>
      </c>
      <c r="G116" s="15" t="s">
        <v>358</v>
      </c>
      <c r="H116" s="15" t="s">
        <v>20</v>
      </c>
      <c r="I116" s="15" t="s">
        <v>20</v>
      </c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 t="s">
        <v>86</v>
      </c>
      <c r="W116" s="16"/>
      <c r="X116" s="16" t="s">
        <v>591</v>
      </c>
      <c r="Y116" s="16"/>
      <c r="Z116" s="16">
        <f t="shared" si="3"/>
        <v>2</v>
      </c>
      <c r="AA116" s="16" t="s">
        <v>177</v>
      </c>
      <c r="AB116" s="15" t="s">
        <v>313</v>
      </c>
      <c r="AC116" s="15" t="s">
        <v>586</v>
      </c>
      <c r="AD116" s="15" t="s">
        <v>103</v>
      </c>
      <c r="AE116" s="15" t="s">
        <v>624</v>
      </c>
      <c r="AF116" s="15"/>
      <c r="AG116" s="15" t="s">
        <v>103</v>
      </c>
      <c r="AH116" s="15"/>
      <c r="AI116" s="15" t="s">
        <v>46</v>
      </c>
      <c r="AJ116" s="15" t="s">
        <v>298</v>
      </c>
      <c r="AK116" s="15" t="s">
        <v>246</v>
      </c>
      <c r="AL116" s="18">
        <v>439417007</v>
      </c>
      <c r="AM116" s="18" t="s">
        <v>792</v>
      </c>
      <c r="AN116" s="18" t="s">
        <v>793</v>
      </c>
      <c r="AO116" s="1" t="s">
        <v>812</v>
      </c>
    </row>
    <row r="117" spans="1:41" ht="12" customHeight="1" x14ac:dyDescent="0.2">
      <c r="A117" s="15" t="s">
        <v>121</v>
      </c>
      <c r="B117" s="15"/>
      <c r="C117" s="15">
        <v>5122</v>
      </c>
      <c r="D117" s="15" t="s">
        <v>545</v>
      </c>
      <c r="E117" s="15" t="s">
        <v>372</v>
      </c>
      <c r="F117" s="15" t="s">
        <v>601</v>
      </c>
      <c r="G117" s="15" t="s">
        <v>593</v>
      </c>
      <c r="H117" s="15" t="s">
        <v>682</v>
      </c>
      <c r="I117" s="15" t="s">
        <v>682</v>
      </c>
      <c r="J117" s="16"/>
      <c r="K117" s="16"/>
      <c r="L117" s="16">
        <v>22583</v>
      </c>
      <c r="M117" s="16"/>
      <c r="N117" s="16">
        <v>22807</v>
      </c>
      <c r="O117" s="16">
        <v>22807</v>
      </c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>
        <f t="shared" si="3"/>
        <v>3</v>
      </c>
      <c r="AA117" s="16" t="s">
        <v>177</v>
      </c>
      <c r="AB117" s="15" t="s">
        <v>313</v>
      </c>
      <c r="AC117" s="15"/>
      <c r="AD117" s="15" t="s">
        <v>103</v>
      </c>
      <c r="AE117" s="15" t="s">
        <v>544</v>
      </c>
      <c r="AF117" s="15"/>
      <c r="AG117" s="15" t="s">
        <v>103</v>
      </c>
      <c r="AH117" s="15"/>
      <c r="AI117" s="15" t="s">
        <v>46</v>
      </c>
      <c r="AJ117" s="15" t="s">
        <v>653</v>
      </c>
      <c r="AK117" s="15" t="s">
        <v>185</v>
      </c>
      <c r="AL117" s="18">
        <v>439417007</v>
      </c>
      <c r="AM117" s="18" t="s">
        <v>792</v>
      </c>
      <c r="AN117" s="18" t="s">
        <v>793</v>
      </c>
      <c r="AO117" s="1" t="s">
        <v>812</v>
      </c>
    </row>
    <row r="118" spans="1:41" ht="12" customHeight="1" x14ac:dyDescent="0.2">
      <c r="A118" s="15" t="s">
        <v>121</v>
      </c>
      <c r="B118" s="15"/>
      <c r="C118" s="15">
        <v>5123</v>
      </c>
      <c r="D118" s="15" t="s">
        <v>545</v>
      </c>
      <c r="E118" s="15" t="s">
        <v>372</v>
      </c>
      <c r="F118" s="15" t="s">
        <v>601</v>
      </c>
      <c r="G118" s="15" t="s">
        <v>593</v>
      </c>
      <c r="H118" s="15" t="s">
        <v>683</v>
      </c>
      <c r="I118" s="15" t="s">
        <v>683</v>
      </c>
      <c r="J118" s="16"/>
      <c r="K118" s="16"/>
      <c r="L118" s="16"/>
      <c r="M118" s="16"/>
      <c r="N118" s="16">
        <v>22808</v>
      </c>
      <c r="O118" s="16">
        <v>22808</v>
      </c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>
        <f t="shared" si="3"/>
        <v>2</v>
      </c>
      <c r="AA118" s="16" t="s">
        <v>177</v>
      </c>
      <c r="AB118" s="15" t="s">
        <v>313</v>
      </c>
      <c r="AC118" s="15"/>
      <c r="AD118" s="15" t="s">
        <v>103</v>
      </c>
      <c r="AE118" s="15" t="s">
        <v>544</v>
      </c>
      <c r="AF118" s="15"/>
      <c r="AG118" s="15" t="s">
        <v>103</v>
      </c>
      <c r="AH118" s="15"/>
      <c r="AI118" s="15" t="s">
        <v>46</v>
      </c>
      <c r="AJ118" s="15" t="s">
        <v>653</v>
      </c>
      <c r="AK118" s="15" t="s">
        <v>186</v>
      </c>
      <c r="AL118" s="18">
        <v>439417007</v>
      </c>
      <c r="AM118" s="18" t="s">
        <v>792</v>
      </c>
      <c r="AN118" s="18" t="s">
        <v>793</v>
      </c>
      <c r="AO118" s="1" t="s">
        <v>812</v>
      </c>
    </row>
    <row r="119" spans="1:41" ht="12" customHeight="1" x14ac:dyDescent="0.2">
      <c r="A119" s="15" t="s">
        <v>121</v>
      </c>
      <c r="B119" s="15"/>
      <c r="C119" s="15">
        <v>5124</v>
      </c>
      <c r="D119" s="15" t="s">
        <v>545</v>
      </c>
      <c r="E119" s="15" t="s">
        <v>372</v>
      </c>
      <c r="F119" s="15" t="s">
        <v>601</v>
      </c>
      <c r="G119" s="15" t="s">
        <v>593</v>
      </c>
      <c r="H119" s="15" t="s">
        <v>19</v>
      </c>
      <c r="I119" s="15" t="s">
        <v>19</v>
      </c>
      <c r="J119" s="16"/>
      <c r="K119" s="16"/>
      <c r="L119" s="16"/>
      <c r="M119" s="16"/>
      <c r="N119" s="16">
        <v>22809</v>
      </c>
      <c r="O119" s="16">
        <v>22809</v>
      </c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>
        <f t="shared" si="3"/>
        <v>2</v>
      </c>
      <c r="AA119" s="16" t="s">
        <v>177</v>
      </c>
      <c r="AB119" s="15" t="s">
        <v>313</v>
      </c>
      <c r="AC119" s="15"/>
      <c r="AD119" s="15" t="s">
        <v>103</v>
      </c>
      <c r="AE119" s="15" t="s">
        <v>544</v>
      </c>
      <c r="AF119" s="15"/>
      <c r="AG119" s="15" t="s">
        <v>103</v>
      </c>
      <c r="AH119" s="15"/>
      <c r="AI119" s="15" t="s">
        <v>46</v>
      </c>
      <c r="AJ119" s="15" t="s">
        <v>653</v>
      </c>
      <c r="AK119" s="15" t="s">
        <v>427</v>
      </c>
      <c r="AL119" s="18">
        <v>439417007</v>
      </c>
      <c r="AM119" s="18" t="s">
        <v>792</v>
      </c>
      <c r="AN119" s="18" t="s">
        <v>793</v>
      </c>
      <c r="AO119" s="1" t="s">
        <v>812</v>
      </c>
    </row>
    <row r="120" spans="1:41" ht="12" customHeight="1" x14ac:dyDescent="0.2">
      <c r="A120" s="15" t="s">
        <v>121</v>
      </c>
      <c r="B120" s="15"/>
      <c r="C120" s="15">
        <v>5125</v>
      </c>
      <c r="D120" s="15" t="s">
        <v>545</v>
      </c>
      <c r="E120" s="15" t="s">
        <v>372</v>
      </c>
      <c r="F120" s="15" t="s">
        <v>601</v>
      </c>
      <c r="G120" s="15" t="s">
        <v>593</v>
      </c>
      <c r="H120" s="15" t="s">
        <v>684</v>
      </c>
      <c r="I120" s="15" t="s">
        <v>684</v>
      </c>
      <c r="J120" s="16"/>
      <c r="K120" s="16"/>
      <c r="L120" s="16"/>
      <c r="M120" s="16"/>
      <c r="N120" s="16">
        <v>22810</v>
      </c>
      <c r="O120" s="16">
        <v>22810</v>
      </c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>
        <f t="shared" si="3"/>
        <v>2</v>
      </c>
      <c r="AA120" s="16" t="s">
        <v>177</v>
      </c>
      <c r="AB120" s="15" t="s">
        <v>313</v>
      </c>
      <c r="AC120" s="15"/>
      <c r="AD120" s="15" t="s">
        <v>103</v>
      </c>
      <c r="AE120" s="15" t="s">
        <v>544</v>
      </c>
      <c r="AF120" s="15"/>
      <c r="AG120" s="15" t="s">
        <v>103</v>
      </c>
      <c r="AH120" s="15"/>
      <c r="AI120" s="15" t="s">
        <v>46</v>
      </c>
      <c r="AJ120" s="15" t="s">
        <v>653</v>
      </c>
      <c r="AK120" s="15" t="s">
        <v>183</v>
      </c>
      <c r="AL120" s="18">
        <v>439417007</v>
      </c>
      <c r="AM120" s="18" t="s">
        <v>792</v>
      </c>
      <c r="AN120" s="18" t="s">
        <v>793</v>
      </c>
      <c r="AO120" s="1" t="s">
        <v>812</v>
      </c>
    </row>
    <row r="121" spans="1:41" ht="12" customHeight="1" x14ac:dyDescent="0.2">
      <c r="A121" s="15" t="s">
        <v>121</v>
      </c>
      <c r="B121" s="15"/>
      <c r="C121" s="15">
        <v>5126</v>
      </c>
      <c r="D121" s="15" t="s">
        <v>545</v>
      </c>
      <c r="E121" s="15" t="s">
        <v>372</v>
      </c>
      <c r="F121" s="15" t="s">
        <v>601</v>
      </c>
      <c r="G121" s="15" t="s">
        <v>593</v>
      </c>
      <c r="H121" s="15" t="s">
        <v>680</v>
      </c>
      <c r="I121" s="15" t="s">
        <v>680</v>
      </c>
      <c r="J121" s="16"/>
      <c r="K121" s="16"/>
      <c r="L121" s="16"/>
      <c r="M121" s="16"/>
      <c r="N121" s="16">
        <v>22811</v>
      </c>
      <c r="O121" s="16">
        <v>22811</v>
      </c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>
        <f t="shared" si="3"/>
        <v>2</v>
      </c>
      <c r="AA121" s="16" t="s">
        <v>177</v>
      </c>
      <c r="AB121" s="15" t="s">
        <v>313</v>
      </c>
      <c r="AC121" s="15"/>
      <c r="AD121" s="15" t="s">
        <v>103</v>
      </c>
      <c r="AE121" s="15" t="s">
        <v>544</v>
      </c>
      <c r="AF121" s="15"/>
      <c r="AG121" s="15" t="s">
        <v>103</v>
      </c>
      <c r="AH121" s="15"/>
      <c r="AI121" s="15" t="s">
        <v>46</v>
      </c>
      <c r="AJ121" s="15" t="s">
        <v>653</v>
      </c>
      <c r="AK121" s="15" t="s">
        <v>184</v>
      </c>
      <c r="AL121" s="18">
        <v>439417007</v>
      </c>
      <c r="AM121" s="18" t="s">
        <v>792</v>
      </c>
      <c r="AN121" s="18" t="s">
        <v>793</v>
      </c>
      <c r="AO121" s="1" t="s">
        <v>812</v>
      </c>
    </row>
    <row r="122" spans="1:41" ht="12" customHeight="1" x14ac:dyDescent="0.2">
      <c r="A122" s="15" t="s">
        <v>121</v>
      </c>
      <c r="B122" s="15"/>
      <c r="C122" s="15">
        <v>5127</v>
      </c>
      <c r="D122" s="15" t="s">
        <v>545</v>
      </c>
      <c r="E122" s="15" t="s">
        <v>372</v>
      </c>
      <c r="F122" s="15" t="s">
        <v>601</v>
      </c>
      <c r="G122" s="15" t="s">
        <v>593</v>
      </c>
      <c r="H122" s="15" t="s">
        <v>672</v>
      </c>
      <c r="I122" s="15" t="s">
        <v>672</v>
      </c>
      <c r="J122" s="16"/>
      <c r="K122" s="16"/>
      <c r="L122" s="16"/>
      <c r="M122" s="16"/>
      <c r="N122" s="16">
        <v>22812</v>
      </c>
      <c r="O122" s="16">
        <v>22812</v>
      </c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>
        <f t="shared" si="3"/>
        <v>2</v>
      </c>
      <c r="AA122" s="16" t="s">
        <v>177</v>
      </c>
      <c r="AB122" s="15" t="s">
        <v>313</v>
      </c>
      <c r="AC122" s="15"/>
      <c r="AD122" s="15" t="s">
        <v>103</v>
      </c>
      <c r="AE122" s="15" t="s">
        <v>544</v>
      </c>
      <c r="AF122" s="15"/>
      <c r="AG122" s="15" t="s">
        <v>103</v>
      </c>
      <c r="AH122" s="15"/>
      <c r="AI122" s="15" t="s">
        <v>46</v>
      </c>
      <c r="AJ122" s="15" t="s">
        <v>653</v>
      </c>
      <c r="AK122" s="15" t="s">
        <v>388</v>
      </c>
      <c r="AL122" s="18">
        <v>439417007</v>
      </c>
      <c r="AM122" s="18" t="s">
        <v>792</v>
      </c>
      <c r="AN122" s="18" t="s">
        <v>793</v>
      </c>
      <c r="AO122" s="1" t="s">
        <v>812</v>
      </c>
    </row>
    <row r="123" spans="1:41" ht="12" customHeight="1" x14ac:dyDescent="0.2">
      <c r="A123" s="15" t="s">
        <v>121</v>
      </c>
      <c r="B123" s="15"/>
      <c r="C123" s="15">
        <v>5128</v>
      </c>
      <c r="D123" s="15" t="s">
        <v>545</v>
      </c>
      <c r="E123" s="15" t="s">
        <v>290</v>
      </c>
      <c r="F123" s="15" t="s">
        <v>601</v>
      </c>
      <c r="G123" s="15" t="s">
        <v>280</v>
      </c>
      <c r="H123" s="15" t="s">
        <v>471</v>
      </c>
      <c r="I123" s="15" t="s">
        <v>471</v>
      </c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 t="s">
        <v>636</v>
      </c>
      <c r="X123" s="16"/>
      <c r="Y123" s="16"/>
      <c r="Z123" s="16">
        <f t="shared" si="3"/>
        <v>1</v>
      </c>
      <c r="AA123" s="16" t="s">
        <v>26</v>
      </c>
      <c r="AB123" s="15" t="s">
        <v>313</v>
      </c>
      <c r="AC123" s="15" t="s">
        <v>586</v>
      </c>
      <c r="AD123" s="15" t="s">
        <v>103</v>
      </c>
      <c r="AE123" s="15" t="s">
        <v>381</v>
      </c>
      <c r="AF123" s="15"/>
      <c r="AG123" s="15" t="s">
        <v>103</v>
      </c>
      <c r="AH123" s="15"/>
      <c r="AI123" s="15" t="s">
        <v>46</v>
      </c>
      <c r="AJ123" s="15" t="s">
        <v>208</v>
      </c>
      <c r="AK123" s="15" t="s">
        <v>218</v>
      </c>
      <c r="AL123" s="18">
        <v>439417007</v>
      </c>
      <c r="AM123" s="18" t="s">
        <v>792</v>
      </c>
      <c r="AN123" s="18" t="s">
        <v>793</v>
      </c>
      <c r="AO123" s="1" t="s">
        <v>812</v>
      </c>
    </row>
    <row r="124" spans="1:41" ht="12" customHeight="1" x14ac:dyDescent="0.2">
      <c r="A124" s="15" t="s">
        <v>121</v>
      </c>
      <c r="B124" s="15"/>
      <c r="C124" s="15">
        <v>5129</v>
      </c>
      <c r="D124" s="15" t="s">
        <v>545</v>
      </c>
      <c r="E124" s="15" t="s">
        <v>372</v>
      </c>
      <c r="F124" s="15" t="s">
        <v>601</v>
      </c>
      <c r="G124" s="15" t="s">
        <v>358</v>
      </c>
      <c r="H124" s="15" t="s">
        <v>652</v>
      </c>
      <c r="I124" s="15" t="s">
        <v>652</v>
      </c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 t="s">
        <v>167</v>
      </c>
      <c r="Y124" s="16"/>
      <c r="Z124" s="16">
        <f t="shared" si="3"/>
        <v>1</v>
      </c>
      <c r="AA124" s="16" t="s">
        <v>26</v>
      </c>
      <c r="AB124" s="15" t="s">
        <v>313</v>
      </c>
      <c r="AC124" s="15" t="s">
        <v>586</v>
      </c>
      <c r="AD124" s="15" t="s">
        <v>103</v>
      </c>
      <c r="AE124" s="15" t="s">
        <v>624</v>
      </c>
      <c r="AF124" s="15"/>
      <c r="AG124" s="15" t="s">
        <v>103</v>
      </c>
      <c r="AH124" s="15"/>
      <c r="AI124" s="15" t="s">
        <v>46</v>
      </c>
      <c r="AJ124" s="15" t="s">
        <v>298</v>
      </c>
      <c r="AK124" s="15" t="s">
        <v>304</v>
      </c>
      <c r="AL124" s="18">
        <v>439417007</v>
      </c>
      <c r="AM124" s="18" t="s">
        <v>792</v>
      </c>
      <c r="AN124" s="18" t="s">
        <v>793</v>
      </c>
      <c r="AO124" s="1" t="s">
        <v>812</v>
      </c>
    </row>
    <row r="125" spans="1:41" ht="12" customHeight="1" x14ac:dyDescent="0.2">
      <c r="A125" s="15" t="s">
        <v>121</v>
      </c>
      <c r="B125" s="15"/>
      <c r="C125" s="15">
        <v>5130</v>
      </c>
      <c r="D125" s="15" t="s">
        <v>545</v>
      </c>
      <c r="E125" s="15" t="s">
        <v>290</v>
      </c>
      <c r="F125" s="15" t="s">
        <v>601</v>
      </c>
      <c r="G125" s="15" t="s">
        <v>280</v>
      </c>
      <c r="H125" s="15" t="s">
        <v>440</v>
      </c>
      <c r="I125" s="15" t="s">
        <v>440</v>
      </c>
      <c r="J125" s="16"/>
      <c r="K125" s="16"/>
      <c r="L125" s="16">
        <v>21480</v>
      </c>
      <c r="M125" s="16"/>
      <c r="N125" s="16"/>
      <c r="O125" s="16"/>
      <c r="P125" s="16"/>
      <c r="Q125" s="16"/>
      <c r="R125" s="16"/>
      <c r="S125" s="16"/>
      <c r="T125" s="16"/>
      <c r="U125" s="16"/>
      <c r="V125" s="16" t="s">
        <v>60</v>
      </c>
      <c r="W125" s="16" t="s">
        <v>271</v>
      </c>
      <c r="X125" s="16"/>
      <c r="Y125" s="16"/>
      <c r="Z125" s="16">
        <f t="shared" si="3"/>
        <v>3</v>
      </c>
      <c r="AA125" s="16" t="s">
        <v>177</v>
      </c>
      <c r="AB125" s="15" t="s">
        <v>313</v>
      </c>
      <c r="AC125" s="15"/>
      <c r="AD125" s="15" t="s">
        <v>103</v>
      </c>
      <c r="AE125" s="15" t="s">
        <v>381</v>
      </c>
      <c r="AF125" s="15"/>
      <c r="AG125" s="15" t="s">
        <v>103</v>
      </c>
      <c r="AH125" s="15"/>
      <c r="AI125" s="15" t="s">
        <v>46</v>
      </c>
      <c r="AJ125" s="15" t="s">
        <v>208</v>
      </c>
      <c r="AK125" s="15" t="s">
        <v>344</v>
      </c>
      <c r="AL125" s="18">
        <v>439417007</v>
      </c>
      <c r="AM125" s="18" t="s">
        <v>792</v>
      </c>
      <c r="AN125" s="18" t="s">
        <v>793</v>
      </c>
      <c r="AO125" s="1" t="s">
        <v>812</v>
      </c>
    </row>
    <row r="126" spans="1:41" ht="12" customHeight="1" x14ac:dyDescent="0.2">
      <c r="A126" s="15" t="s">
        <v>121</v>
      </c>
      <c r="B126" s="15"/>
      <c r="C126" s="15">
        <v>5131</v>
      </c>
      <c r="D126" s="15" t="s">
        <v>545</v>
      </c>
      <c r="E126" s="15" t="s">
        <v>372</v>
      </c>
      <c r="F126" s="15" t="s">
        <v>601</v>
      </c>
      <c r="G126" s="15" t="s">
        <v>358</v>
      </c>
      <c r="H126" s="15" t="s">
        <v>647</v>
      </c>
      <c r="I126" s="15" t="s">
        <v>647</v>
      </c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 t="s">
        <v>550</v>
      </c>
      <c r="Y126" s="16"/>
      <c r="Z126" s="16">
        <f t="shared" ref="Z126:Z189" si="4">COUNTA(J126:Y126)</f>
        <v>1</v>
      </c>
      <c r="AA126" s="16" t="s">
        <v>26</v>
      </c>
      <c r="AB126" s="15" t="s">
        <v>313</v>
      </c>
      <c r="AC126" s="15" t="s">
        <v>586</v>
      </c>
      <c r="AD126" s="15" t="s">
        <v>103</v>
      </c>
      <c r="AE126" s="15" t="s">
        <v>624</v>
      </c>
      <c r="AF126" s="15"/>
      <c r="AG126" s="15" t="s">
        <v>103</v>
      </c>
      <c r="AH126" s="15"/>
      <c r="AI126" s="15" t="s">
        <v>46</v>
      </c>
      <c r="AJ126" s="15" t="s">
        <v>298</v>
      </c>
      <c r="AK126" s="15" t="s">
        <v>344</v>
      </c>
      <c r="AL126" s="18">
        <v>439417007</v>
      </c>
      <c r="AM126" s="18" t="s">
        <v>792</v>
      </c>
      <c r="AN126" s="18" t="s">
        <v>793</v>
      </c>
      <c r="AO126" s="1" t="s">
        <v>812</v>
      </c>
    </row>
    <row r="127" spans="1:41" ht="12" customHeight="1" x14ac:dyDescent="0.2">
      <c r="A127" s="15" t="s">
        <v>121</v>
      </c>
      <c r="B127" s="15"/>
      <c r="C127" s="15">
        <v>5132</v>
      </c>
      <c r="D127" s="15" t="s">
        <v>545</v>
      </c>
      <c r="E127" s="15" t="s">
        <v>372</v>
      </c>
      <c r="F127" s="15" t="s">
        <v>601</v>
      </c>
      <c r="G127" s="15" t="s">
        <v>593</v>
      </c>
      <c r="H127" s="15" t="s">
        <v>419</v>
      </c>
      <c r="I127" s="15" t="s">
        <v>419</v>
      </c>
      <c r="J127" s="16"/>
      <c r="K127" s="16"/>
      <c r="L127" s="16">
        <v>23146</v>
      </c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 t="s">
        <v>315</v>
      </c>
      <c r="Y127" s="16"/>
      <c r="Z127" s="16">
        <f t="shared" si="4"/>
        <v>2</v>
      </c>
      <c r="AA127" s="16" t="s">
        <v>177</v>
      </c>
      <c r="AB127" s="15" t="s">
        <v>313</v>
      </c>
      <c r="AC127" s="15"/>
      <c r="AD127" s="15" t="s">
        <v>103</v>
      </c>
      <c r="AE127" s="15" t="s">
        <v>544</v>
      </c>
      <c r="AF127" s="15"/>
      <c r="AG127" s="15" t="s">
        <v>103</v>
      </c>
      <c r="AH127" s="15"/>
      <c r="AI127" s="15" t="s">
        <v>46</v>
      </c>
      <c r="AJ127" s="15" t="s">
        <v>653</v>
      </c>
      <c r="AK127" s="15" t="s">
        <v>344</v>
      </c>
      <c r="AL127" s="18">
        <v>439417007</v>
      </c>
      <c r="AM127" s="18" t="s">
        <v>792</v>
      </c>
      <c r="AN127" s="18" t="s">
        <v>793</v>
      </c>
      <c r="AO127" s="1" t="s">
        <v>812</v>
      </c>
    </row>
    <row r="128" spans="1:41" ht="12" customHeight="1" x14ac:dyDescent="0.2">
      <c r="A128" s="15" t="s">
        <v>121</v>
      </c>
      <c r="B128" s="15"/>
      <c r="C128" s="15">
        <v>5133</v>
      </c>
      <c r="D128" s="15" t="s">
        <v>545</v>
      </c>
      <c r="E128" s="15" t="s">
        <v>290</v>
      </c>
      <c r="F128" s="15" t="s">
        <v>601</v>
      </c>
      <c r="G128" s="15" t="s">
        <v>280</v>
      </c>
      <c r="H128" s="15" t="s">
        <v>172</v>
      </c>
      <c r="I128" s="15" t="s">
        <v>172</v>
      </c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 t="s">
        <v>120</v>
      </c>
      <c r="W128" s="16" t="s">
        <v>120</v>
      </c>
      <c r="X128" s="16"/>
      <c r="Y128" s="16"/>
      <c r="Z128" s="16">
        <f t="shared" si="4"/>
        <v>2</v>
      </c>
      <c r="AA128" s="16" t="s">
        <v>177</v>
      </c>
      <c r="AB128" s="15" t="s">
        <v>313</v>
      </c>
      <c r="AC128" s="15" t="s">
        <v>586</v>
      </c>
      <c r="AD128" s="15" t="s">
        <v>103</v>
      </c>
      <c r="AE128" s="15" t="s">
        <v>381</v>
      </c>
      <c r="AF128" s="15"/>
      <c r="AG128" s="15" t="s">
        <v>103</v>
      </c>
      <c r="AH128" s="15"/>
      <c r="AI128" s="15" t="s">
        <v>46</v>
      </c>
      <c r="AJ128" s="15" t="s">
        <v>208</v>
      </c>
      <c r="AK128" s="15" t="s">
        <v>531</v>
      </c>
      <c r="AL128" s="18">
        <v>439417007</v>
      </c>
      <c r="AM128" s="18" t="s">
        <v>792</v>
      </c>
      <c r="AN128" s="18" t="s">
        <v>793</v>
      </c>
      <c r="AO128" s="1" t="s">
        <v>812</v>
      </c>
    </row>
    <row r="129" spans="1:41" ht="12" customHeight="1" x14ac:dyDescent="0.2">
      <c r="A129" s="15" t="s">
        <v>121</v>
      </c>
      <c r="B129" s="15"/>
      <c r="C129" s="15">
        <v>5134</v>
      </c>
      <c r="D129" s="15" t="s">
        <v>545</v>
      </c>
      <c r="E129" s="15" t="s">
        <v>372</v>
      </c>
      <c r="F129" s="15" t="s">
        <v>601</v>
      </c>
      <c r="G129" s="15" t="s">
        <v>358</v>
      </c>
      <c r="H129" s="15" t="s">
        <v>360</v>
      </c>
      <c r="I129" s="15" t="s">
        <v>360</v>
      </c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 t="s">
        <v>562</v>
      </c>
      <c r="Y129" s="16" t="s">
        <v>515</v>
      </c>
      <c r="Z129" s="16">
        <f t="shared" si="4"/>
        <v>2</v>
      </c>
      <c r="AA129" s="16" t="s">
        <v>177</v>
      </c>
      <c r="AB129" s="15" t="s">
        <v>313</v>
      </c>
      <c r="AC129" s="15" t="s">
        <v>586</v>
      </c>
      <c r="AD129" s="15" t="s">
        <v>103</v>
      </c>
      <c r="AE129" s="15" t="s">
        <v>624</v>
      </c>
      <c r="AF129" s="15"/>
      <c r="AG129" s="15" t="s">
        <v>103</v>
      </c>
      <c r="AH129" s="15"/>
      <c r="AI129" s="15" t="s">
        <v>46</v>
      </c>
      <c r="AJ129" s="15" t="s">
        <v>298</v>
      </c>
      <c r="AK129" s="15" t="s">
        <v>531</v>
      </c>
      <c r="AL129" s="18">
        <v>439417007</v>
      </c>
      <c r="AM129" s="18" t="s">
        <v>792</v>
      </c>
      <c r="AN129" s="18" t="s">
        <v>793</v>
      </c>
      <c r="AO129" s="1" t="s">
        <v>812</v>
      </c>
    </row>
    <row r="130" spans="1:41" ht="12" customHeight="1" x14ac:dyDescent="0.2">
      <c r="A130" s="15" t="s">
        <v>121</v>
      </c>
      <c r="B130" s="15"/>
      <c r="C130" s="15">
        <v>5135</v>
      </c>
      <c r="D130" s="15" t="s">
        <v>545</v>
      </c>
      <c r="E130" s="15" t="s">
        <v>290</v>
      </c>
      <c r="F130" s="15" t="s">
        <v>601</v>
      </c>
      <c r="G130" s="15" t="s">
        <v>280</v>
      </c>
      <c r="H130" s="15" t="s">
        <v>171</v>
      </c>
      <c r="I130" s="15" t="s">
        <v>171</v>
      </c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 t="s">
        <v>580</v>
      </c>
      <c r="W130" s="16" t="s">
        <v>580</v>
      </c>
      <c r="X130" s="16"/>
      <c r="Y130" s="16"/>
      <c r="Z130" s="16">
        <f t="shared" si="4"/>
        <v>2</v>
      </c>
      <c r="AA130" s="16" t="s">
        <v>177</v>
      </c>
      <c r="AB130" s="15" t="s">
        <v>313</v>
      </c>
      <c r="AC130" s="15" t="s">
        <v>586</v>
      </c>
      <c r="AD130" s="15" t="s">
        <v>103</v>
      </c>
      <c r="AE130" s="15" t="s">
        <v>381</v>
      </c>
      <c r="AF130" s="15"/>
      <c r="AG130" s="15" t="s">
        <v>103</v>
      </c>
      <c r="AH130" s="15"/>
      <c r="AI130" s="15" t="s">
        <v>46</v>
      </c>
      <c r="AJ130" s="15" t="s">
        <v>208</v>
      </c>
      <c r="AK130" s="15" t="s">
        <v>663</v>
      </c>
      <c r="AL130" s="18">
        <v>439417007</v>
      </c>
      <c r="AM130" s="18" t="s">
        <v>792</v>
      </c>
      <c r="AN130" s="18" t="s">
        <v>793</v>
      </c>
      <c r="AO130" s="1" t="s">
        <v>812</v>
      </c>
    </row>
    <row r="131" spans="1:41" ht="12" customHeight="1" x14ac:dyDescent="0.2">
      <c r="A131" s="15" t="s">
        <v>121</v>
      </c>
      <c r="B131" s="15"/>
      <c r="C131" s="15">
        <v>5136</v>
      </c>
      <c r="D131" s="15" t="s">
        <v>545</v>
      </c>
      <c r="E131" s="15" t="s">
        <v>372</v>
      </c>
      <c r="F131" s="15" t="s">
        <v>601</v>
      </c>
      <c r="G131" s="15" t="s">
        <v>358</v>
      </c>
      <c r="H131" s="15" t="s">
        <v>367</v>
      </c>
      <c r="I131" s="15" t="s">
        <v>367</v>
      </c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 t="s">
        <v>337</v>
      </c>
      <c r="Y131" s="16"/>
      <c r="Z131" s="16">
        <f t="shared" si="4"/>
        <v>1</v>
      </c>
      <c r="AA131" s="16" t="s">
        <v>26</v>
      </c>
      <c r="AB131" s="15" t="s">
        <v>313</v>
      </c>
      <c r="AC131" s="15" t="s">
        <v>586</v>
      </c>
      <c r="AD131" s="15" t="s">
        <v>103</v>
      </c>
      <c r="AE131" s="15" t="s">
        <v>624</v>
      </c>
      <c r="AF131" s="15"/>
      <c r="AG131" s="15" t="s">
        <v>103</v>
      </c>
      <c r="AH131" s="15"/>
      <c r="AI131" s="15" t="s">
        <v>46</v>
      </c>
      <c r="AJ131" s="15" t="s">
        <v>298</v>
      </c>
      <c r="AK131" s="15" t="s">
        <v>663</v>
      </c>
      <c r="AL131" s="18">
        <v>439417007</v>
      </c>
      <c r="AM131" s="18" t="s">
        <v>792</v>
      </c>
      <c r="AN131" s="18" t="s">
        <v>793</v>
      </c>
      <c r="AO131" s="1" t="s">
        <v>812</v>
      </c>
    </row>
    <row r="132" spans="1:41" ht="12" customHeight="1" x14ac:dyDescent="0.2">
      <c r="A132" s="15" t="s">
        <v>121</v>
      </c>
      <c r="B132" s="15"/>
      <c r="C132" s="15">
        <v>5137</v>
      </c>
      <c r="D132" s="15" t="s">
        <v>545</v>
      </c>
      <c r="E132" s="15" t="s">
        <v>372</v>
      </c>
      <c r="F132" s="15" t="s">
        <v>601</v>
      </c>
      <c r="G132" s="15" t="s">
        <v>358</v>
      </c>
      <c r="H132" s="15" t="s">
        <v>21</v>
      </c>
      <c r="I132" s="15" t="s">
        <v>21</v>
      </c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 t="s">
        <v>635</v>
      </c>
      <c r="W132" s="16" t="s">
        <v>635</v>
      </c>
      <c r="X132" s="16" t="s">
        <v>338</v>
      </c>
      <c r="Y132" s="16"/>
      <c r="Z132" s="16">
        <f t="shared" si="4"/>
        <v>3</v>
      </c>
      <c r="AA132" s="16" t="s">
        <v>177</v>
      </c>
      <c r="AB132" s="15" t="s">
        <v>313</v>
      </c>
      <c r="AC132" s="15" t="s">
        <v>586</v>
      </c>
      <c r="AD132" s="15" t="s">
        <v>103</v>
      </c>
      <c r="AE132" s="15" t="s">
        <v>624</v>
      </c>
      <c r="AF132" s="15"/>
      <c r="AG132" s="15" t="s">
        <v>103</v>
      </c>
      <c r="AH132" s="15"/>
      <c r="AI132" s="15" t="s">
        <v>46</v>
      </c>
      <c r="AJ132" s="15" t="s">
        <v>298</v>
      </c>
      <c r="AK132" s="15" t="s">
        <v>557</v>
      </c>
      <c r="AL132" s="18">
        <v>439417007</v>
      </c>
      <c r="AM132" s="18" t="s">
        <v>792</v>
      </c>
      <c r="AN132" s="18" t="s">
        <v>793</v>
      </c>
      <c r="AO132" s="1" t="s">
        <v>812</v>
      </c>
    </row>
    <row r="133" spans="1:41" ht="12" customHeight="1" x14ac:dyDescent="0.2">
      <c r="A133" s="15" t="s">
        <v>121</v>
      </c>
      <c r="B133" s="15"/>
      <c r="C133" s="15">
        <v>5138</v>
      </c>
      <c r="D133" s="15" t="s">
        <v>545</v>
      </c>
      <c r="E133" s="15" t="s">
        <v>372</v>
      </c>
      <c r="F133" s="15" t="s">
        <v>601</v>
      </c>
      <c r="G133" s="15" t="s">
        <v>358</v>
      </c>
      <c r="H133" s="15" t="s">
        <v>198</v>
      </c>
      <c r="I133" s="15" t="s">
        <v>198</v>
      </c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 t="s">
        <v>3</v>
      </c>
      <c r="Z133" s="16">
        <f t="shared" si="4"/>
        <v>1</v>
      </c>
      <c r="AA133" s="16" t="s">
        <v>26</v>
      </c>
      <c r="AB133" s="15" t="s">
        <v>313</v>
      </c>
      <c r="AC133" s="15"/>
      <c r="AD133" s="15" t="s">
        <v>103</v>
      </c>
      <c r="AE133" s="15" t="s">
        <v>624</v>
      </c>
      <c r="AF133" s="15"/>
      <c r="AG133" s="15" t="s">
        <v>103</v>
      </c>
      <c r="AH133" s="15"/>
      <c r="AI133" s="15" t="s">
        <v>46</v>
      </c>
      <c r="AJ133" s="15" t="s">
        <v>298</v>
      </c>
      <c r="AK133" s="15" t="s">
        <v>146</v>
      </c>
      <c r="AL133" s="18">
        <v>439417007</v>
      </c>
      <c r="AM133" s="18" t="s">
        <v>792</v>
      </c>
      <c r="AN133" s="18" t="s">
        <v>793</v>
      </c>
      <c r="AO133" s="1" t="s">
        <v>812</v>
      </c>
    </row>
    <row r="134" spans="1:41" ht="12" customHeight="1" x14ac:dyDescent="0.2">
      <c r="A134" s="15" t="s">
        <v>121</v>
      </c>
      <c r="B134" s="15"/>
      <c r="C134" s="15">
        <v>5139</v>
      </c>
      <c r="D134" s="15" t="s">
        <v>545</v>
      </c>
      <c r="E134" s="15" t="s">
        <v>372</v>
      </c>
      <c r="F134" s="15" t="s">
        <v>601</v>
      </c>
      <c r="G134" s="15" t="s">
        <v>358</v>
      </c>
      <c r="H134" s="15" t="s">
        <v>685</v>
      </c>
      <c r="I134" s="15" t="s">
        <v>685</v>
      </c>
      <c r="J134" s="16"/>
      <c r="K134" s="16">
        <v>5165</v>
      </c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 t="s">
        <v>89</v>
      </c>
      <c r="W134" s="16"/>
      <c r="X134" s="16" t="s">
        <v>513</v>
      </c>
      <c r="Y134" s="16"/>
      <c r="Z134" s="16">
        <f t="shared" si="4"/>
        <v>3</v>
      </c>
      <c r="AA134" s="16" t="s">
        <v>177</v>
      </c>
      <c r="AB134" s="15" t="s">
        <v>313</v>
      </c>
      <c r="AC134" s="15" t="s">
        <v>586</v>
      </c>
      <c r="AD134" s="15" t="s">
        <v>103</v>
      </c>
      <c r="AE134" s="15" t="s">
        <v>624</v>
      </c>
      <c r="AF134" s="15"/>
      <c r="AG134" s="15" t="s">
        <v>103</v>
      </c>
      <c r="AH134" s="15"/>
      <c r="AI134" s="15" t="s">
        <v>46</v>
      </c>
      <c r="AJ134" s="15" t="s">
        <v>298</v>
      </c>
      <c r="AK134" s="15" t="s">
        <v>575</v>
      </c>
      <c r="AL134" s="18">
        <v>439417007</v>
      </c>
      <c r="AM134" s="18" t="s">
        <v>792</v>
      </c>
      <c r="AN134" s="18" t="s">
        <v>793</v>
      </c>
      <c r="AO134" s="1" t="s">
        <v>812</v>
      </c>
    </row>
    <row r="135" spans="1:41" ht="12" customHeight="1" x14ac:dyDescent="0.2">
      <c r="A135" s="15" t="s">
        <v>121</v>
      </c>
      <c r="B135" s="15"/>
      <c r="C135" s="15">
        <v>5140</v>
      </c>
      <c r="D135" s="15" t="s">
        <v>545</v>
      </c>
      <c r="E135" s="15" t="s">
        <v>372</v>
      </c>
      <c r="F135" s="15" t="s">
        <v>601</v>
      </c>
      <c r="G135" s="15" t="s">
        <v>593</v>
      </c>
      <c r="H135" s="15" t="s">
        <v>497</v>
      </c>
      <c r="I135" s="15" t="s">
        <v>497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 t="s">
        <v>150</v>
      </c>
      <c r="W135" s="16" t="s">
        <v>150</v>
      </c>
      <c r="X135" s="16"/>
      <c r="Y135" s="16"/>
      <c r="Z135" s="16">
        <f t="shared" si="4"/>
        <v>2</v>
      </c>
      <c r="AA135" s="16" t="s">
        <v>177</v>
      </c>
      <c r="AB135" s="15" t="s">
        <v>313</v>
      </c>
      <c r="AC135" s="15" t="s">
        <v>586</v>
      </c>
      <c r="AD135" s="15" t="s">
        <v>103</v>
      </c>
      <c r="AE135" s="15" t="s">
        <v>544</v>
      </c>
      <c r="AF135" s="15"/>
      <c r="AG135" s="15" t="s">
        <v>103</v>
      </c>
      <c r="AH135" s="15"/>
      <c r="AI135" s="15" t="s">
        <v>46</v>
      </c>
      <c r="AJ135" s="15" t="s">
        <v>653</v>
      </c>
      <c r="AK135" s="15" t="s">
        <v>225</v>
      </c>
      <c r="AL135" s="18">
        <v>439417007</v>
      </c>
      <c r="AM135" s="18" t="s">
        <v>792</v>
      </c>
      <c r="AN135" s="18" t="s">
        <v>793</v>
      </c>
      <c r="AO135" s="1" t="s">
        <v>812</v>
      </c>
    </row>
    <row r="136" spans="1:41" ht="12" customHeight="1" x14ac:dyDescent="0.2">
      <c r="A136" s="15" t="s">
        <v>121</v>
      </c>
      <c r="B136" s="15"/>
      <c r="C136" s="15">
        <v>5141</v>
      </c>
      <c r="D136" s="15" t="s">
        <v>545</v>
      </c>
      <c r="E136" s="15" t="s">
        <v>290</v>
      </c>
      <c r="F136" s="15" t="s">
        <v>601</v>
      </c>
      <c r="G136" s="15" t="s">
        <v>280</v>
      </c>
      <c r="H136" s="15" t="s">
        <v>174</v>
      </c>
      <c r="I136" s="15" t="s">
        <v>174</v>
      </c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 t="s">
        <v>634</v>
      </c>
      <c r="W136" s="16" t="s">
        <v>634</v>
      </c>
      <c r="X136" s="16"/>
      <c r="Y136" s="16"/>
      <c r="Z136" s="16">
        <f t="shared" si="4"/>
        <v>2</v>
      </c>
      <c r="AA136" s="16" t="s">
        <v>177</v>
      </c>
      <c r="AB136" s="15" t="s">
        <v>313</v>
      </c>
      <c r="AC136" s="15" t="s">
        <v>586</v>
      </c>
      <c r="AD136" s="15" t="s">
        <v>103</v>
      </c>
      <c r="AE136" s="15" t="s">
        <v>381</v>
      </c>
      <c r="AF136" s="15"/>
      <c r="AG136" s="15" t="s">
        <v>103</v>
      </c>
      <c r="AH136" s="15"/>
      <c r="AI136" s="15" t="s">
        <v>46</v>
      </c>
      <c r="AJ136" s="15" t="s">
        <v>208</v>
      </c>
      <c r="AK136" s="15" t="s">
        <v>452</v>
      </c>
      <c r="AL136" s="18">
        <v>439417007</v>
      </c>
      <c r="AM136" s="18" t="s">
        <v>792</v>
      </c>
      <c r="AN136" s="18" t="s">
        <v>793</v>
      </c>
      <c r="AO136" s="1" t="s">
        <v>812</v>
      </c>
    </row>
    <row r="137" spans="1:41" ht="12" customHeight="1" x14ac:dyDescent="0.2">
      <c r="A137" s="15" t="s">
        <v>121</v>
      </c>
      <c r="B137" s="15"/>
      <c r="C137" s="15">
        <v>5142</v>
      </c>
      <c r="D137" s="15" t="s">
        <v>545</v>
      </c>
      <c r="E137" s="15" t="s">
        <v>372</v>
      </c>
      <c r="F137" s="15" t="s">
        <v>601</v>
      </c>
      <c r="G137" s="15" t="s">
        <v>358</v>
      </c>
      <c r="H137" s="15" t="s">
        <v>370</v>
      </c>
      <c r="I137" s="15" t="s">
        <v>370</v>
      </c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 t="s">
        <v>314</v>
      </c>
      <c r="Y137" s="16"/>
      <c r="Z137" s="16">
        <f t="shared" si="4"/>
        <v>1</v>
      </c>
      <c r="AA137" s="16" t="s">
        <v>26</v>
      </c>
      <c r="AB137" s="15" t="s">
        <v>313</v>
      </c>
      <c r="AC137" s="15" t="s">
        <v>586</v>
      </c>
      <c r="AD137" s="15" t="s">
        <v>103</v>
      </c>
      <c r="AE137" s="15" t="s">
        <v>624</v>
      </c>
      <c r="AF137" s="15"/>
      <c r="AG137" s="15" t="s">
        <v>103</v>
      </c>
      <c r="AH137" s="15"/>
      <c r="AI137" s="15" t="s">
        <v>46</v>
      </c>
      <c r="AJ137" s="15" t="s">
        <v>298</v>
      </c>
      <c r="AK137" s="15" t="s">
        <v>452</v>
      </c>
      <c r="AL137" s="18">
        <v>439417007</v>
      </c>
      <c r="AM137" s="18" t="s">
        <v>792</v>
      </c>
      <c r="AN137" s="18" t="s">
        <v>793</v>
      </c>
      <c r="AO137" s="1" t="s">
        <v>812</v>
      </c>
    </row>
    <row r="138" spans="1:41" ht="12" customHeight="1" x14ac:dyDescent="0.2">
      <c r="A138" s="15" t="s">
        <v>121</v>
      </c>
      <c r="B138" s="15"/>
      <c r="C138" s="15">
        <v>5143</v>
      </c>
      <c r="D138" s="15" t="s">
        <v>545</v>
      </c>
      <c r="E138" s="15" t="s">
        <v>290</v>
      </c>
      <c r="F138" s="15" t="s">
        <v>601</v>
      </c>
      <c r="G138" s="15" t="s">
        <v>280</v>
      </c>
      <c r="H138" s="15" t="s">
        <v>173</v>
      </c>
      <c r="I138" s="15" t="s">
        <v>173</v>
      </c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 t="s">
        <v>608</v>
      </c>
      <c r="W138" s="16" t="s">
        <v>608</v>
      </c>
      <c r="X138" s="16"/>
      <c r="Y138" s="16"/>
      <c r="Z138" s="16">
        <f t="shared" si="4"/>
        <v>2</v>
      </c>
      <c r="AA138" s="16" t="s">
        <v>177</v>
      </c>
      <c r="AB138" s="15" t="s">
        <v>313</v>
      </c>
      <c r="AC138" s="15" t="s">
        <v>586</v>
      </c>
      <c r="AD138" s="15" t="s">
        <v>103</v>
      </c>
      <c r="AE138" s="15" t="s">
        <v>381</v>
      </c>
      <c r="AF138" s="15"/>
      <c r="AG138" s="15" t="s">
        <v>103</v>
      </c>
      <c r="AH138" s="15"/>
      <c r="AI138" s="15" t="s">
        <v>46</v>
      </c>
      <c r="AJ138" s="15" t="s">
        <v>208</v>
      </c>
      <c r="AK138" s="15" t="s">
        <v>233</v>
      </c>
      <c r="AL138" s="18">
        <v>439417007</v>
      </c>
      <c r="AM138" s="18" t="s">
        <v>792</v>
      </c>
      <c r="AN138" s="18" t="s">
        <v>793</v>
      </c>
      <c r="AO138" s="1" t="s">
        <v>812</v>
      </c>
    </row>
    <row r="139" spans="1:41" ht="12" customHeight="1" x14ac:dyDescent="0.2">
      <c r="A139" s="15" t="s">
        <v>121</v>
      </c>
      <c r="B139" s="15"/>
      <c r="C139" s="15">
        <v>5144</v>
      </c>
      <c r="D139" s="15" t="s">
        <v>545</v>
      </c>
      <c r="E139" s="15" t="s">
        <v>372</v>
      </c>
      <c r="F139" s="15" t="s">
        <v>601</v>
      </c>
      <c r="G139" s="15" t="s">
        <v>358</v>
      </c>
      <c r="H139" s="15" t="s">
        <v>269</v>
      </c>
      <c r="I139" s="15" t="s">
        <v>269</v>
      </c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 t="s">
        <v>282</v>
      </c>
      <c r="Y139" s="16"/>
      <c r="Z139" s="16">
        <f t="shared" si="4"/>
        <v>1</v>
      </c>
      <c r="AA139" s="16" t="s">
        <v>26</v>
      </c>
      <c r="AB139" s="15" t="s">
        <v>313</v>
      </c>
      <c r="AC139" s="15" t="s">
        <v>586</v>
      </c>
      <c r="AD139" s="15" t="s">
        <v>103</v>
      </c>
      <c r="AE139" s="15" t="s">
        <v>624</v>
      </c>
      <c r="AF139" s="15"/>
      <c r="AG139" s="15" t="s">
        <v>103</v>
      </c>
      <c r="AH139" s="15"/>
      <c r="AI139" s="15" t="s">
        <v>46</v>
      </c>
      <c r="AJ139" s="15" t="s">
        <v>298</v>
      </c>
      <c r="AK139" s="15" t="s">
        <v>233</v>
      </c>
      <c r="AL139" s="18">
        <v>439417007</v>
      </c>
      <c r="AM139" s="18" t="s">
        <v>792</v>
      </c>
      <c r="AN139" s="18" t="s">
        <v>793</v>
      </c>
      <c r="AO139" s="1" t="s">
        <v>812</v>
      </c>
    </row>
    <row r="140" spans="1:41" ht="12" customHeight="1" x14ac:dyDescent="0.2">
      <c r="A140" s="15" t="s">
        <v>121</v>
      </c>
      <c r="B140" s="15"/>
      <c r="C140" s="15">
        <v>5145</v>
      </c>
      <c r="D140" s="15" t="s">
        <v>545</v>
      </c>
      <c r="E140" s="15" t="s">
        <v>290</v>
      </c>
      <c r="F140" s="15" t="s">
        <v>601</v>
      </c>
      <c r="G140" s="15" t="s">
        <v>280</v>
      </c>
      <c r="H140" s="15" t="s">
        <v>195</v>
      </c>
      <c r="I140" s="15" t="s">
        <v>195</v>
      </c>
      <c r="J140" s="16"/>
      <c r="K140" s="16"/>
      <c r="L140" s="16">
        <v>21856</v>
      </c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>
        <f t="shared" si="4"/>
        <v>1</v>
      </c>
      <c r="AA140" s="16" t="s">
        <v>26</v>
      </c>
      <c r="AB140" s="15" t="s">
        <v>313</v>
      </c>
      <c r="AC140" s="15"/>
      <c r="AD140" s="15" t="s">
        <v>103</v>
      </c>
      <c r="AE140" s="15" t="s">
        <v>381</v>
      </c>
      <c r="AF140" s="15"/>
      <c r="AG140" s="15" t="s">
        <v>103</v>
      </c>
      <c r="AH140" s="15"/>
      <c r="AI140" s="15" t="s">
        <v>46</v>
      </c>
      <c r="AJ140" s="15" t="s">
        <v>208</v>
      </c>
      <c r="AK140" s="15" t="s">
        <v>347</v>
      </c>
      <c r="AL140" s="18">
        <v>439417007</v>
      </c>
      <c r="AM140" s="18" t="s">
        <v>792</v>
      </c>
      <c r="AN140" s="18" t="s">
        <v>793</v>
      </c>
      <c r="AO140" s="1" t="s">
        <v>812</v>
      </c>
    </row>
    <row r="141" spans="1:41" ht="12" customHeight="1" x14ac:dyDescent="0.2">
      <c r="A141" s="15" t="s">
        <v>121</v>
      </c>
      <c r="B141" s="15"/>
      <c r="C141" s="15">
        <v>5146</v>
      </c>
      <c r="D141" s="15" t="s">
        <v>545</v>
      </c>
      <c r="E141" s="15" t="s">
        <v>290</v>
      </c>
      <c r="F141" s="15" t="s">
        <v>601</v>
      </c>
      <c r="G141" s="15" t="s">
        <v>280</v>
      </c>
      <c r="H141" s="15" t="s">
        <v>387</v>
      </c>
      <c r="I141" s="15" t="s">
        <v>387</v>
      </c>
      <c r="J141" s="16"/>
      <c r="K141" s="16"/>
      <c r="L141" s="16">
        <v>22153</v>
      </c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>
        <f t="shared" si="4"/>
        <v>1</v>
      </c>
      <c r="AA141" s="16" t="s">
        <v>26</v>
      </c>
      <c r="AB141" s="15" t="s">
        <v>313</v>
      </c>
      <c r="AC141" s="15"/>
      <c r="AD141" s="15" t="s">
        <v>103</v>
      </c>
      <c r="AE141" s="15" t="s">
        <v>381</v>
      </c>
      <c r="AF141" s="15"/>
      <c r="AG141" s="15" t="s">
        <v>103</v>
      </c>
      <c r="AH141" s="15"/>
      <c r="AI141" s="15" t="s">
        <v>46</v>
      </c>
      <c r="AJ141" s="15" t="s">
        <v>208</v>
      </c>
      <c r="AK141" s="15" t="s">
        <v>323</v>
      </c>
      <c r="AL141" s="18">
        <v>439417007</v>
      </c>
      <c r="AM141" s="18" t="s">
        <v>792</v>
      </c>
      <c r="AN141" s="18" t="s">
        <v>793</v>
      </c>
      <c r="AO141" s="1" t="s">
        <v>812</v>
      </c>
    </row>
    <row r="142" spans="1:41" ht="12" customHeight="1" x14ac:dyDescent="0.2">
      <c r="A142" s="15" t="s">
        <v>121</v>
      </c>
      <c r="B142" s="15"/>
      <c r="C142" s="15">
        <v>5147</v>
      </c>
      <c r="D142" s="15" t="s">
        <v>545</v>
      </c>
      <c r="E142" s="15" t="s">
        <v>290</v>
      </c>
      <c r="F142" s="15" t="s">
        <v>601</v>
      </c>
      <c r="G142" s="15" t="s">
        <v>280</v>
      </c>
      <c r="H142" s="15" t="s">
        <v>193</v>
      </c>
      <c r="I142" s="15" t="s">
        <v>193</v>
      </c>
      <c r="J142" s="16"/>
      <c r="K142" s="16"/>
      <c r="L142" s="16">
        <v>21734</v>
      </c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>
        <f t="shared" si="4"/>
        <v>1</v>
      </c>
      <c r="AA142" s="16" t="s">
        <v>26</v>
      </c>
      <c r="AB142" s="15" t="s">
        <v>313</v>
      </c>
      <c r="AC142" s="15" t="s">
        <v>0</v>
      </c>
      <c r="AD142" s="15" t="s">
        <v>103</v>
      </c>
      <c r="AE142" s="15" t="s">
        <v>381</v>
      </c>
      <c r="AF142" s="15"/>
      <c r="AG142" s="15" t="s">
        <v>103</v>
      </c>
      <c r="AH142" s="15"/>
      <c r="AI142" s="15" t="s">
        <v>46</v>
      </c>
      <c r="AJ142" s="15" t="s">
        <v>208</v>
      </c>
      <c r="AK142" s="15" t="s">
        <v>281</v>
      </c>
      <c r="AL142" s="18">
        <v>439417007</v>
      </c>
      <c r="AM142" s="18" t="s">
        <v>792</v>
      </c>
      <c r="AN142" s="18" t="s">
        <v>793</v>
      </c>
      <c r="AO142" s="1" t="s">
        <v>812</v>
      </c>
    </row>
    <row r="143" spans="1:41" ht="12" customHeight="1" x14ac:dyDescent="0.2">
      <c r="A143" s="15" t="s">
        <v>121</v>
      </c>
      <c r="B143" s="15"/>
      <c r="C143" s="15">
        <v>5148</v>
      </c>
      <c r="D143" s="15" t="s">
        <v>545</v>
      </c>
      <c r="E143" s="15" t="s">
        <v>372</v>
      </c>
      <c r="F143" s="15" t="s">
        <v>601</v>
      </c>
      <c r="G143" s="15" t="s">
        <v>593</v>
      </c>
      <c r="H143" s="15" t="s">
        <v>418</v>
      </c>
      <c r="I143" s="15" t="s">
        <v>418</v>
      </c>
      <c r="J143" s="16"/>
      <c r="K143" s="16"/>
      <c r="L143" s="16">
        <v>23165</v>
      </c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>
        <f t="shared" si="4"/>
        <v>1</v>
      </c>
      <c r="AA143" s="16" t="s">
        <v>26</v>
      </c>
      <c r="AB143" s="15" t="s">
        <v>313</v>
      </c>
      <c r="AC143" s="15" t="s">
        <v>0</v>
      </c>
      <c r="AD143" s="15" t="s">
        <v>103</v>
      </c>
      <c r="AE143" s="15" t="s">
        <v>544</v>
      </c>
      <c r="AF143" s="15"/>
      <c r="AG143" s="15" t="s">
        <v>103</v>
      </c>
      <c r="AH143" s="15"/>
      <c r="AI143" s="15" t="s">
        <v>46</v>
      </c>
      <c r="AJ143" s="15" t="s">
        <v>653</v>
      </c>
      <c r="AK143" s="15" t="s">
        <v>281</v>
      </c>
      <c r="AL143" s="18">
        <v>439417007</v>
      </c>
      <c r="AM143" s="18" t="s">
        <v>792</v>
      </c>
      <c r="AN143" s="18" t="s">
        <v>793</v>
      </c>
      <c r="AO143" s="1" t="s">
        <v>812</v>
      </c>
    </row>
    <row r="144" spans="1:41" ht="12" customHeight="1" x14ac:dyDescent="0.2">
      <c r="A144" s="15" t="s">
        <v>121</v>
      </c>
      <c r="B144" s="15"/>
      <c r="C144" s="15">
        <v>5149</v>
      </c>
      <c r="D144" s="15" t="s">
        <v>545</v>
      </c>
      <c r="E144" s="15" t="s">
        <v>290</v>
      </c>
      <c r="F144" s="15" t="s">
        <v>601</v>
      </c>
      <c r="G144" s="15" t="s">
        <v>280</v>
      </c>
      <c r="H144" s="15" t="s">
        <v>472</v>
      </c>
      <c r="I144" s="15" t="s">
        <v>472</v>
      </c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 t="s">
        <v>636</v>
      </c>
      <c r="W144" s="16"/>
      <c r="X144" s="16"/>
      <c r="Y144" s="16"/>
      <c r="Z144" s="16">
        <f t="shared" si="4"/>
        <v>1</v>
      </c>
      <c r="AA144" s="16" t="s">
        <v>26</v>
      </c>
      <c r="AB144" s="15" t="s">
        <v>313</v>
      </c>
      <c r="AC144" s="15" t="s">
        <v>586</v>
      </c>
      <c r="AD144" s="15" t="s">
        <v>103</v>
      </c>
      <c r="AE144" s="15" t="s">
        <v>381</v>
      </c>
      <c r="AF144" s="15"/>
      <c r="AG144" s="15" t="s">
        <v>103</v>
      </c>
      <c r="AH144" s="15"/>
      <c r="AI144" s="15" t="s">
        <v>46</v>
      </c>
      <c r="AJ144" s="15" t="s">
        <v>208</v>
      </c>
      <c r="AK144" s="15" t="s">
        <v>671</v>
      </c>
      <c r="AL144" s="18">
        <v>439417007</v>
      </c>
      <c r="AM144" s="18" t="s">
        <v>792</v>
      </c>
      <c r="AN144" s="18" t="s">
        <v>793</v>
      </c>
      <c r="AO144" s="1" t="s">
        <v>812</v>
      </c>
    </row>
    <row r="145" spans="1:41" ht="12" customHeight="1" x14ac:dyDescent="0.2">
      <c r="A145" s="15" t="s">
        <v>121</v>
      </c>
      <c r="B145" s="15"/>
      <c r="C145" s="15">
        <v>5150</v>
      </c>
      <c r="D145" s="15" t="s">
        <v>545</v>
      </c>
      <c r="E145" s="15" t="s">
        <v>372</v>
      </c>
      <c r="F145" s="15" t="s">
        <v>257</v>
      </c>
      <c r="G145" s="15" t="s">
        <v>414</v>
      </c>
      <c r="H145" s="15" t="s">
        <v>283</v>
      </c>
      <c r="I145" s="15" t="s">
        <v>283</v>
      </c>
      <c r="J145" s="16"/>
      <c r="K145" s="16"/>
      <c r="L145" s="16"/>
      <c r="M145" s="16"/>
      <c r="N145" s="16"/>
      <c r="O145" s="16"/>
      <c r="P145" s="16">
        <v>26385</v>
      </c>
      <c r="Q145" s="16"/>
      <c r="R145" s="16"/>
      <c r="S145" s="16"/>
      <c r="T145" s="16"/>
      <c r="U145" s="16"/>
      <c r="V145" s="16"/>
      <c r="W145" s="16"/>
      <c r="X145" s="16"/>
      <c r="Y145" s="16"/>
      <c r="Z145" s="16">
        <f t="shared" si="4"/>
        <v>1</v>
      </c>
      <c r="AA145" s="16" t="s">
        <v>26</v>
      </c>
      <c r="AB145" s="15" t="s">
        <v>665</v>
      </c>
      <c r="AC145" s="15" t="s">
        <v>506</v>
      </c>
      <c r="AD145" s="15" t="s">
        <v>103</v>
      </c>
      <c r="AE145" s="15" t="s">
        <v>602</v>
      </c>
      <c r="AF145" s="15"/>
      <c r="AG145" s="15" t="s">
        <v>103</v>
      </c>
      <c r="AH145" s="15"/>
      <c r="AI145" s="15" t="s">
        <v>317</v>
      </c>
      <c r="AJ145" s="15" t="s">
        <v>298</v>
      </c>
      <c r="AK145" s="15" t="s">
        <v>165</v>
      </c>
      <c r="AL145" s="18"/>
      <c r="AM145" s="18"/>
      <c r="AN145" s="18"/>
      <c r="AO145" s="1" t="s">
        <v>812</v>
      </c>
    </row>
    <row r="146" spans="1:41" ht="12" customHeight="1" x14ac:dyDescent="0.2">
      <c r="A146" s="15" t="s">
        <v>121</v>
      </c>
      <c r="B146" s="15"/>
      <c r="C146" s="15">
        <v>5151</v>
      </c>
      <c r="D146" s="15" t="s">
        <v>545</v>
      </c>
      <c r="E146" s="15" t="s">
        <v>372</v>
      </c>
      <c r="F146" s="15" t="s">
        <v>257</v>
      </c>
      <c r="G146" s="15" t="s">
        <v>414</v>
      </c>
      <c r="H146" s="15" t="s">
        <v>266</v>
      </c>
      <c r="I146" s="15" t="s">
        <v>266</v>
      </c>
      <c r="J146" s="16"/>
      <c r="K146" s="16"/>
      <c r="L146" s="16"/>
      <c r="M146" s="16"/>
      <c r="N146" s="16"/>
      <c r="O146" s="16"/>
      <c r="P146" s="16">
        <v>26386</v>
      </c>
      <c r="Q146" s="16"/>
      <c r="R146" s="16"/>
      <c r="S146" s="16"/>
      <c r="T146" s="16"/>
      <c r="U146" s="16"/>
      <c r="V146" s="16"/>
      <c r="W146" s="16"/>
      <c r="X146" s="16"/>
      <c r="Y146" s="16"/>
      <c r="Z146" s="16">
        <f t="shared" si="4"/>
        <v>1</v>
      </c>
      <c r="AA146" s="16" t="s">
        <v>26</v>
      </c>
      <c r="AB146" s="15" t="s">
        <v>665</v>
      </c>
      <c r="AC146" s="15" t="s">
        <v>506</v>
      </c>
      <c r="AD146" s="15" t="s">
        <v>103</v>
      </c>
      <c r="AE146" s="15" t="s">
        <v>602</v>
      </c>
      <c r="AF146" s="15"/>
      <c r="AG146" s="15" t="s">
        <v>103</v>
      </c>
      <c r="AH146" s="15"/>
      <c r="AI146" s="15" t="s">
        <v>317</v>
      </c>
      <c r="AJ146" s="15" t="s">
        <v>298</v>
      </c>
      <c r="AK146" s="15" t="s">
        <v>164</v>
      </c>
      <c r="AL146" s="18"/>
      <c r="AM146" s="18"/>
      <c r="AN146" s="18"/>
      <c r="AO146" s="1" t="s">
        <v>812</v>
      </c>
    </row>
    <row r="147" spans="1:41" ht="12" customHeight="1" x14ac:dyDescent="0.2">
      <c r="A147" s="15" t="s">
        <v>121</v>
      </c>
      <c r="B147" s="15"/>
      <c r="C147" s="15">
        <v>5152</v>
      </c>
      <c r="D147" s="15" t="s">
        <v>545</v>
      </c>
      <c r="E147" s="15" t="s">
        <v>372</v>
      </c>
      <c r="F147" s="15" t="s">
        <v>257</v>
      </c>
      <c r="G147" s="15" t="s">
        <v>414</v>
      </c>
      <c r="H147" s="15" t="s">
        <v>14</v>
      </c>
      <c r="I147" s="15" t="s">
        <v>14</v>
      </c>
      <c r="J147" s="16"/>
      <c r="K147" s="16"/>
      <c r="L147" s="16"/>
      <c r="M147" s="16"/>
      <c r="N147" s="16"/>
      <c r="O147" s="16"/>
      <c r="P147" s="16">
        <v>26387</v>
      </c>
      <c r="Q147" s="16"/>
      <c r="R147" s="16"/>
      <c r="S147" s="16"/>
      <c r="T147" s="16"/>
      <c r="U147" s="16"/>
      <c r="V147" s="16"/>
      <c r="W147" s="16"/>
      <c r="X147" s="16"/>
      <c r="Y147" s="16"/>
      <c r="Z147" s="16">
        <f t="shared" si="4"/>
        <v>1</v>
      </c>
      <c r="AA147" s="16" t="s">
        <v>26</v>
      </c>
      <c r="AB147" s="15" t="s">
        <v>665</v>
      </c>
      <c r="AC147" s="15" t="s">
        <v>506</v>
      </c>
      <c r="AD147" s="15" t="s">
        <v>103</v>
      </c>
      <c r="AE147" s="15" t="s">
        <v>602</v>
      </c>
      <c r="AF147" s="15"/>
      <c r="AG147" s="15" t="s">
        <v>103</v>
      </c>
      <c r="AH147" s="15"/>
      <c r="AI147" s="15" t="s">
        <v>317</v>
      </c>
      <c r="AJ147" s="15" t="s">
        <v>298</v>
      </c>
      <c r="AK147" s="15" t="s">
        <v>163</v>
      </c>
      <c r="AL147" s="18"/>
      <c r="AM147" s="18"/>
      <c r="AN147" s="18"/>
      <c r="AO147" s="1" t="s">
        <v>812</v>
      </c>
    </row>
    <row r="148" spans="1:41" ht="12" customHeight="1" x14ac:dyDescent="0.2">
      <c r="A148" s="15" t="s">
        <v>121</v>
      </c>
      <c r="B148" s="15"/>
      <c r="C148" s="15">
        <v>5153</v>
      </c>
      <c r="D148" s="15" t="s">
        <v>545</v>
      </c>
      <c r="E148" s="15" t="s">
        <v>372</v>
      </c>
      <c r="F148" s="15" t="s">
        <v>601</v>
      </c>
      <c r="G148" s="15" t="s">
        <v>593</v>
      </c>
      <c r="H148" s="15" t="s">
        <v>681</v>
      </c>
      <c r="I148" s="15" t="s">
        <v>681</v>
      </c>
      <c r="J148" s="16"/>
      <c r="K148" s="16">
        <v>527</v>
      </c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>
        <f t="shared" si="4"/>
        <v>1</v>
      </c>
      <c r="AA148" s="16" t="s">
        <v>26</v>
      </c>
      <c r="AB148" s="15" t="s">
        <v>600</v>
      </c>
      <c r="AC148" s="15" t="s">
        <v>127</v>
      </c>
      <c r="AD148" s="15" t="s">
        <v>103</v>
      </c>
      <c r="AE148" s="15" t="s">
        <v>544</v>
      </c>
      <c r="AF148" s="15"/>
      <c r="AG148" s="15" t="s">
        <v>103</v>
      </c>
      <c r="AH148" s="15"/>
      <c r="AI148" s="15" t="s">
        <v>46</v>
      </c>
      <c r="AJ148" s="15" t="s">
        <v>653</v>
      </c>
      <c r="AK148" s="15" t="s">
        <v>639</v>
      </c>
      <c r="AL148" s="18">
        <v>708903007</v>
      </c>
      <c r="AM148" s="18" t="s">
        <v>794</v>
      </c>
      <c r="AN148" s="18" t="s">
        <v>795</v>
      </c>
      <c r="AO148" s="1" t="s">
        <v>812</v>
      </c>
    </row>
    <row r="149" spans="1:41" ht="12" customHeight="1" x14ac:dyDescent="0.2">
      <c r="A149" s="15" t="s">
        <v>121</v>
      </c>
      <c r="B149" s="15"/>
      <c r="C149" s="15">
        <v>5154</v>
      </c>
      <c r="D149" s="15" t="s">
        <v>545</v>
      </c>
      <c r="E149" s="15" t="s">
        <v>372</v>
      </c>
      <c r="F149" s="15" t="s">
        <v>601</v>
      </c>
      <c r="G149" s="15" t="s">
        <v>593</v>
      </c>
      <c r="H149" s="15" t="s">
        <v>686</v>
      </c>
      <c r="I149" s="15" t="s">
        <v>686</v>
      </c>
      <c r="J149" s="16"/>
      <c r="K149" s="16">
        <v>526</v>
      </c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>
        <f t="shared" si="4"/>
        <v>1</v>
      </c>
      <c r="AA149" s="16" t="s">
        <v>26</v>
      </c>
      <c r="AB149" s="15" t="s">
        <v>600</v>
      </c>
      <c r="AC149" s="15" t="s">
        <v>127</v>
      </c>
      <c r="AD149" s="15" t="s">
        <v>103</v>
      </c>
      <c r="AE149" s="15" t="s">
        <v>544</v>
      </c>
      <c r="AF149" s="15"/>
      <c r="AG149" s="15" t="s">
        <v>103</v>
      </c>
      <c r="AH149" s="15"/>
      <c r="AI149" s="15" t="s">
        <v>46</v>
      </c>
      <c r="AJ149" s="15" t="s">
        <v>653</v>
      </c>
      <c r="AK149" s="15" t="s">
        <v>551</v>
      </c>
      <c r="AL149" s="18">
        <v>708903007</v>
      </c>
      <c r="AM149" s="18" t="s">
        <v>794</v>
      </c>
      <c r="AN149" s="18" t="s">
        <v>795</v>
      </c>
      <c r="AO149" s="1" t="s">
        <v>812</v>
      </c>
    </row>
    <row r="150" spans="1:41" ht="12" customHeight="1" x14ac:dyDescent="0.2">
      <c r="A150" s="15" t="s">
        <v>121</v>
      </c>
      <c r="B150" s="15"/>
      <c r="C150" s="15">
        <v>5155</v>
      </c>
      <c r="D150" s="15" t="s">
        <v>545</v>
      </c>
      <c r="E150" s="15" t="s">
        <v>372</v>
      </c>
      <c r="F150" s="15" t="s">
        <v>601</v>
      </c>
      <c r="G150" s="15" t="s">
        <v>593</v>
      </c>
      <c r="H150" s="15" t="s">
        <v>687</v>
      </c>
      <c r="I150" s="15" t="s">
        <v>687</v>
      </c>
      <c r="J150" s="16"/>
      <c r="K150" s="16">
        <v>525</v>
      </c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>
        <f t="shared" si="4"/>
        <v>1</v>
      </c>
      <c r="AA150" s="16" t="s">
        <v>26</v>
      </c>
      <c r="AB150" s="15" t="s">
        <v>600</v>
      </c>
      <c r="AC150" s="15" t="s">
        <v>127</v>
      </c>
      <c r="AD150" s="15" t="s">
        <v>103</v>
      </c>
      <c r="AE150" s="15" t="s">
        <v>544</v>
      </c>
      <c r="AF150" s="15"/>
      <c r="AG150" s="15" t="s">
        <v>103</v>
      </c>
      <c r="AH150" s="15"/>
      <c r="AI150" s="15" t="s">
        <v>46</v>
      </c>
      <c r="AJ150" s="15" t="s">
        <v>653</v>
      </c>
      <c r="AK150" s="15" t="s">
        <v>582</v>
      </c>
      <c r="AL150" s="18">
        <v>708903007</v>
      </c>
      <c r="AM150" s="18" t="s">
        <v>794</v>
      </c>
      <c r="AN150" s="18" t="s">
        <v>795</v>
      </c>
      <c r="AO150" s="1" t="s">
        <v>812</v>
      </c>
    </row>
    <row r="151" spans="1:41" ht="12" customHeight="1" x14ac:dyDescent="0.2">
      <c r="A151" s="15" t="s">
        <v>121</v>
      </c>
      <c r="B151" s="15"/>
      <c r="C151" s="15">
        <v>5156</v>
      </c>
      <c r="D151" s="15" t="s">
        <v>545</v>
      </c>
      <c r="E151" s="15" t="s">
        <v>372</v>
      </c>
      <c r="F151" s="15" t="s">
        <v>601</v>
      </c>
      <c r="G151" s="15" t="s">
        <v>593</v>
      </c>
      <c r="H151" s="15" t="s">
        <v>643</v>
      </c>
      <c r="I151" s="15" t="s">
        <v>643</v>
      </c>
      <c r="J151" s="16"/>
      <c r="K151" s="16">
        <v>4402</v>
      </c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>
        <f t="shared" si="4"/>
        <v>1</v>
      </c>
      <c r="AA151" s="16" t="s">
        <v>26</v>
      </c>
      <c r="AB151" s="15" t="s">
        <v>260</v>
      </c>
      <c r="AC151" s="15" t="s">
        <v>530</v>
      </c>
      <c r="AD151" s="15" t="s">
        <v>103</v>
      </c>
      <c r="AE151" s="15" t="s">
        <v>544</v>
      </c>
      <c r="AF151" s="15"/>
      <c r="AG151" s="15" t="s">
        <v>103</v>
      </c>
      <c r="AH151" s="15"/>
      <c r="AI151" s="15" t="s">
        <v>46</v>
      </c>
      <c r="AJ151" s="15" t="s">
        <v>653</v>
      </c>
      <c r="AK151" s="15" t="s">
        <v>615</v>
      </c>
      <c r="AL151" s="18">
        <v>1208378006</v>
      </c>
      <c r="AM151" s="18" t="s">
        <v>796</v>
      </c>
      <c r="AN151" s="18" t="s">
        <v>797</v>
      </c>
      <c r="AO151" s="1" t="s">
        <v>812</v>
      </c>
    </row>
    <row r="152" spans="1:41" ht="12" customHeight="1" x14ac:dyDescent="0.2">
      <c r="A152" s="15" t="s">
        <v>121</v>
      </c>
      <c r="B152" s="15"/>
      <c r="C152" s="15">
        <v>5157</v>
      </c>
      <c r="D152" s="15" t="s">
        <v>545</v>
      </c>
      <c r="E152" s="15" t="s">
        <v>372</v>
      </c>
      <c r="F152" s="15" t="s">
        <v>601</v>
      </c>
      <c r="G152" s="15" t="s">
        <v>593</v>
      </c>
      <c r="H152" s="15" t="s">
        <v>644</v>
      </c>
      <c r="I152" s="15" t="s">
        <v>644</v>
      </c>
      <c r="J152" s="16"/>
      <c r="K152" s="16">
        <v>4404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>
        <f t="shared" si="4"/>
        <v>1</v>
      </c>
      <c r="AA152" s="16" t="s">
        <v>26</v>
      </c>
      <c r="AB152" s="15" t="s">
        <v>260</v>
      </c>
      <c r="AC152" s="15" t="s">
        <v>530</v>
      </c>
      <c r="AD152" s="15" t="s">
        <v>103</v>
      </c>
      <c r="AE152" s="15" t="s">
        <v>544</v>
      </c>
      <c r="AF152" s="15"/>
      <c r="AG152" s="15" t="s">
        <v>103</v>
      </c>
      <c r="AH152" s="15"/>
      <c r="AI152" s="15" t="s">
        <v>46</v>
      </c>
      <c r="AJ152" s="15" t="s">
        <v>653</v>
      </c>
      <c r="AK152" s="15" t="s">
        <v>124</v>
      </c>
      <c r="AL152" s="18">
        <v>1208378006</v>
      </c>
      <c r="AM152" s="18" t="s">
        <v>796</v>
      </c>
      <c r="AN152" s="18" t="s">
        <v>797</v>
      </c>
      <c r="AO152" s="1" t="s">
        <v>812</v>
      </c>
    </row>
    <row r="153" spans="1:41" ht="12" customHeight="1" x14ac:dyDescent="0.2">
      <c r="A153" s="15" t="s">
        <v>121</v>
      </c>
      <c r="B153" s="15"/>
      <c r="C153" s="15">
        <v>5158</v>
      </c>
      <c r="D153" s="15" t="s">
        <v>545</v>
      </c>
      <c r="E153" s="15" t="s">
        <v>372</v>
      </c>
      <c r="F153" s="15" t="s">
        <v>601</v>
      </c>
      <c r="G153" s="15" t="s">
        <v>593</v>
      </c>
      <c r="H153" s="15" t="s">
        <v>645</v>
      </c>
      <c r="I153" s="15" t="s">
        <v>645</v>
      </c>
      <c r="J153" s="16"/>
      <c r="K153" s="16">
        <v>4403</v>
      </c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>
        <f t="shared" si="4"/>
        <v>1</v>
      </c>
      <c r="AA153" s="16" t="s">
        <v>26</v>
      </c>
      <c r="AB153" s="15" t="s">
        <v>260</v>
      </c>
      <c r="AC153" s="15" t="s">
        <v>530</v>
      </c>
      <c r="AD153" s="15" t="s">
        <v>103</v>
      </c>
      <c r="AE153" s="15" t="s">
        <v>544</v>
      </c>
      <c r="AF153" s="15"/>
      <c r="AG153" s="15" t="s">
        <v>103</v>
      </c>
      <c r="AH153" s="15"/>
      <c r="AI153" s="15" t="s">
        <v>46</v>
      </c>
      <c r="AJ153" s="15" t="s">
        <v>653</v>
      </c>
      <c r="AK153" s="15" t="s">
        <v>92</v>
      </c>
      <c r="AL153" s="18">
        <v>1208378006</v>
      </c>
      <c r="AM153" s="18" t="s">
        <v>796</v>
      </c>
      <c r="AN153" s="18" t="s">
        <v>797</v>
      </c>
      <c r="AO153" s="1" t="s">
        <v>812</v>
      </c>
    </row>
    <row r="154" spans="1:41" ht="12" customHeight="1" x14ac:dyDescent="0.2">
      <c r="A154" s="15" t="s">
        <v>121</v>
      </c>
      <c r="B154" s="15"/>
      <c r="C154" s="15">
        <v>5159</v>
      </c>
      <c r="D154" s="15" t="s">
        <v>545</v>
      </c>
      <c r="E154" s="15" t="s">
        <v>290</v>
      </c>
      <c r="F154" s="15" t="s">
        <v>601</v>
      </c>
      <c r="G154" s="15" t="s">
        <v>280</v>
      </c>
      <c r="H154" s="15" t="s">
        <v>194</v>
      </c>
      <c r="I154" s="15" t="s">
        <v>194</v>
      </c>
      <c r="J154" s="16">
        <v>16331</v>
      </c>
      <c r="K154" s="16"/>
      <c r="L154" s="16"/>
      <c r="M154" s="16"/>
      <c r="N154" s="16"/>
      <c r="O154" s="16"/>
      <c r="P154" s="16">
        <v>25662</v>
      </c>
      <c r="Q154" s="16"/>
      <c r="R154" s="16"/>
      <c r="S154" s="16"/>
      <c r="T154" s="16"/>
      <c r="U154" s="16"/>
      <c r="V154" s="16"/>
      <c r="W154" s="16"/>
      <c r="X154" s="16"/>
      <c r="Y154" s="16"/>
      <c r="Z154" s="16">
        <f t="shared" si="4"/>
        <v>2</v>
      </c>
      <c r="AA154" s="16" t="s">
        <v>177</v>
      </c>
      <c r="AB154" s="15" t="s">
        <v>265</v>
      </c>
      <c r="AC154" s="15" t="s">
        <v>72</v>
      </c>
      <c r="AD154" s="15" t="s">
        <v>103</v>
      </c>
      <c r="AE154" s="15" t="s">
        <v>381</v>
      </c>
      <c r="AF154" s="15"/>
      <c r="AG154" s="15" t="s">
        <v>103</v>
      </c>
      <c r="AH154" s="15"/>
      <c r="AI154" s="15" t="s">
        <v>46</v>
      </c>
      <c r="AJ154" s="15" t="s">
        <v>208</v>
      </c>
      <c r="AK154" s="15" t="s">
        <v>474</v>
      </c>
      <c r="AL154" s="18">
        <v>439417007</v>
      </c>
      <c r="AM154" s="18" t="s">
        <v>792</v>
      </c>
      <c r="AN154" s="18" t="s">
        <v>793</v>
      </c>
      <c r="AO154" s="1" t="s">
        <v>812</v>
      </c>
    </row>
    <row r="155" spans="1:41" ht="12" customHeight="1" x14ac:dyDescent="0.2">
      <c r="A155" s="15" t="s">
        <v>121</v>
      </c>
      <c r="B155" s="15"/>
      <c r="C155" s="15">
        <v>5160</v>
      </c>
      <c r="D155" s="15" t="s">
        <v>545</v>
      </c>
      <c r="E155" s="15" t="s">
        <v>372</v>
      </c>
      <c r="F155" s="15" t="s">
        <v>601</v>
      </c>
      <c r="G155" s="15" t="s">
        <v>593</v>
      </c>
      <c r="H155" s="15" t="s">
        <v>609</v>
      </c>
      <c r="I155" s="15" t="s">
        <v>609</v>
      </c>
      <c r="J155" s="16"/>
      <c r="K155" s="16"/>
      <c r="L155" s="16"/>
      <c r="M155" s="16"/>
      <c r="N155" s="16"/>
      <c r="O155" s="16"/>
      <c r="P155" s="16"/>
      <c r="Q155" s="16">
        <v>29929</v>
      </c>
      <c r="R155" s="16">
        <v>2921</v>
      </c>
      <c r="S155" s="16"/>
      <c r="T155" s="16">
        <v>3036</v>
      </c>
      <c r="U155" s="16"/>
      <c r="V155" s="16"/>
      <c r="W155" s="16"/>
      <c r="X155" s="16"/>
      <c r="Y155" s="16"/>
      <c r="Z155" s="16">
        <f t="shared" si="4"/>
        <v>3</v>
      </c>
      <c r="AA155" s="16" t="s">
        <v>177</v>
      </c>
      <c r="AB155" s="15" t="s">
        <v>265</v>
      </c>
      <c r="AC155" s="15" t="s">
        <v>596</v>
      </c>
      <c r="AD155" s="15" t="s">
        <v>103</v>
      </c>
      <c r="AE155" s="15" t="s">
        <v>544</v>
      </c>
      <c r="AF155" s="15"/>
      <c r="AG155" s="15" t="s">
        <v>103</v>
      </c>
      <c r="AH155" s="15"/>
      <c r="AI155" s="15" t="s">
        <v>46</v>
      </c>
      <c r="AJ155" s="15" t="s">
        <v>653</v>
      </c>
      <c r="AK155" s="15" t="s">
        <v>514</v>
      </c>
      <c r="AL155" s="18">
        <v>439417007</v>
      </c>
      <c r="AM155" s="18" t="s">
        <v>792</v>
      </c>
      <c r="AN155" s="18" t="s">
        <v>793</v>
      </c>
      <c r="AO155" s="1" t="s">
        <v>812</v>
      </c>
    </row>
    <row r="156" spans="1:41" ht="12" customHeight="1" x14ac:dyDescent="0.2">
      <c r="A156" s="15" t="s">
        <v>121</v>
      </c>
      <c r="B156" s="15"/>
      <c r="C156" s="15">
        <v>5161</v>
      </c>
      <c r="D156" s="15" t="s">
        <v>545</v>
      </c>
      <c r="E156" s="15" t="s">
        <v>290</v>
      </c>
      <c r="F156" s="15" t="s">
        <v>601</v>
      </c>
      <c r="G156" s="15" t="s">
        <v>280</v>
      </c>
      <c r="H156" s="15" t="s">
        <v>393</v>
      </c>
      <c r="I156" s="15" t="s">
        <v>393</v>
      </c>
      <c r="J156" s="16"/>
      <c r="K156" s="16"/>
      <c r="L156" s="16"/>
      <c r="M156" s="16"/>
      <c r="N156" s="16"/>
      <c r="O156" s="16"/>
      <c r="P156" s="16"/>
      <c r="Q156" s="16"/>
      <c r="R156" s="16" t="s">
        <v>295</v>
      </c>
      <c r="S156" s="16"/>
      <c r="T156" s="16">
        <v>6698</v>
      </c>
      <c r="U156" s="16"/>
      <c r="V156" s="16"/>
      <c r="W156" s="16" t="s">
        <v>332</v>
      </c>
      <c r="X156" s="16" t="s">
        <v>327</v>
      </c>
      <c r="Y156" s="16"/>
      <c r="Z156" s="16">
        <f t="shared" si="4"/>
        <v>4</v>
      </c>
      <c r="AA156" s="16" t="s">
        <v>177</v>
      </c>
      <c r="AB156" s="15" t="s">
        <v>265</v>
      </c>
      <c r="AC156" s="15" t="s">
        <v>421</v>
      </c>
      <c r="AD156" s="15" t="s">
        <v>103</v>
      </c>
      <c r="AE156" s="15" t="s">
        <v>381</v>
      </c>
      <c r="AF156" s="15"/>
      <c r="AG156" s="15" t="s">
        <v>103</v>
      </c>
      <c r="AH156" s="15"/>
      <c r="AI156" s="15" t="s">
        <v>46</v>
      </c>
      <c r="AJ156" s="15" t="s">
        <v>208</v>
      </c>
      <c r="AK156" s="15" t="s">
        <v>50</v>
      </c>
      <c r="AL156" s="18">
        <v>86052008</v>
      </c>
      <c r="AM156" s="18" t="s">
        <v>784</v>
      </c>
      <c r="AN156" s="18" t="s">
        <v>785</v>
      </c>
      <c r="AO156" s="1" t="s">
        <v>812</v>
      </c>
    </row>
    <row r="157" spans="1:41" ht="12" customHeight="1" x14ac:dyDescent="0.2">
      <c r="A157" s="15" t="s">
        <v>121</v>
      </c>
      <c r="B157" s="15"/>
      <c r="C157" s="15">
        <v>5162</v>
      </c>
      <c r="D157" s="15" t="s">
        <v>545</v>
      </c>
      <c r="E157" s="15" t="s">
        <v>372</v>
      </c>
      <c r="F157" s="15" t="s">
        <v>601</v>
      </c>
      <c r="G157" s="15" t="s">
        <v>593</v>
      </c>
      <c r="H157" s="15" t="s">
        <v>646</v>
      </c>
      <c r="I157" s="15" t="s">
        <v>646</v>
      </c>
      <c r="J157" s="16"/>
      <c r="K157" s="16"/>
      <c r="L157" s="16"/>
      <c r="M157" s="16"/>
      <c r="N157" s="16"/>
      <c r="O157" s="16"/>
      <c r="P157" s="16"/>
      <c r="Q157" s="16">
        <v>29930</v>
      </c>
      <c r="R157" s="16">
        <v>2546</v>
      </c>
      <c r="S157" s="16"/>
      <c r="T157" s="16">
        <v>3037</v>
      </c>
      <c r="U157" s="16"/>
      <c r="V157" s="16"/>
      <c r="W157" s="16"/>
      <c r="X157" s="16"/>
      <c r="Y157" s="16"/>
      <c r="Z157" s="16">
        <f t="shared" si="4"/>
        <v>3</v>
      </c>
      <c r="AA157" s="16" t="s">
        <v>177</v>
      </c>
      <c r="AB157" s="15" t="s">
        <v>265</v>
      </c>
      <c r="AC157" s="15" t="s">
        <v>421</v>
      </c>
      <c r="AD157" s="15" t="s">
        <v>103</v>
      </c>
      <c r="AE157" s="15" t="s">
        <v>544</v>
      </c>
      <c r="AF157" s="15"/>
      <c r="AG157" s="15" t="s">
        <v>103</v>
      </c>
      <c r="AH157" s="15"/>
      <c r="AI157" s="15" t="s">
        <v>46</v>
      </c>
      <c r="AJ157" s="15" t="s">
        <v>653</v>
      </c>
      <c r="AK157" s="15" t="s">
        <v>291</v>
      </c>
      <c r="AL157" s="18">
        <v>86052008</v>
      </c>
      <c r="AM157" s="18" t="s">
        <v>784</v>
      </c>
      <c r="AN157" s="18" t="s">
        <v>785</v>
      </c>
      <c r="AO157" s="1" t="s">
        <v>812</v>
      </c>
    </row>
    <row r="158" spans="1:41" ht="12" customHeight="1" x14ac:dyDescent="0.2">
      <c r="A158" s="15" t="s">
        <v>121</v>
      </c>
      <c r="B158" s="15"/>
      <c r="C158" s="15">
        <v>5163</v>
      </c>
      <c r="D158" s="15" t="s">
        <v>545</v>
      </c>
      <c r="E158" s="15" t="s">
        <v>372</v>
      </c>
      <c r="F158" s="15" t="s">
        <v>601</v>
      </c>
      <c r="G158" s="15" t="s">
        <v>593</v>
      </c>
      <c r="H158" s="15" t="s">
        <v>5</v>
      </c>
      <c r="I158" s="15" t="s">
        <v>5</v>
      </c>
      <c r="J158" s="16"/>
      <c r="K158" s="16"/>
      <c r="L158" s="16"/>
      <c r="M158" s="16"/>
      <c r="N158" s="16"/>
      <c r="O158" s="16"/>
      <c r="P158" s="16"/>
      <c r="Q158" s="16">
        <v>29931</v>
      </c>
      <c r="R158" s="16">
        <v>2547</v>
      </c>
      <c r="S158" s="16"/>
      <c r="T158" s="16">
        <v>3038</v>
      </c>
      <c r="U158" s="16"/>
      <c r="V158" s="16"/>
      <c r="W158" s="16"/>
      <c r="X158" s="16"/>
      <c r="Y158" s="16"/>
      <c r="Z158" s="16">
        <f t="shared" si="4"/>
        <v>3</v>
      </c>
      <c r="AA158" s="16" t="s">
        <v>177</v>
      </c>
      <c r="AB158" s="15" t="s">
        <v>265</v>
      </c>
      <c r="AC158" s="15" t="s">
        <v>421</v>
      </c>
      <c r="AD158" s="15" t="s">
        <v>103</v>
      </c>
      <c r="AE158" s="15" t="s">
        <v>544</v>
      </c>
      <c r="AF158" s="15"/>
      <c r="AG158" s="15" t="s">
        <v>103</v>
      </c>
      <c r="AH158" s="15"/>
      <c r="AI158" s="15" t="s">
        <v>46</v>
      </c>
      <c r="AJ158" s="15" t="s">
        <v>653</v>
      </c>
      <c r="AK158" s="15" t="s">
        <v>73</v>
      </c>
      <c r="AL158" s="18">
        <v>86052008</v>
      </c>
      <c r="AM158" s="18" t="s">
        <v>784</v>
      </c>
      <c r="AN158" s="18" t="s">
        <v>785</v>
      </c>
      <c r="AO158" s="1" t="s">
        <v>812</v>
      </c>
    </row>
    <row r="159" spans="1:41" ht="12" customHeight="1" x14ac:dyDescent="0.2">
      <c r="A159" s="15" t="s">
        <v>121</v>
      </c>
      <c r="B159" s="15"/>
      <c r="C159" s="15">
        <v>5164</v>
      </c>
      <c r="D159" s="15" t="s">
        <v>545</v>
      </c>
      <c r="E159" s="15" t="s">
        <v>290</v>
      </c>
      <c r="F159" s="15" t="s">
        <v>601</v>
      </c>
      <c r="G159" s="15" t="s">
        <v>280</v>
      </c>
      <c r="H159" s="15" t="s">
        <v>425</v>
      </c>
      <c r="I159" s="15" t="s">
        <v>425</v>
      </c>
      <c r="J159" s="16"/>
      <c r="K159" s="16"/>
      <c r="L159" s="16"/>
      <c r="M159" s="16"/>
      <c r="N159" s="16"/>
      <c r="O159" s="16"/>
      <c r="P159" s="16">
        <v>26847</v>
      </c>
      <c r="Q159" s="16"/>
      <c r="R159" s="16"/>
      <c r="S159" s="16"/>
      <c r="T159" s="16"/>
      <c r="U159" s="16"/>
      <c r="V159" s="16"/>
      <c r="W159" s="16"/>
      <c r="X159" s="16" t="s">
        <v>145</v>
      </c>
      <c r="Y159" s="16"/>
      <c r="Z159" s="16">
        <f t="shared" si="4"/>
        <v>2</v>
      </c>
      <c r="AA159" s="16" t="s">
        <v>177</v>
      </c>
      <c r="AB159" s="15" t="s">
        <v>265</v>
      </c>
      <c r="AC159" s="15" t="s">
        <v>384</v>
      </c>
      <c r="AD159" s="15" t="s">
        <v>103</v>
      </c>
      <c r="AE159" s="15" t="s">
        <v>381</v>
      </c>
      <c r="AF159" s="15"/>
      <c r="AG159" s="15" t="s">
        <v>103</v>
      </c>
      <c r="AH159" s="15"/>
      <c r="AI159" s="15" t="s">
        <v>46</v>
      </c>
      <c r="AJ159" s="15" t="s">
        <v>208</v>
      </c>
      <c r="AK159" s="15" t="s">
        <v>434</v>
      </c>
      <c r="AL159" s="18">
        <v>86052008</v>
      </c>
      <c r="AM159" s="18" t="s">
        <v>784</v>
      </c>
      <c r="AN159" s="18" t="s">
        <v>785</v>
      </c>
      <c r="AO159" s="1" t="s">
        <v>812</v>
      </c>
    </row>
    <row r="160" spans="1:41" ht="12" customHeight="1" x14ac:dyDescent="0.2">
      <c r="A160" s="15" t="s">
        <v>121</v>
      </c>
      <c r="B160" s="15"/>
      <c r="C160" s="15">
        <v>5165</v>
      </c>
      <c r="D160" s="15" t="s">
        <v>545</v>
      </c>
      <c r="E160" s="15" t="s">
        <v>372</v>
      </c>
      <c r="F160" s="15" t="s">
        <v>601</v>
      </c>
      <c r="G160" s="15" t="s">
        <v>593</v>
      </c>
      <c r="H160" s="15" t="s">
        <v>640</v>
      </c>
      <c r="I160" s="15" t="s">
        <v>640</v>
      </c>
      <c r="J160" s="16">
        <v>1171</v>
      </c>
      <c r="K160" s="16"/>
      <c r="L160" s="16"/>
      <c r="M160" s="16"/>
      <c r="N160" s="16"/>
      <c r="O160" s="16"/>
      <c r="P160" s="16"/>
      <c r="Q160" s="16">
        <v>29932</v>
      </c>
      <c r="R160" s="16">
        <v>2548</v>
      </c>
      <c r="S160" s="16"/>
      <c r="T160" s="16">
        <v>3039</v>
      </c>
      <c r="U160" s="16"/>
      <c r="V160" s="16"/>
      <c r="W160" s="16"/>
      <c r="X160" s="16"/>
      <c r="Y160" s="16"/>
      <c r="Z160" s="16">
        <f t="shared" si="4"/>
        <v>4</v>
      </c>
      <c r="AA160" s="16" t="s">
        <v>177</v>
      </c>
      <c r="AB160" s="15" t="s">
        <v>265</v>
      </c>
      <c r="AC160" s="15" t="s">
        <v>421</v>
      </c>
      <c r="AD160" s="15" t="s">
        <v>103</v>
      </c>
      <c r="AE160" s="15" t="s">
        <v>544</v>
      </c>
      <c r="AF160" s="15"/>
      <c r="AG160" s="15" t="s">
        <v>103</v>
      </c>
      <c r="AH160" s="15"/>
      <c r="AI160" s="15" t="s">
        <v>46</v>
      </c>
      <c r="AJ160" s="15" t="s">
        <v>653</v>
      </c>
      <c r="AK160" s="15" t="s">
        <v>434</v>
      </c>
      <c r="AL160" s="18">
        <v>86052008</v>
      </c>
      <c r="AM160" s="18" t="s">
        <v>784</v>
      </c>
      <c r="AN160" s="18" t="s">
        <v>785</v>
      </c>
      <c r="AO160" s="1" t="s">
        <v>812</v>
      </c>
    </row>
    <row r="161" spans="1:41" ht="12" customHeight="1" x14ac:dyDescent="0.2">
      <c r="A161" s="15" t="s">
        <v>121</v>
      </c>
      <c r="B161" s="15"/>
      <c r="C161" s="15">
        <v>5166</v>
      </c>
      <c r="D161" s="15" t="s">
        <v>545</v>
      </c>
      <c r="E161" s="15" t="s">
        <v>372</v>
      </c>
      <c r="F161" s="15" t="s">
        <v>601</v>
      </c>
      <c r="G161" s="15" t="s">
        <v>593</v>
      </c>
      <c r="H161" s="15" t="s">
        <v>239</v>
      </c>
      <c r="I161" s="15" t="s">
        <v>239</v>
      </c>
      <c r="J161" s="16"/>
      <c r="K161" s="16">
        <v>531</v>
      </c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 t="s">
        <v>169</v>
      </c>
      <c r="Z161" s="16">
        <f t="shared" si="4"/>
        <v>2</v>
      </c>
      <c r="AA161" s="16" t="s">
        <v>177</v>
      </c>
      <c r="AB161" s="15" t="s">
        <v>265</v>
      </c>
      <c r="AC161" s="15" t="s">
        <v>179</v>
      </c>
      <c r="AD161" s="15" t="s">
        <v>103</v>
      </c>
      <c r="AE161" s="15" t="s">
        <v>544</v>
      </c>
      <c r="AF161" s="15"/>
      <c r="AG161" s="15" t="s">
        <v>103</v>
      </c>
      <c r="AH161" s="15"/>
      <c r="AI161" s="15" t="s">
        <v>46</v>
      </c>
      <c r="AJ161" s="15" t="s">
        <v>653</v>
      </c>
      <c r="AK161" s="15" t="s">
        <v>179</v>
      </c>
      <c r="AL161" s="18">
        <v>439417007</v>
      </c>
      <c r="AM161" s="18" t="s">
        <v>792</v>
      </c>
      <c r="AN161" s="18" t="s">
        <v>793</v>
      </c>
      <c r="AO161" s="1" t="s">
        <v>812</v>
      </c>
    </row>
    <row r="162" spans="1:41" ht="12" customHeight="1" x14ac:dyDescent="0.2">
      <c r="A162" s="15" t="s">
        <v>121</v>
      </c>
      <c r="B162" s="15"/>
      <c r="C162" s="15">
        <v>5167</v>
      </c>
      <c r="D162" s="15" t="s">
        <v>545</v>
      </c>
      <c r="E162" s="15" t="s">
        <v>290</v>
      </c>
      <c r="F162" s="15" t="s">
        <v>601</v>
      </c>
      <c r="G162" s="15" t="s">
        <v>280</v>
      </c>
      <c r="H162" s="15" t="s">
        <v>429</v>
      </c>
      <c r="I162" s="15" t="s">
        <v>429</v>
      </c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 t="s">
        <v>27</v>
      </c>
      <c r="W162" s="16"/>
      <c r="X162" s="16"/>
      <c r="Y162" s="16"/>
      <c r="Z162" s="16">
        <f t="shared" si="4"/>
        <v>1</v>
      </c>
      <c r="AA162" s="16" t="s">
        <v>26</v>
      </c>
      <c r="AB162" s="15" t="s">
        <v>265</v>
      </c>
      <c r="AC162" s="15" t="s">
        <v>35</v>
      </c>
      <c r="AD162" s="15" t="s">
        <v>103</v>
      </c>
      <c r="AE162" s="15" t="s">
        <v>381</v>
      </c>
      <c r="AF162" s="15"/>
      <c r="AG162" s="15" t="s">
        <v>103</v>
      </c>
      <c r="AH162" s="15"/>
      <c r="AI162" s="15" t="s">
        <v>46</v>
      </c>
      <c r="AJ162" s="15" t="s">
        <v>208</v>
      </c>
      <c r="AK162" s="15" t="s">
        <v>202</v>
      </c>
      <c r="AL162" s="18">
        <v>86052008</v>
      </c>
      <c r="AM162" s="18" t="s">
        <v>784</v>
      </c>
      <c r="AN162" s="18" t="s">
        <v>785</v>
      </c>
      <c r="AO162" s="1" t="s">
        <v>812</v>
      </c>
    </row>
    <row r="163" spans="1:41" ht="12" customHeight="1" x14ac:dyDescent="0.2">
      <c r="A163" s="15" t="s">
        <v>121</v>
      </c>
      <c r="B163" s="15"/>
      <c r="C163" s="15">
        <v>5168</v>
      </c>
      <c r="D163" s="15" t="s">
        <v>545</v>
      </c>
      <c r="E163" s="15" t="s">
        <v>372</v>
      </c>
      <c r="F163" s="15" t="s">
        <v>601</v>
      </c>
      <c r="G163" s="15" t="s">
        <v>358</v>
      </c>
      <c r="H163" s="15" t="s">
        <v>461</v>
      </c>
      <c r="I163" s="15" t="s">
        <v>461</v>
      </c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 t="s">
        <v>576</v>
      </c>
      <c r="Y163" s="16"/>
      <c r="Z163" s="16">
        <f t="shared" si="4"/>
        <v>1</v>
      </c>
      <c r="AA163" s="16" t="s">
        <v>26</v>
      </c>
      <c r="AB163" s="15" t="s">
        <v>265</v>
      </c>
      <c r="AC163" s="15" t="s">
        <v>202</v>
      </c>
      <c r="AD163" s="15" t="s">
        <v>103</v>
      </c>
      <c r="AE163" s="15" t="s">
        <v>624</v>
      </c>
      <c r="AF163" s="15"/>
      <c r="AG163" s="15" t="s">
        <v>103</v>
      </c>
      <c r="AH163" s="15"/>
      <c r="AI163" s="15" t="s">
        <v>46</v>
      </c>
      <c r="AJ163" s="15" t="s">
        <v>298</v>
      </c>
      <c r="AK163" s="15" t="s">
        <v>202</v>
      </c>
      <c r="AL163" s="18">
        <v>86052008</v>
      </c>
      <c r="AM163" s="18" t="s">
        <v>784</v>
      </c>
      <c r="AN163" s="18" t="s">
        <v>785</v>
      </c>
      <c r="AO163" s="1" t="s">
        <v>812</v>
      </c>
    </row>
    <row r="164" spans="1:41" ht="12" customHeight="1" x14ac:dyDescent="0.2">
      <c r="A164" s="15" t="s">
        <v>121</v>
      </c>
      <c r="B164" s="15"/>
      <c r="C164" s="15">
        <v>5169</v>
      </c>
      <c r="D164" s="15" t="s">
        <v>545</v>
      </c>
      <c r="E164" s="15" t="s">
        <v>372</v>
      </c>
      <c r="F164" s="15" t="s">
        <v>601</v>
      </c>
      <c r="G164" s="15" t="s">
        <v>593</v>
      </c>
      <c r="H164" s="15" t="s">
        <v>538</v>
      </c>
      <c r="I164" s="15" t="s">
        <v>538</v>
      </c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 t="s">
        <v>299</v>
      </c>
      <c r="X164" s="16"/>
      <c r="Y164" s="16"/>
      <c r="Z164" s="16">
        <f t="shared" si="4"/>
        <v>1</v>
      </c>
      <c r="AA164" s="16" t="s">
        <v>26</v>
      </c>
      <c r="AB164" s="15" t="s">
        <v>265</v>
      </c>
      <c r="AC164" s="15" t="s">
        <v>202</v>
      </c>
      <c r="AD164" s="15" t="s">
        <v>103</v>
      </c>
      <c r="AE164" s="15" t="s">
        <v>544</v>
      </c>
      <c r="AF164" s="15"/>
      <c r="AG164" s="15" t="s">
        <v>103</v>
      </c>
      <c r="AH164" s="15"/>
      <c r="AI164" s="15" t="s">
        <v>46</v>
      </c>
      <c r="AJ164" s="15" t="s">
        <v>653</v>
      </c>
      <c r="AK164" s="15" t="s">
        <v>202</v>
      </c>
      <c r="AL164" s="18">
        <v>86052008</v>
      </c>
      <c r="AM164" s="18" t="s">
        <v>784</v>
      </c>
      <c r="AN164" s="18" t="s">
        <v>785</v>
      </c>
      <c r="AO164" s="1" t="s">
        <v>812</v>
      </c>
    </row>
    <row r="165" spans="1:41" ht="12" customHeight="1" x14ac:dyDescent="0.2">
      <c r="A165" s="15" t="s">
        <v>121</v>
      </c>
      <c r="B165" s="15"/>
      <c r="C165" s="15">
        <v>5170</v>
      </c>
      <c r="D165" s="15" t="s">
        <v>545</v>
      </c>
      <c r="E165" s="15" t="s">
        <v>372</v>
      </c>
      <c r="F165" s="15" t="s">
        <v>601</v>
      </c>
      <c r="G165" s="15" t="s">
        <v>593</v>
      </c>
      <c r="H165" s="15" t="s">
        <v>641</v>
      </c>
      <c r="I165" s="15" t="s">
        <v>641</v>
      </c>
      <c r="J165" s="16"/>
      <c r="K165" s="16"/>
      <c r="L165" s="16"/>
      <c r="M165" s="16"/>
      <c r="N165" s="16">
        <v>22803</v>
      </c>
      <c r="O165" s="16">
        <v>22803</v>
      </c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>
        <f t="shared" si="4"/>
        <v>2</v>
      </c>
      <c r="AA165" s="16" t="s">
        <v>177</v>
      </c>
      <c r="AB165" s="15" t="s">
        <v>265</v>
      </c>
      <c r="AC165" s="15"/>
      <c r="AD165" s="15" t="s">
        <v>103</v>
      </c>
      <c r="AE165" s="15" t="s">
        <v>544</v>
      </c>
      <c r="AF165" s="15"/>
      <c r="AG165" s="15" t="s">
        <v>103</v>
      </c>
      <c r="AH165" s="15"/>
      <c r="AI165" s="15" t="s">
        <v>46</v>
      </c>
      <c r="AJ165" s="15" t="s">
        <v>653</v>
      </c>
      <c r="AK165" s="15" t="s">
        <v>549</v>
      </c>
      <c r="AL165" s="18">
        <v>439417007</v>
      </c>
      <c r="AM165" s="18" t="s">
        <v>792</v>
      </c>
      <c r="AN165" s="18" t="s">
        <v>793</v>
      </c>
      <c r="AO165" s="1" t="s">
        <v>812</v>
      </c>
    </row>
    <row r="166" spans="1:41" ht="12" customHeight="1" x14ac:dyDescent="0.2">
      <c r="A166" s="15" t="s">
        <v>121</v>
      </c>
      <c r="B166" s="15"/>
      <c r="C166" s="15">
        <v>5171</v>
      </c>
      <c r="D166" s="15" t="s">
        <v>545</v>
      </c>
      <c r="E166" s="15" t="s">
        <v>372</v>
      </c>
      <c r="F166" s="15" t="s">
        <v>601</v>
      </c>
      <c r="G166" s="15" t="s">
        <v>593</v>
      </c>
      <c r="H166" s="15" t="s">
        <v>642</v>
      </c>
      <c r="I166" s="15" t="s">
        <v>642</v>
      </c>
      <c r="J166" s="16"/>
      <c r="K166" s="16"/>
      <c r="L166" s="16"/>
      <c r="M166" s="16"/>
      <c r="N166" s="16">
        <v>22804</v>
      </c>
      <c r="O166" s="16">
        <v>22804</v>
      </c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>
        <f t="shared" si="4"/>
        <v>2</v>
      </c>
      <c r="AA166" s="16" t="s">
        <v>177</v>
      </c>
      <c r="AB166" s="15" t="s">
        <v>265</v>
      </c>
      <c r="AC166" s="15"/>
      <c r="AD166" s="15" t="s">
        <v>103</v>
      </c>
      <c r="AE166" s="15" t="s">
        <v>544</v>
      </c>
      <c r="AF166" s="15"/>
      <c r="AG166" s="15" t="s">
        <v>103</v>
      </c>
      <c r="AH166" s="15"/>
      <c r="AI166" s="15" t="s">
        <v>46</v>
      </c>
      <c r="AJ166" s="15" t="s">
        <v>653</v>
      </c>
      <c r="AK166" s="15" t="s">
        <v>352</v>
      </c>
      <c r="AL166" s="18">
        <v>439417007</v>
      </c>
      <c r="AM166" s="18" t="s">
        <v>792</v>
      </c>
      <c r="AN166" s="18" t="s">
        <v>793</v>
      </c>
      <c r="AO166" s="1" t="s">
        <v>812</v>
      </c>
    </row>
    <row r="167" spans="1:41" ht="12" customHeight="1" x14ac:dyDescent="0.2">
      <c r="A167" s="15" t="s">
        <v>121</v>
      </c>
      <c r="B167" s="15"/>
      <c r="C167" s="15">
        <v>5172</v>
      </c>
      <c r="D167" s="15" t="s">
        <v>545</v>
      </c>
      <c r="E167" s="15" t="s">
        <v>372</v>
      </c>
      <c r="F167" s="15" t="s">
        <v>601</v>
      </c>
      <c r="G167" s="15" t="s">
        <v>593</v>
      </c>
      <c r="H167" s="15" t="s">
        <v>649</v>
      </c>
      <c r="I167" s="15" t="s">
        <v>649</v>
      </c>
      <c r="J167" s="16"/>
      <c r="K167" s="16"/>
      <c r="L167" s="16"/>
      <c r="M167" s="16"/>
      <c r="N167" s="16">
        <v>22805</v>
      </c>
      <c r="O167" s="16">
        <v>22805</v>
      </c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>
        <f t="shared" si="4"/>
        <v>2</v>
      </c>
      <c r="AA167" s="16" t="s">
        <v>177</v>
      </c>
      <c r="AB167" s="15" t="s">
        <v>265</v>
      </c>
      <c r="AC167" s="15"/>
      <c r="AD167" s="15" t="s">
        <v>103</v>
      </c>
      <c r="AE167" s="15" t="s">
        <v>544</v>
      </c>
      <c r="AF167" s="15"/>
      <c r="AG167" s="15" t="s">
        <v>103</v>
      </c>
      <c r="AH167" s="15"/>
      <c r="AI167" s="15" t="s">
        <v>46</v>
      </c>
      <c r="AJ167" s="15" t="s">
        <v>653</v>
      </c>
      <c r="AK167" s="15" t="s">
        <v>481</v>
      </c>
      <c r="AL167" s="18">
        <v>439417007</v>
      </c>
      <c r="AM167" s="18" t="s">
        <v>792</v>
      </c>
      <c r="AN167" s="18" t="s">
        <v>793</v>
      </c>
      <c r="AO167" s="1" t="s">
        <v>812</v>
      </c>
    </row>
    <row r="168" spans="1:41" ht="12" customHeight="1" x14ac:dyDescent="0.2">
      <c r="A168" s="15" t="s">
        <v>121</v>
      </c>
      <c r="B168" s="15"/>
      <c r="C168" s="15">
        <v>5173</v>
      </c>
      <c r="D168" s="15" t="s">
        <v>545</v>
      </c>
      <c r="E168" s="15" t="s">
        <v>372</v>
      </c>
      <c r="F168" s="15" t="s">
        <v>601</v>
      </c>
      <c r="G168" s="15" t="s">
        <v>593</v>
      </c>
      <c r="H168" s="15" t="s">
        <v>650</v>
      </c>
      <c r="I168" s="15" t="s">
        <v>650</v>
      </c>
      <c r="J168" s="16"/>
      <c r="K168" s="16"/>
      <c r="L168" s="16"/>
      <c r="M168" s="16"/>
      <c r="N168" s="16">
        <v>22806</v>
      </c>
      <c r="O168" s="16">
        <v>22806</v>
      </c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>
        <f t="shared" si="4"/>
        <v>2</v>
      </c>
      <c r="AA168" s="16" t="s">
        <v>177</v>
      </c>
      <c r="AB168" s="15" t="s">
        <v>265</v>
      </c>
      <c r="AC168" s="15"/>
      <c r="AD168" s="15" t="s">
        <v>103</v>
      </c>
      <c r="AE168" s="15" t="s">
        <v>544</v>
      </c>
      <c r="AF168" s="15"/>
      <c r="AG168" s="15" t="s">
        <v>103</v>
      </c>
      <c r="AH168" s="15"/>
      <c r="AI168" s="15" t="s">
        <v>46</v>
      </c>
      <c r="AJ168" s="15" t="s">
        <v>653</v>
      </c>
      <c r="AK168" s="15" t="s">
        <v>47</v>
      </c>
      <c r="AL168" s="18">
        <v>439417007</v>
      </c>
      <c r="AM168" s="18" t="s">
        <v>792</v>
      </c>
      <c r="AN168" s="18" t="s">
        <v>793</v>
      </c>
      <c r="AO168" s="1" t="s">
        <v>812</v>
      </c>
    </row>
    <row r="169" spans="1:41" ht="12" customHeight="1" x14ac:dyDescent="0.2">
      <c r="A169" s="15" t="s">
        <v>121</v>
      </c>
      <c r="B169" s="15"/>
      <c r="C169" s="15">
        <v>5174</v>
      </c>
      <c r="D169" s="15" t="s">
        <v>545</v>
      </c>
      <c r="E169" s="15" t="s">
        <v>290</v>
      </c>
      <c r="F169" s="15" t="s">
        <v>601</v>
      </c>
      <c r="G169" s="15" t="s">
        <v>280</v>
      </c>
      <c r="H169" s="15" t="s">
        <v>215</v>
      </c>
      <c r="I169" s="15" t="s">
        <v>215</v>
      </c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 t="s">
        <v>61</v>
      </c>
      <c r="W169" s="16" t="s">
        <v>331</v>
      </c>
      <c r="X169" s="16" t="s">
        <v>621</v>
      </c>
      <c r="Y169" s="16"/>
      <c r="Z169" s="16">
        <f t="shared" si="4"/>
        <v>3</v>
      </c>
      <c r="AA169" s="16" t="s">
        <v>177</v>
      </c>
      <c r="AB169" s="15" t="s">
        <v>265</v>
      </c>
      <c r="AC169" s="15" t="s">
        <v>118</v>
      </c>
      <c r="AD169" s="15" t="s">
        <v>103</v>
      </c>
      <c r="AE169" s="15" t="s">
        <v>381</v>
      </c>
      <c r="AF169" s="15"/>
      <c r="AG169" s="15" t="s">
        <v>103</v>
      </c>
      <c r="AH169" s="15"/>
      <c r="AI169" s="15" t="s">
        <v>46</v>
      </c>
      <c r="AJ169" s="15" t="s">
        <v>208</v>
      </c>
      <c r="AK169" s="15" t="s">
        <v>118</v>
      </c>
      <c r="AL169" s="18">
        <v>439417007</v>
      </c>
      <c r="AM169" s="18" t="s">
        <v>792</v>
      </c>
      <c r="AN169" s="18" t="s">
        <v>793</v>
      </c>
      <c r="AO169" s="1" t="s">
        <v>812</v>
      </c>
    </row>
    <row r="170" spans="1:41" ht="12" customHeight="1" x14ac:dyDescent="0.2">
      <c r="A170" s="15" t="s">
        <v>121</v>
      </c>
      <c r="B170" s="15"/>
      <c r="C170" s="15">
        <v>5175</v>
      </c>
      <c r="D170" s="15" t="s">
        <v>545</v>
      </c>
      <c r="E170" s="15" t="s">
        <v>372</v>
      </c>
      <c r="F170" s="15" t="s">
        <v>601</v>
      </c>
      <c r="G170" s="15" t="s">
        <v>358</v>
      </c>
      <c r="H170" s="15" t="s">
        <v>688</v>
      </c>
      <c r="I170" s="15" t="s">
        <v>688</v>
      </c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 t="s">
        <v>637</v>
      </c>
      <c r="W170" s="16" t="s">
        <v>637</v>
      </c>
      <c r="X170" s="16" t="s">
        <v>40</v>
      </c>
      <c r="Y170" s="16"/>
      <c r="Z170" s="16">
        <f t="shared" si="4"/>
        <v>3</v>
      </c>
      <c r="AA170" s="16" t="s">
        <v>177</v>
      </c>
      <c r="AB170" s="15" t="s">
        <v>265</v>
      </c>
      <c r="AC170" s="15" t="s">
        <v>307</v>
      </c>
      <c r="AD170" s="15" t="s">
        <v>103</v>
      </c>
      <c r="AE170" s="15" t="s">
        <v>624</v>
      </c>
      <c r="AF170" s="15"/>
      <c r="AG170" s="15" t="s">
        <v>103</v>
      </c>
      <c r="AH170" s="15"/>
      <c r="AI170" s="15" t="s">
        <v>46</v>
      </c>
      <c r="AJ170" s="15" t="s">
        <v>298</v>
      </c>
      <c r="AK170" s="15" t="s">
        <v>178</v>
      </c>
      <c r="AL170" s="18">
        <v>439417007</v>
      </c>
      <c r="AM170" s="18" t="s">
        <v>792</v>
      </c>
      <c r="AN170" s="18" t="s">
        <v>793</v>
      </c>
      <c r="AO170" s="1" t="s">
        <v>812</v>
      </c>
    </row>
    <row r="171" spans="1:41" ht="12" customHeight="1" x14ac:dyDescent="0.2">
      <c r="A171" s="15" t="s">
        <v>121</v>
      </c>
      <c r="B171" s="15"/>
      <c r="C171" s="15">
        <v>5176</v>
      </c>
      <c r="D171" s="15" t="s">
        <v>545</v>
      </c>
      <c r="E171" s="15" t="s">
        <v>290</v>
      </c>
      <c r="F171" s="15" t="s">
        <v>500</v>
      </c>
      <c r="G171" s="15" t="s">
        <v>160</v>
      </c>
      <c r="H171" s="15" t="s">
        <v>342</v>
      </c>
      <c r="I171" s="15" t="s">
        <v>342</v>
      </c>
      <c r="J171" s="16"/>
      <c r="K171" s="16"/>
      <c r="L171" s="16"/>
      <c r="M171" s="16"/>
      <c r="N171" s="16"/>
      <c r="O171" s="16"/>
      <c r="P171" s="16"/>
      <c r="Q171" s="16">
        <v>29083</v>
      </c>
      <c r="R171" s="16"/>
      <c r="S171" s="16"/>
      <c r="T171" s="16"/>
      <c r="U171" s="16"/>
      <c r="V171" s="16"/>
      <c r="W171" s="16"/>
      <c r="X171" s="16"/>
      <c r="Y171" s="16"/>
      <c r="Z171" s="16">
        <f t="shared" si="4"/>
        <v>1</v>
      </c>
      <c r="AA171" s="16" t="s">
        <v>26</v>
      </c>
      <c r="AB171" s="15" t="s">
        <v>265</v>
      </c>
      <c r="AC171" s="15"/>
      <c r="AD171" s="15" t="s">
        <v>449</v>
      </c>
      <c r="AE171" s="15" t="s">
        <v>500</v>
      </c>
      <c r="AF171" s="15"/>
      <c r="AG171" s="15" t="s">
        <v>103</v>
      </c>
      <c r="AH171" s="15"/>
      <c r="AI171" s="15" t="s">
        <v>63</v>
      </c>
      <c r="AJ171" s="15" t="s">
        <v>208</v>
      </c>
      <c r="AK171" s="15" t="s">
        <v>263</v>
      </c>
      <c r="AL171" s="18">
        <v>439417007</v>
      </c>
      <c r="AM171" s="18" t="s">
        <v>792</v>
      </c>
      <c r="AN171" s="18" t="s">
        <v>793</v>
      </c>
      <c r="AO171" s="1" t="s">
        <v>812</v>
      </c>
    </row>
    <row r="172" spans="1:41" ht="12" customHeight="1" x14ac:dyDescent="0.2">
      <c r="A172" s="15" t="s">
        <v>121</v>
      </c>
      <c r="B172" s="15"/>
      <c r="C172" s="15">
        <v>5177</v>
      </c>
      <c r="D172" s="15" t="s">
        <v>545</v>
      </c>
      <c r="E172" s="15" t="s">
        <v>372</v>
      </c>
      <c r="F172" s="15" t="s">
        <v>601</v>
      </c>
      <c r="G172" s="15" t="s">
        <v>593</v>
      </c>
      <c r="H172" s="15" t="s">
        <v>242</v>
      </c>
      <c r="I172" s="15" t="s">
        <v>242</v>
      </c>
      <c r="J172" s="16">
        <v>1168</v>
      </c>
      <c r="K172" s="16">
        <v>530</v>
      </c>
      <c r="L172" s="16"/>
      <c r="M172" s="16"/>
      <c r="N172" s="16"/>
      <c r="O172" s="16"/>
      <c r="P172" s="16"/>
      <c r="Q172" s="16">
        <v>29933</v>
      </c>
      <c r="R172" s="16">
        <v>2549</v>
      </c>
      <c r="S172" s="16"/>
      <c r="T172" s="16">
        <v>3040</v>
      </c>
      <c r="U172" s="16"/>
      <c r="V172" s="16"/>
      <c r="W172" s="16"/>
      <c r="X172" s="16"/>
      <c r="Y172" s="16" t="s">
        <v>253</v>
      </c>
      <c r="Z172" s="16">
        <f t="shared" si="4"/>
        <v>6</v>
      </c>
      <c r="AA172" s="16" t="s">
        <v>177</v>
      </c>
      <c r="AB172" s="15" t="s">
        <v>265</v>
      </c>
      <c r="AC172" s="15"/>
      <c r="AD172" s="15" t="s">
        <v>103</v>
      </c>
      <c r="AE172" s="15" t="s">
        <v>544</v>
      </c>
      <c r="AF172" s="15"/>
      <c r="AG172" s="15" t="s">
        <v>103</v>
      </c>
      <c r="AH172" s="15"/>
      <c r="AI172" s="15" t="s">
        <v>46</v>
      </c>
      <c r="AJ172" s="15" t="s">
        <v>653</v>
      </c>
      <c r="AK172" s="15" t="s">
        <v>278</v>
      </c>
      <c r="AL172" s="18">
        <v>439417007</v>
      </c>
      <c r="AM172" s="18" t="s">
        <v>792</v>
      </c>
      <c r="AN172" s="18" t="s">
        <v>793</v>
      </c>
      <c r="AO172" s="1" t="s">
        <v>812</v>
      </c>
    </row>
    <row r="173" spans="1:41" ht="12" customHeight="1" x14ac:dyDescent="0.2">
      <c r="A173" s="15" t="s">
        <v>121</v>
      </c>
      <c r="B173" s="15"/>
      <c r="C173" s="15">
        <v>5178</v>
      </c>
      <c r="D173" s="15" t="s">
        <v>545</v>
      </c>
      <c r="E173" s="15" t="s">
        <v>290</v>
      </c>
      <c r="F173" s="15" t="s">
        <v>601</v>
      </c>
      <c r="G173" s="15" t="s">
        <v>280</v>
      </c>
      <c r="H173" s="15" t="s">
        <v>196</v>
      </c>
      <c r="I173" s="15" t="s">
        <v>196</v>
      </c>
      <c r="J173" s="16">
        <v>15343</v>
      </c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>
        <f t="shared" si="4"/>
        <v>1</v>
      </c>
      <c r="AA173" s="16" t="s">
        <v>26</v>
      </c>
      <c r="AB173" s="15" t="s">
        <v>553</v>
      </c>
      <c r="AC173" s="15" t="s">
        <v>506</v>
      </c>
      <c r="AD173" s="15" t="s">
        <v>103</v>
      </c>
      <c r="AE173" s="15" t="s">
        <v>381</v>
      </c>
      <c r="AF173" s="15"/>
      <c r="AG173" s="15" t="s">
        <v>103</v>
      </c>
      <c r="AH173" s="15"/>
      <c r="AI173" s="15" t="s">
        <v>46</v>
      </c>
      <c r="AJ173" s="15" t="s">
        <v>208</v>
      </c>
      <c r="AK173" s="15" t="s">
        <v>279</v>
      </c>
      <c r="AL173" s="18">
        <v>439417007</v>
      </c>
      <c r="AM173" s="18" t="s">
        <v>792</v>
      </c>
      <c r="AN173" s="18" t="s">
        <v>793</v>
      </c>
      <c r="AO173" s="1" t="s">
        <v>812</v>
      </c>
    </row>
    <row r="174" spans="1:41" ht="12" customHeight="1" x14ac:dyDescent="0.2">
      <c r="A174" s="15" t="s">
        <v>121</v>
      </c>
      <c r="B174" s="15"/>
      <c r="C174" s="15">
        <v>5179</v>
      </c>
      <c r="D174" s="15" t="s">
        <v>545</v>
      </c>
      <c r="E174" s="15" t="s">
        <v>372</v>
      </c>
      <c r="F174" s="15" t="s">
        <v>601</v>
      </c>
      <c r="G174" s="15" t="s">
        <v>593</v>
      </c>
      <c r="H174" s="15" t="s">
        <v>241</v>
      </c>
      <c r="I174" s="15" t="s">
        <v>241</v>
      </c>
      <c r="J174" s="16">
        <v>1167</v>
      </c>
      <c r="K174" s="16">
        <v>529</v>
      </c>
      <c r="L174" s="16"/>
      <c r="M174" s="16"/>
      <c r="N174" s="16"/>
      <c r="O174" s="16"/>
      <c r="P174" s="16"/>
      <c r="Q174" s="16">
        <v>29934</v>
      </c>
      <c r="R174" s="16">
        <v>2550</v>
      </c>
      <c r="S174" s="16"/>
      <c r="T174" s="16">
        <v>3041</v>
      </c>
      <c r="U174" s="16"/>
      <c r="V174" s="16"/>
      <c r="W174" s="16"/>
      <c r="X174" s="16"/>
      <c r="Y174" s="16"/>
      <c r="Z174" s="16">
        <f t="shared" si="4"/>
        <v>5</v>
      </c>
      <c r="AA174" s="16" t="s">
        <v>177</v>
      </c>
      <c r="AB174" s="15" t="s">
        <v>265</v>
      </c>
      <c r="AC174" s="15"/>
      <c r="AD174" s="15" t="s">
        <v>103</v>
      </c>
      <c r="AE174" s="15" t="s">
        <v>544</v>
      </c>
      <c r="AF174" s="15"/>
      <c r="AG174" s="15" t="s">
        <v>103</v>
      </c>
      <c r="AH174" s="15"/>
      <c r="AI174" s="15" t="s">
        <v>46</v>
      </c>
      <c r="AJ174" s="15" t="s">
        <v>653</v>
      </c>
      <c r="AK174" s="15" t="s">
        <v>279</v>
      </c>
      <c r="AL174" s="18">
        <v>439417007</v>
      </c>
      <c r="AM174" s="18" t="s">
        <v>792</v>
      </c>
      <c r="AN174" s="18" t="s">
        <v>793</v>
      </c>
      <c r="AO174" s="1" t="s">
        <v>812</v>
      </c>
    </row>
    <row r="175" spans="1:41" ht="12" customHeight="1" x14ac:dyDescent="0.2">
      <c r="A175" s="15" t="s">
        <v>121</v>
      </c>
      <c r="B175" s="15"/>
      <c r="C175" s="15">
        <v>5180</v>
      </c>
      <c r="D175" s="15" t="s">
        <v>545</v>
      </c>
      <c r="E175" s="15" t="s">
        <v>290</v>
      </c>
      <c r="F175" s="15" t="s">
        <v>601</v>
      </c>
      <c r="G175" s="15" t="s">
        <v>280</v>
      </c>
      <c r="H175" s="15" t="s">
        <v>376</v>
      </c>
      <c r="I175" s="15" t="s">
        <v>376</v>
      </c>
      <c r="J175" s="16"/>
      <c r="K175" s="16"/>
      <c r="L175" s="16">
        <v>21252</v>
      </c>
      <c r="M175" s="16"/>
      <c r="N175" s="16"/>
      <c r="O175" s="16"/>
      <c r="P175" s="16" t="s">
        <v>399</v>
      </c>
      <c r="Q175" s="16"/>
      <c r="R175" s="16"/>
      <c r="S175" s="16"/>
      <c r="T175" s="16"/>
      <c r="U175" s="16"/>
      <c r="V175" s="16"/>
      <c r="W175" s="16"/>
      <c r="X175" s="16" t="s">
        <v>379</v>
      </c>
      <c r="Y175" s="16"/>
      <c r="Z175" s="16">
        <f t="shared" si="4"/>
        <v>3</v>
      </c>
      <c r="AA175" s="16" t="s">
        <v>177</v>
      </c>
      <c r="AB175" s="15" t="s">
        <v>406</v>
      </c>
      <c r="AC175" s="15"/>
      <c r="AD175" s="15" t="s">
        <v>103</v>
      </c>
      <c r="AE175" s="15" t="s">
        <v>381</v>
      </c>
      <c r="AF175" s="15"/>
      <c r="AG175" s="15" t="s">
        <v>103</v>
      </c>
      <c r="AH175" s="15"/>
      <c r="AI175" s="15" t="s">
        <v>46</v>
      </c>
      <c r="AJ175" s="15" t="s">
        <v>208</v>
      </c>
      <c r="AK175" s="15" t="s">
        <v>406</v>
      </c>
      <c r="AL175" s="18">
        <v>439417007</v>
      </c>
      <c r="AM175" s="18" t="s">
        <v>792</v>
      </c>
      <c r="AN175" s="18" t="s">
        <v>793</v>
      </c>
      <c r="AO175" s="1" t="s">
        <v>812</v>
      </c>
    </row>
    <row r="176" spans="1:41" ht="12" customHeight="1" x14ac:dyDescent="0.2">
      <c r="A176" s="15" t="s">
        <v>121</v>
      </c>
      <c r="B176" s="15"/>
      <c r="C176" s="15">
        <v>5181</v>
      </c>
      <c r="D176" s="15" t="s">
        <v>545</v>
      </c>
      <c r="E176" s="15" t="s">
        <v>372</v>
      </c>
      <c r="F176" s="15" t="s">
        <v>601</v>
      </c>
      <c r="G176" s="15" t="s">
        <v>593</v>
      </c>
      <c r="H176" s="15" t="s">
        <v>240</v>
      </c>
      <c r="I176" s="15" t="s">
        <v>240</v>
      </c>
      <c r="J176" s="16"/>
      <c r="K176" s="16"/>
      <c r="L176" s="16">
        <v>22517</v>
      </c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>
        <f t="shared" si="4"/>
        <v>1</v>
      </c>
      <c r="AA176" s="16" t="s">
        <v>26</v>
      </c>
      <c r="AB176" s="15" t="s">
        <v>406</v>
      </c>
      <c r="AC176" s="15"/>
      <c r="AD176" s="15" t="s">
        <v>103</v>
      </c>
      <c r="AE176" s="15" t="s">
        <v>544</v>
      </c>
      <c r="AF176" s="15"/>
      <c r="AG176" s="15" t="s">
        <v>103</v>
      </c>
      <c r="AH176" s="15"/>
      <c r="AI176" s="15" t="s">
        <v>46</v>
      </c>
      <c r="AJ176" s="15" t="s">
        <v>653</v>
      </c>
      <c r="AK176" s="15" t="s">
        <v>406</v>
      </c>
      <c r="AL176" s="18">
        <v>439417007</v>
      </c>
      <c r="AM176" s="18" t="s">
        <v>792</v>
      </c>
      <c r="AN176" s="18" t="s">
        <v>793</v>
      </c>
      <c r="AO176" s="1" t="s">
        <v>812</v>
      </c>
    </row>
    <row r="177" spans="1:41" ht="12" customHeight="1" x14ac:dyDescent="0.2">
      <c r="A177" s="15" t="s">
        <v>121</v>
      </c>
      <c r="B177" s="15"/>
      <c r="C177" s="15">
        <v>5182</v>
      </c>
      <c r="D177" s="15" t="s">
        <v>545</v>
      </c>
      <c r="E177" s="15" t="s">
        <v>290</v>
      </c>
      <c r="F177" s="15" t="s">
        <v>601</v>
      </c>
      <c r="G177" s="15" t="s">
        <v>280</v>
      </c>
      <c r="H177" s="15" t="s">
        <v>470</v>
      </c>
      <c r="I177" s="15" t="s">
        <v>470</v>
      </c>
      <c r="J177" s="16"/>
      <c r="K177" s="16"/>
      <c r="L177" s="16"/>
      <c r="M177" s="16"/>
      <c r="N177" s="16"/>
      <c r="O177" s="16"/>
      <c r="P177" s="16">
        <v>26837</v>
      </c>
      <c r="Q177" s="16"/>
      <c r="R177" s="16"/>
      <c r="S177" s="16"/>
      <c r="T177" s="16"/>
      <c r="U177" s="16"/>
      <c r="V177" s="16"/>
      <c r="W177" s="16"/>
      <c r="X177" s="16"/>
      <c r="Y177" s="16"/>
      <c r="Z177" s="16">
        <f t="shared" si="4"/>
        <v>1</v>
      </c>
      <c r="AA177" s="16" t="s">
        <v>26</v>
      </c>
      <c r="AB177" s="15" t="s">
        <v>406</v>
      </c>
      <c r="AC177" s="15" t="s">
        <v>445</v>
      </c>
      <c r="AD177" s="15" t="s">
        <v>103</v>
      </c>
      <c r="AE177" s="15" t="s">
        <v>381</v>
      </c>
      <c r="AF177" s="15"/>
      <c r="AG177" s="15" t="s">
        <v>103</v>
      </c>
      <c r="AH177" s="15"/>
      <c r="AI177" s="15" t="s">
        <v>46</v>
      </c>
      <c r="AJ177" s="15" t="s">
        <v>208</v>
      </c>
      <c r="AK177" s="15" t="s">
        <v>445</v>
      </c>
      <c r="AL177" s="18">
        <v>439417007</v>
      </c>
      <c r="AM177" s="18" t="s">
        <v>792</v>
      </c>
      <c r="AN177" s="18" t="s">
        <v>793</v>
      </c>
      <c r="AO177" s="1" t="s">
        <v>812</v>
      </c>
    </row>
    <row r="178" spans="1:41" ht="12" customHeight="1" x14ac:dyDescent="0.2">
      <c r="A178" s="15" t="s">
        <v>121</v>
      </c>
      <c r="B178" s="15"/>
      <c r="C178" s="15">
        <v>5183</v>
      </c>
      <c r="D178" s="15" t="s">
        <v>545</v>
      </c>
      <c r="E178" s="15" t="s">
        <v>290</v>
      </c>
      <c r="F178" s="15" t="s">
        <v>601</v>
      </c>
      <c r="G178" s="15" t="s">
        <v>280</v>
      </c>
      <c r="H178" s="15" t="s">
        <v>176</v>
      </c>
      <c r="I178" s="15" t="s">
        <v>176</v>
      </c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 t="s">
        <v>300</v>
      </c>
      <c r="W178" s="16" t="s">
        <v>300</v>
      </c>
      <c r="X178" s="16"/>
      <c r="Y178" s="16"/>
      <c r="Z178" s="16">
        <f t="shared" si="4"/>
        <v>2</v>
      </c>
      <c r="AA178" s="16" t="s">
        <v>177</v>
      </c>
      <c r="AB178" s="15" t="s">
        <v>406</v>
      </c>
      <c r="AC178" s="15" t="s">
        <v>277</v>
      </c>
      <c r="AD178" s="15" t="s">
        <v>103</v>
      </c>
      <c r="AE178" s="15" t="s">
        <v>381</v>
      </c>
      <c r="AF178" s="15"/>
      <c r="AG178" s="15" t="s">
        <v>103</v>
      </c>
      <c r="AH178" s="15"/>
      <c r="AI178" s="15" t="s">
        <v>46</v>
      </c>
      <c r="AJ178" s="15" t="s">
        <v>208</v>
      </c>
      <c r="AK178" s="15" t="s">
        <v>51</v>
      </c>
      <c r="AL178" s="18">
        <v>86052008</v>
      </c>
      <c r="AM178" s="18" t="s">
        <v>784</v>
      </c>
      <c r="AN178" s="18" t="s">
        <v>785</v>
      </c>
      <c r="AO178" s="1" t="s">
        <v>812</v>
      </c>
    </row>
    <row r="179" spans="1:41" ht="12" customHeight="1" x14ac:dyDescent="0.2">
      <c r="A179" s="15" t="s">
        <v>121</v>
      </c>
      <c r="B179" s="15"/>
      <c r="C179" s="15">
        <v>5184</v>
      </c>
      <c r="D179" s="15" t="s">
        <v>545</v>
      </c>
      <c r="E179" s="15" t="s">
        <v>372</v>
      </c>
      <c r="F179" s="15" t="s">
        <v>601</v>
      </c>
      <c r="G179" s="15" t="s">
        <v>358</v>
      </c>
      <c r="H179" s="15" t="s">
        <v>166</v>
      </c>
      <c r="I179" s="15" t="s">
        <v>166</v>
      </c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 t="s">
        <v>363</v>
      </c>
      <c r="Y179" s="16"/>
      <c r="Z179" s="16">
        <f t="shared" si="4"/>
        <v>1</v>
      </c>
      <c r="AA179" s="16" t="s">
        <v>26</v>
      </c>
      <c r="AB179" s="15" t="s">
        <v>406</v>
      </c>
      <c r="AC179" s="15" t="s">
        <v>51</v>
      </c>
      <c r="AD179" s="15" t="s">
        <v>103</v>
      </c>
      <c r="AE179" s="15" t="s">
        <v>624</v>
      </c>
      <c r="AF179" s="15"/>
      <c r="AG179" s="15" t="s">
        <v>103</v>
      </c>
      <c r="AH179" s="15"/>
      <c r="AI179" s="15" t="s">
        <v>46</v>
      </c>
      <c r="AJ179" s="15" t="s">
        <v>298</v>
      </c>
      <c r="AK179" s="15" t="s">
        <v>51</v>
      </c>
      <c r="AL179" s="18">
        <v>86052008</v>
      </c>
      <c r="AM179" s="18" t="s">
        <v>784</v>
      </c>
      <c r="AN179" s="18" t="s">
        <v>785</v>
      </c>
      <c r="AO179" s="1" t="s">
        <v>812</v>
      </c>
    </row>
    <row r="180" spans="1:41" ht="12" customHeight="1" x14ac:dyDescent="0.2">
      <c r="A180" s="15" t="s">
        <v>121</v>
      </c>
      <c r="B180" s="15"/>
      <c r="C180" s="15">
        <v>5185</v>
      </c>
      <c r="D180" s="15" t="s">
        <v>545</v>
      </c>
      <c r="E180" s="15" t="s">
        <v>290</v>
      </c>
      <c r="F180" s="15" t="s">
        <v>601</v>
      </c>
      <c r="G180" s="15" t="s">
        <v>280</v>
      </c>
      <c r="H180" s="15" t="s">
        <v>430</v>
      </c>
      <c r="I180" s="15" t="s">
        <v>430</v>
      </c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 t="s">
        <v>339</v>
      </c>
      <c r="Y180" s="16"/>
      <c r="Z180" s="16">
        <f t="shared" si="4"/>
        <v>1</v>
      </c>
      <c r="AA180" s="16" t="s">
        <v>26</v>
      </c>
      <c r="AB180" s="15" t="s">
        <v>406</v>
      </c>
      <c r="AC180" s="15" t="s">
        <v>277</v>
      </c>
      <c r="AD180" s="15" t="s">
        <v>103</v>
      </c>
      <c r="AE180" s="15" t="s">
        <v>381</v>
      </c>
      <c r="AF180" s="15"/>
      <c r="AG180" s="15" t="s">
        <v>103</v>
      </c>
      <c r="AH180" s="15"/>
      <c r="AI180" s="15" t="s">
        <v>46</v>
      </c>
      <c r="AJ180" s="15" t="s">
        <v>208</v>
      </c>
      <c r="AK180" s="15" t="s">
        <v>691</v>
      </c>
      <c r="AL180" s="18">
        <v>439417007</v>
      </c>
      <c r="AM180" s="18" t="s">
        <v>792</v>
      </c>
      <c r="AN180" s="18" t="s">
        <v>793</v>
      </c>
      <c r="AO180" s="1" t="s">
        <v>812</v>
      </c>
    </row>
    <row r="181" spans="1:41" ht="12" customHeight="1" x14ac:dyDescent="0.2">
      <c r="A181" s="15" t="s">
        <v>121</v>
      </c>
      <c r="B181" s="15"/>
      <c r="C181" s="15">
        <v>5186</v>
      </c>
      <c r="D181" s="15" t="s">
        <v>545</v>
      </c>
      <c r="E181" s="15" t="s">
        <v>372</v>
      </c>
      <c r="F181" s="15" t="s">
        <v>601</v>
      </c>
      <c r="G181" s="15" t="s">
        <v>593</v>
      </c>
      <c r="H181" s="15" t="s">
        <v>476</v>
      </c>
      <c r="I181" s="15" t="s">
        <v>476</v>
      </c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 t="s">
        <v>219</v>
      </c>
      <c r="Z181" s="16">
        <f t="shared" si="4"/>
        <v>1</v>
      </c>
      <c r="AA181" s="16" t="s">
        <v>26</v>
      </c>
      <c r="AB181" s="15"/>
      <c r="AC181" s="15"/>
      <c r="AD181" s="15" t="s">
        <v>407</v>
      </c>
      <c r="AE181" s="15"/>
      <c r="AF181" s="15"/>
      <c r="AG181" s="15" t="s">
        <v>407</v>
      </c>
      <c r="AH181" s="15"/>
      <c r="AI181" s="15" t="s">
        <v>46</v>
      </c>
      <c r="AJ181" s="15" t="s">
        <v>653</v>
      </c>
      <c r="AK181" s="15" t="s">
        <v>473</v>
      </c>
      <c r="AL181" s="18">
        <v>439417007</v>
      </c>
      <c r="AM181" s="18" t="s">
        <v>792</v>
      </c>
      <c r="AN181" s="18" t="s">
        <v>793</v>
      </c>
      <c r="AO181" s="1" t="s">
        <v>812</v>
      </c>
    </row>
    <row r="182" spans="1:41" ht="12" customHeight="1" x14ac:dyDescent="0.2">
      <c r="A182" s="15" t="s">
        <v>121</v>
      </c>
      <c r="B182" s="15"/>
      <c r="C182" s="15">
        <v>5187</v>
      </c>
      <c r="D182" s="15" t="s">
        <v>545</v>
      </c>
      <c r="E182" s="15" t="s">
        <v>372</v>
      </c>
      <c r="F182" s="15" t="s">
        <v>601</v>
      </c>
      <c r="G182" s="15" t="s">
        <v>593</v>
      </c>
      <c r="H182" s="15" t="s">
        <v>475</v>
      </c>
      <c r="I182" s="15" t="s">
        <v>475</v>
      </c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 t="s">
        <v>126</v>
      </c>
      <c r="Z182" s="16">
        <f t="shared" si="4"/>
        <v>1</v>
      </c>
      <c r="AA182" s="16" t="s">
        <v>26</v>
      </c>
      <c r="AB182" s="15"/>
      <c r="AC182" s="15"/>
      <c r="AD182" s="15" t="s">
        <v>407</v>
      </c>
      <c r="AE182" s="15"/>
      <c r="AF182" s="15"/>
      <c r="AG182" s="15" t="s">
        <v>407</v>
      </c>
      <c r="AH182" s="15"/>
      <c r="AI182" s="15" t="s">
        <v>46</v>
      </c>
      <c r="AJ182" s="15" t="s">
        <v>653</v>
      </c>
      <c r="AK182" s="15" t="s">
        <v>57</v>
      </c>
      <c r="AL182" s="18">
        <v>439417007</v>
      </c>
      <c r="AM182" s="18" t="s">
        <v>792</v>
      </c>
      <c r="AN182" s="18" t="s">
        <v>793</v>
      </c>
      <c r="AO182" s="1" t="s">
        <v>812</v>
      </c>
    </row>
    <row r="183" spans="1:41" ht="12" customHeight="1" x14ac:dyDescent="0.2">
      <c r="A183" s="15" t="s">
        <v>121</v>
      </c>
      <c r="B183" s="15"/>
      <c r="C183" s="15">
        <v>5188</v>
      </c>
      <c r="D183" s="15" t="s">
        <v>545</v>
      </c>
      <c r="E183" s="15" t="s">
        <v>290</v>
      </c>
      <c r="F183" s="15" t="s">
        <v>601</v>
      </c>
      <c r="G183" s="15" t="s">
        <v>280</v>
      </c>
      <c r="H183" s="15" t="s">
        <v>431</v>
      </c>
      <c r="I183" s="15" t="s">
        <v>431</v>
      </c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 t="s">
        <v>168</v>
      </c>
      <c r="Y183" s="16" t="s">
        <v>303</v>
      </c>
      <c r="Z183" s="16">
        <f t="shared" si="4"/>
        <v>2</v>
      </c>
      <c r="AA183" s="16" t="s">
        <v>177</v>
      </c>
      <c r="AB183" s="15" t="s">
        <v>406</v>
      </c>
      <c r="AC183" s="15" t="s">
        <v>277</v>
      </c>
      <c r="AD183" s="15" t="s">
        <v>103</v>
      </c>
      <c r="AE183" s="15" t="s">
        <v>381</v>
      </c>
      <c r="AF183" s="15"/>
      <c r="AG183" s="15" t="s">
        <v>103</v>
      </c>
      <c r="AH183" s="15"/>
      <c r="AI183" s="15" t="s">
        <v>46</v>
      </c>
      <c r="AJ183" s="15" t="s">
        <v>208</v>
      </c>
      <c r="AK183" s="15" t="s">
        <v>204</v>
      </c>
      <c r="AL183" s="18">
        <v>439417007</v>
      </c>
      <c r="AM183" s="18" t="s">
        <v>792</v>
      </c>
      <c r="AN183" s="18" t="s">
        <v>793</v>
      </c>
      <c r="AO183" s="1" t="s">
        <v>812</v>
      </c>
    </row>
    <row r="184" spans="1:41" ht="12" customHeight="1" x14ac:dyDescent="0.2">
      <c r="A184" s="15" t="s">
        <v>121</v>
      </c>
      <c r="B184" s="15"/>
      <c r="C184" s="15">
        <v>5189</v>
      </c>
      <c r="D184" s="15" t="s">
        <v>545</v>
      </c>
      <c r="E184" s="15" t="s">
        <v>290</v>
      </c>
      <c r="F184" s="15" t="s">
        <v>601</v>
      </c>
      <c r="G184" s="15" t="s">
        <v>280</v>
      </c>
      <c r="H184" s="15" t="s">
        <v>432</v>
      </c>
      <c r="I184" s="15" t="s">
        <v>432</v>
      </c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 t="s">
        <v>305</v>
      </c>
      <c r="X184" s="16"/>
      <c r="Y184" s="16"/>
      <c r="Z184" s="16">
        <f t="shared" si="4"/>
        <v>1</v>
      </c>
      <c r="AA184" s="16" t="s">
        <v>26</v>
      </c>
      <c r="AB184" s="15" t="s">
        <v>406</v>
      </c>
      <c r="AC184" s="15" t="s">
        <v>277</v>
      </c>
      <c r="AD184" s="15" t="s">
        <v>103</v>
      </c>
      <c r="AE184" s="15" t="s">
        <v>381</v>
      </c>
      <c r="AF184" s="15"/>
      <c r="AG184" s="15" t="s">
        <v>103</v>
      </c>
      <c r="AH184" s="15"/>
      <c r="AI184" s="15" t="s">
        <v>46</v>
      </c>
      <c r="AJ184" s="15" t="s">
        <v>208</v>
      </c>
      <c r="AK184" s="15" t="s">
        <v>250</v>
      </c>
      <c r="AL184" s="18">
        <v>439417007</v>
      </c>
      <c r="AM184" s="18" t="s">
        <v>792</v>
      </c>
      <c r="AN184" s="18" t="s">
        <v>793</v>
      </c>
      <c r="AO184" s="1" t="s">
        <v>812</v>
      </c>
    </row>
    <row r="185" spans="1:41" ht="12" customHeight="1" x14ac:dyDescent="0.2">
      <c r="A185" s="15" t="s">
        <v>121</v>
      </c>
      <c r="B185" s="15"/>
      <c r="C185" s="15">
        <v>5190</v>
      </c>
      <c r="D185" s="15" t="s">
        <v>545</v>
      </c>
      <c r="E185" s="15" t="s">
        <v>290</v>
      </c>
      <c r="F185" s="15" t="s">
        <v>601</v>
      </c>
      <c r="G185" s="15" t="s">
        <v>280</v>
      </c>
      <c r="H185" s="15" t="s">
        <v>216</v>
      </c>
      <c r="I185" s="15" t="s">
        <v>216</v>
      </c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 t="s">
        <v>272</v>
      </c>
      <c r="W185" s="16" t="s">
        <v>60</v>
      </c>
      <c r="X185" s="16" t="s">
        <v>101</v>
      </c>
      <c r="Y185" s="16" t="s">
        <v>536</v>
      </c>
      <c r="Z185" s="16">
        <f t="shared" si="4"/>
        <v>4</v>
      </c>
      <c r="AA185" s="16" t="s">
        <v>177</v>
      </c>
      <c r="AB185" s="15" t="s">
        <v>406</v>
      </c>
      <c r="AC185" s="15" t="s">
        <v>277</v>
      </c>
      <c r="AD185" s="15" t="s">
        <v>103</v>
      </c>
      <c r="AE185" s="15" t="s">
        <v>381</v>
      </c>
      <c r="AF185" s="15"/>
      <c r="AG185" s="15" t="s">
        <v>103</v>
      </c>
      <c r="AH185" s="15"/>
      <c r="AI185" s="15" t="s">
        <v>46</v>
      </c>
      <c r="AJ185" s="15" t="s">
        <v>208</v>
      </c>
      <c r="AK185" s="15" t="s">
        <v>462</v>
      </c>
      <c r="AL185" s="18">
        <v>439417007</v>
      </c>
      <c r="AM185" s="18" t="s">
        <v>792</v>
      </c>
      <c r="AN185" s="18" t="s">
        <v>793</v>
      </c>
      <c r="AO185" s="1" t="s">
        <v>812</v>
      </c>
    </row>
    <row r="186" spans="1:41" ht="12" customHeight="1" x14ac:dyDescent="0.2">
      <c r="A186" s="15" t="s">
        <v>121</v>
      </c>
      <c r="B186" s="15"/>
      <c r="C186" s="15">
        <v>5191</v>
      </c>
      <c r="D186" s="15" t="s">
        <v>545</v>
      </c>
      <c r="E186" s="15" t="s">
        <v>372</v>
      </c>
      <c r="F186" s="15" t="s">
        <v>601</v>
      </c>
      <c r="G186" s="15" t="s">
        <v>593</v>
      </c>
      <c r="H186" s="15" t="s">
        <v>84</v>
      </c>
      <c r="I186" s="15" t="s">
        <v>84</v>
      </c>
      <c r="J186" s="16">
        <v>25552</v>
      </c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 t="s">
        <v>526</v>
      </c>
      <c r="Y186" s="16" t="s">
        <v>9</v>
      </c>
      <c r="Z186" s="16">
        <f t="shared" si="4"/>
        <v>3</v>
      </c>
      <c r="AA186" s="16" t="s">
        <v>177</v>
      </c>
      <c r="AB186" s="15" t="s">
        <v>265</v>
      </c>
      <c r="AC186" s="15"/>
      <c r="AD186" s="15" t="s">
        <v>103</v>
      </c>
      <c r="AE186" s="15" t="s">
        <v>544</v>
      </c>
      <c r="AF186" s="15"/>
      <c r="AG186" s="15" t="s">
        <v>103</v>
      </c>
      <c r="AH186" s="15"/>
      <c r="AI186" s="15" t="s">
        <v>46</v>
      </c>
      <c r="AJ186" s="15" t="s">
        <v>653</v>
      </c>
      <c r="AK186" s="15" t="s">
        <v>100</v>
      </c>
      <c r="AL186" s="18">
        <v>439417007</v>
      </c>
      <c r="AM186" s="18" t="s">
        <v>792</v>
      </c>
      <c r="AN186" s="18" t="s">
        <v>793</v>
      </c>
      <c r="AO186" s="1" t="s">
        <v>812</v>
      </c>
    </row>
    <row r="187" spans="1:41" ht="12" customHeight="1" x14ac:dyDescent="0.2">
      <c r="A187" s="15" t="s">
        <v>121</v>
      </c>
      <c r="B187" s="15"/>
      <c r="C187" s="15">
        <v>5192</v>
      </c>
      <c r="D187" s="15" t="s">
        <v>545</v>
      </c>
      <c r="E187" s="15" t="s">
        <v>372</v>
      </c>
      <c r="F187" s="15" t="s">
        <v>601</v>
      </c>
      <c r="G187" s="15" t="s">
        <v>593</v>
      </c>
      <c r="H187" s="15" t="s">
        <v>237</v>
      </c>
      <c r="I187" s="15" t="s">
        <v>237</v>
      </c>
      <c r="J187" s="16"/>
      <c r="K187" s="16"/>
      <c r="L187" s="16">
        <v>8839</v>
      </c>
      <c r="M187" s="16"/>
      <c r="N187" s="16"/>
      <c r="O187" s="16"/>
      <c r="P187" s="16"/>
      <c r="Q187" s="16">
        <v>29935</v>
      </c>
      <c r="R187" s="16">
        <v>2552</v>
      </c>
      <c r="S187" s="16"/>
      <c r="T187" s="16">
        <v>3042</v>
      </c>
      <c r="U187" s="16"/>
      <c r="V187" s="16"/>
      <c r="W187" s="16"/>
      <c r="X187" s="16"/>
      <c r="Y187" s="16"/>
      <c r="Z187" s="16">
        <f t="shared" si="4"/>
        <v>4</v>
      </c>
      <c r="AA187" s="16" t="s">
        <v>177</v>
      </c>
      <c r="AB187" s="15" t="s">
        <v>600</v>
      </c>
      <c r="AC187" s="15" t="s">
        <v>350</v>
      </c>
      <c r="AD187" s="15" t="s">
        <v>103</v>
      </c>
      <c r="AE187" s="15" t="s">
        <v>544</v>
      </c>
      <c r="AF187" s="15"/>
      <c r="AG187" s="15" t="s">
        <v>103</v>
      </c>
      <c r="AH187" s="15"/>
      <c r="AI187" s="15" t="s">
        <v>46</v>
      </c>
      <c r="AJ187" s="15" t="s">
        <v>653</v>
      </c>
      <c r="AK187" s="15" t="s">
        <v>397</v>
      </c>
      <c r="AL187" s="18">
        <v>708903007</v>
      </c>
      <c r="AM187" s="18" t="s">
        <v>794</v>
      </c>
      <c r="AN187" s="18" t="s">
        <v>795</v>
      </c>
      <c r="AO187" s="1" t="s">
        <v>812</v>
      </c>
    </row>
    <row r="188" spans="1:41" ht="12" customHeight="1" x14ac:dyDescent="0.2">
      <c r="A188" s="15" t="s">
        <v>121</v>
      </c>
      <c r="B188" s="15"/>
      <c r="C188" s="15">
        <v>5193</v>
      </c>
      <c r="D188" s="15" t="s">
        <v>545</v>
      </c>
      <c r="E188" s="15" t="s">
        <v>372</v>
      </c>
      <c r="F188" s="15" t="s">
        <v>601</v>
      </c>
      <c r="G188" s="15" t="s">
        <v>593</v>
      </c>
      <c r="H188" s="15" t="s">
        <v>238</v>
      </c>
      <c r="I188" s="15" t="s">
        <v>238</v>
      </c>
      <c r="J188" s="16"/>
      <c r="K188" s="16"/>
      <c r="L188" s="16">
        <v>8838</v>
      </c>
      <c r="M188" s="16"/>
      <c r="N188" s="16"/>
      <c r="O188" s="16"/>
      <c r="P188" s="16"/>
      <c r="Q188" s="16">
        <v>29936</v>
      </c>
      <c r="R188" s="16">
        <v>2551</v>
      </c>
      <c r="S188" s="16"/>
      <c r="T188" s="16">
        <v>3043</v>
      </c>
      <c r="U188" s="16"/>
      <c r="V188" s="16"/>
      <c r="W188" s="16"/>
      <c r="X188" s="16"/>
      <c r="Y188" s="16"/>
      <c r="Z188" s="16">
        <f t="shared" si="4"/>
        <v>4</v>
      </c>
      <c r="AA188" s="16" t="s">
        <v>177</v>
      </c>
      <c r="AB188" s="15" t="s">
        <v>600</v>
      </c>
      <c r="AC188" s="15" t="s">
        <v>350</v>
      </c>
      <c r="AD188" s="15" t="s">
        <v>103</v>
      </c>
      <c r="AE188" s="15" t="s">
        <v>544</v>
      </c>
      <c r="AF188" s="15"/>
      <c r="AG188" s="15" t="s">
        <v>103</v>
      </c>
      <c r="AH188" s="15"/>
      <c r="AI188" s="15" t="s">
        <v>46</v>
      </c>
      <c r="AJ188" s="15" t="s">
        <v>653</v>
      </c>
      <c r="AK188" s="15" t="s">
        <v>592</v>
      </c>
      <c r="AL188" s="18">
        <v>708903007</v>
      </c>
      <c r="AM188" s="18" t="s">
        <v>794</v>
      </c>
      <c r="AN188" s="18" t="s">
        <v>795</v>
      </c>
      <c r="AO188" s="1" t="s">
        <v>812</v>
      </c>
    </row>
    <row r="189" spans="1:41" ht="12" customHeight="1" x14ac:dyDescent="0.2">
      <c r="A189" s="15" t="s">
        <v>121</v>
      </c>
      <c r="B189" s="15"/>
      <c r="C189" s="15">
        <v>5194</v>
      </c>
      <c r="D189" s="15" t="s">
        <v>545</v>
      </c>
      <c r="E189" s="15" t="s">
        <v>290</v>
      </c>
      <c r="F189" s="15" t="s">
        <v>495</v>
      </c>
      <c r="G189" s="15" t="s">
        <v>296</v>
      </c>
      <c r="H189" s="15" t="s">
        <v>402</v>
      </c>
      <c r="I189" s="15" t="s">
        <v>402</v>
      </c>
      <c r="J189" s="16"/>
      <c r="K189" s="16"/>
      <c r="L189" s="16"/>
      <c r="M189" s="16"/>
      <c r="N189" s="16"/>
      <c r="O189" s="16"/>
      <c r="P189" s="16">
        <v>25640</v>
      </c>
      <c r="Q189" s="16"/>
      <c r="R189" s="16"/>
      <c r="S189" s="16"/>
      <c r="T189" s="16"/>
      <c r="U189" s="16"/>
      <c r="V189" s="16" t="s">
        <v>433</v>
      </c>
      <c r="W189" s="16" t="s">
        <v>289</v>
      </c>
      <c r="X189" s="16" t="s">
        <v>345</v>
      </c>
      <c r="Y189" s="16"/>
      <c r="Z189" s="16">
        <f t="shared" si="4"/>
        <v>4</v>
      </c>
      <c r="AA189" s="16" t="s">
        <v>177</v>
      </c>
      <c r="AB189" s="15" t="s">
        <v>82</v>
      </c>
      <c r="AC189" s="15" t="s">
        <v>506</v>
      </c>
      <c r="AD189" s="15" t="s">
        <v>103</v>
      </c>
      <c r="AE189" s="15" t="s">
        <v>329</v>
      </c>
      <c r="AF189" s="15"/>
      <c r="AG189" s="15" t="s">
        <v>103</v>
      </c>
      <c r="AH189" s="15"/>
      <c r="AI189" s="15" t="s">
        <v>618</v>
      </c>
      <c r="AJ189" s="15" t="s">
        <v>208</v>
      </c>
      <c r="AK189" s="15" t="s">
        <v>667</v>
      </c>
      <c r="AL189" s="18">
        <v>174973003</v>
      </c>
      <c r="AM189" s="18" t="s">
        <v>798</v>
      </c>
      <c r="AN189" s="18" t="s">
        <v>799</v>
      </c>
      <c r="AO189" s="1" t="s">
        <v>812</v>
      </c>
    </row>
    <row r="190" spans="1:41" ht="12" customHeight="1" x14ac:dyDescent="0.2">
      <c r="A190" s="15" t="s">
        <v>121</v>
      </c>
      <c r="B190" s="15"/>
      <c r="C190" s="15">
        <v>5195</v>
      </c>
      <c r="D190" s="15" t="s">
        <v>545</v>
      </c>
      <c r="E190" s="15" t="s">
        <v>372</v>
      </c>
      <c r="F190" s="15" t="s">
        <v>601</v>
      </c>
      <c r="G190" s="15" t="s">
        <v>593</v>
      </c>
      <c r="H190" s="15" t="s">
        <v>236</v>
      </c>
      <c r="I190" s="15" t="s">
        <v>236</v>
      </c>
      <c r="J190" s="16">
        <v>1166</v>
      </c>
      <c r="K190" s="16"/>
      <c r="L190" s="16"/>
      <c r="M190" s="16"/>
      <c r="N190" s="16"/>
      <c r="O190" s="16"/>
      <c r="P190" s="16"/>
      <c r="Q190" s="16">
        <v>29937</v>
      </c>
      <c r="R190" s="16">
        <v>2553</v>
      </c>
      <c r="S190" s="16"/>
      <c r="T190" s="16">
        <v>3044</v>
      </c>
      <c r="U190" s="16"/>
      <c r="V190" s="16"/>
      <c r="W190" s="16"/>
      <c r="X190" s="16"/>
      <c r="Y190" s="16"/>
      <c r="Z190" s="16">
        <f t="shared" ref="Z190:Z201" si="5">COUNTA(J190:Y190)</f>
        <v>4</v>
      </c>
      <c r="AA190" s="16" t="s">
        <v>177</v>
      </c>
      <c r="AB190" s="15" t="s">
        <v>669</v>
      </c>
      <c r="AC190" s="15" t="s">
        <v>4</v>
      </c>
      <c r="AD190" s="15" t="s">
        <v>103</v>
      </c>
      <c r="AE190" s="15" t="s">
        <v>544</v>
      </c>
      <c r="AF190" s="15"/>
      <c r="AG190" s="15" t="s">
        <v>103</v>
      </c>
      <c r="AH190" s="15"/>
      <c r="AI190" s="15" t="s">
        <v>46</v>
      </c>
      <c r="AJ190" s="15" t="s">
        <v>653</v>
      </c>
      <c r="AK190" s="15" t="s">
        <v>351</v>
      </c>
      <c r="AL190" s="18">
        <v>58825001</v>
      </c>
      <c r="AM190" s="18" t="s">
        <v>800</v>
      </c>
      <c r="AN190" s="18" t="s">
        <v>801</v>
      </c>
      <c r="AO190" s="1" t="s">
        <v>812</v>
      </c>
    </row>
    <row r="191" spans="1:41" ht="12" customHeight="1" x14ac:dyDescent="0.2">
      <c r="A191" s="15" t="s">
        <v>121</v>
      </c>
      <c r="B191" s="15"/>
      <c r="C191" s="15">
        <v>5196</v>
      </c>
      <c r="D191" s="15" t="s">
        <v>545</v>
      </c>
      <c r="E191" s="15" t="s">
        <v>147</v>
      </c>
      <c r="F191" s="15" t="s">
        <v>147</v>
      </c>
      <c r="G191" s="15" t="s">
        <v>139</v>
      </c>
      <c r="H191" s="17" t="s">
        <v>532</v>
      </c>
      <c r="I191" s="17" t="s">
        <v>532</v>
      </c>
      <c r="J191" s="16"/>
      <c r="K191" s="16"/>
      <c r="L191" s="16"/>
      <c r="M191" s="16"/>
      <c r="N191" s="16" t="s">
        <v>399</v>
      </c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>
        <f t="shared" si="5"/>
        <v>1</v>
      </c>
      <c r="AA191" s="16" t="s">
        <v>26</v>
      </c>
      <c r="AB191" s="15"/>
      <c r="AC191" s="15"/>
      <c r="AD191" s="15" t="s">
        <v>407</v>
      </c>
      <c r="AE191" s="15"/>
      <c r="AF191" s="15"/>
      <c r="AG191" s="15" t="s">
        <v>407</v>
      </c>
      <c r="AH191" s="15"/>
      <c r="AI191" s="15" t="s">
        <v>504</v>
      </c>
      <c r="AJ191" s="15" t="s">
        <v>661</v>
      </c>
      <c r="AK191" s="15" t="s">
        <v>83</v>
      </c>
      <c r="AL191" s="18">
        <v>121897008</v>
      </c>
      <c r="AM191" s="18" t="s">
        <v>802</v>
      </c>
      <c r="AN191" s="18" t="s">
        <v>803</v>
      </c>
      <c r="AO191" s="1" t="s">
        <v>812</v>
      </c>
    </row>
    <row r="192" spans="1:41" ht="12" customHeight="1" x14ac:dyDescent="0.2">
      <c r="A192" s="15" t="s">
        <v>121</v>
      </c>
      <c r="B192" s="15"/>
      <c r="C192" s="15">
        <v>5197</v>
      </c>
      <c r="D192" s="15" t="s">
        <v>545</v>
      </c>
      <c r="E192" s="15" t="s">
        <v>147</v>
      </c>
      <c r="F192" s="15" t="s">
        <v>147</v>
      </c>
      <c r="G192" s="15" t="s">
        <v>139</v>
      </c>
      <c r="H192" s="15" t="s">
        <v>391</v>
      </c>
      <c r="I192" s="15" t="s">
        <v>375</v>
      </c>
      <c r="J192" s="16">
        <v>17878</v>
      </c>
      <c r="K192" s="16"/>
      <c r="L192" s="16">
        <v>17878</v>
      </c>
      <c r="M192" s="16"/>
      <c r="N192" s="16">
        <v>17878</v>
      </c>
      <c r="O192" s="16">
        <v>17878</v>
      </c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>
        <f t="shared" si="5"/>
        <v>4</v>
      </c>
      <c r="AA192" s="16" t="s">
        <v>177</v>
      </c>
      <c r="AB192" s="15" t="s">
        <v>235</v>
      </c>
      <c r="AC192" s="15"/>
      <c r="AD192" s="15" t="s">
        <v>103</v>
      </c>
      <c r="AE192" s="15" t="s">
        <v>147</v>
      </c>
      <c r="AF192" s="15"/>
      <c r="AG192" s="15" t="s">
        <v>103</v>
      </c>
      <c r="AH192" s="15"/>
      <c r="AI192" s="15" t="s">
        <v>504</v>
      </c>
      <c r="AJ192" s="15" t="s">
        <v>661</v>
      </c>
      <c r="AK192" s="15" t="s">
        <v>324</v>
      </c>
      <c r="AL192" s="18">
        <v>121897008</v>
      </c>
      <c r="AM192" s="18" t="s">
        <v>802</v>
      </c>
      <c r="AN192" s="18" t="s">
        <v>803</v>
      </c>
      <c r="AO192" s="1" t="s">
        <v>812</v>
      </c>
    </row>
    <row r="193" spans="1:41" ht="12" customHeight="1" x14ac:dyDescent="0.2">
      <c r="A193" s="15" t="s">
        <v>121</v>
      </c>
      <c r="B193" s="15"/>
      <c r="C193" s="15">
        <v>5198</v>
      </c>
      <c r="D193" s="15" t="s">
        <v>545</v>
      </c>
      <c r="E193" s="15" t="s">
        <v>147</v>
      </c>
      <c r="F193" s="15" t="s">
        <v>147</v>
      </c>
      <c r="G193" s="15" t="s">
        <v>302</v>
      </c>
      <c r="H193" s="15" t="s">
        <v>78</v>
      </c>
      <c r="I193" s="15" t="s">
        <v>395</v>
      </c>
      <c r="J193" s="16"/>
      <c r="K193" s="16"/>
      <c r="L193" s="16"/>
      <c r="M193" s="16"/>
      <c r="N193" s="16"/>
      <c r="O193" s="16"/>
      <c r="P193" s="16"/>
      <c r="Q193" s="16" t="s">
        <v>399</v>
      </c>
      <c r="R193" s="16"/>
      <c r="S193" s="16"/>
      <c r="T193" s="16"/>
      <c r="U193" s="16"/>
      <c r="V193" s="16" t="s">
        <v>268</v>
      </c>
      <c r="W193" s="16" t="s">
        <v>33</v>
      </c>
      <c r="X193" s="16"/>
      <c r="Y193" s="16"/>
      <c r="Z193" s="16">
        <f t="shared" si="5"/>
        <v>3</v>
      </c>
      <c r="AA193" s="16" t="s">
        <v>177</v>
      </c>
      <c r="AB193" s="15" t="s">
        <v>335</v>
      </c>
      <c r="AC193" s="15"/>
      <c r="AD193" s="15" t="s">
        <v>103</v>
      </c>
      <c r="AE193" s="15" t="s">
        <v>147</v>
      </c>
      <c r="AF193" s="15"/>
      <c r="AG193" s="15" t="s">
        <v>103</v>
      </c>
      <c r="AH193" s="15"/>
      <c r="AI193" s="15" t="s">
        <v>504</v>
      </c>
      <c r="AJ193" s="15" t="s">
        <v>661</v>
      </c>
      <c r="AK193" s="15" t="s">
        <v>308</v>
      </c>
      <c r="AL193" s="18">
        <v>121897008</v>
      </c>
      <c r="AM193" s="18" t="s">
        <v>802</v>
      </c>
      <c r="AN193" s="18" t="s">
        <v>803</v>
      </c>
      <c r="AO193" s="1" t="s">
        <v>812</v>
      </c>
    </row>
    <row r="194" spans="1:41" ht="12" customHeight="1" x14ac:dyDescent="0.2">
      <c r="A194" s="15" t="s">
        <v>121</v>
      </c>
      <c r="B194" s="15"/>
      <c r="C194" s="15">
        <v>5199</v>
      </c>
      <c r="D194" s="15" t="s">
        <v>545</v>
      </c>
      <c r="E194" s="15" t="s">
        <v>290</v>
      </c>
      <c r="F194" s="15" t="s">
        <v>460</v>
      </c>
      <c r="G194" s="15" t="s">
        <v>696</v>
      </c>
      <c r="H194" s="15" t="s">
        <v>612</v>
      </c>
      <c r="I194" s="15" t="s">
        <v>612</v>
      </c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 t="s">
        <v>221</v>
      </c>
      <c r="W194" s="16" t="s">
        <v>161</v>
      </c>
      <c r="X194" s="16"/>
      <c r="Y194" s="16"/>
      <c r="Z194" s="16">
        <f t="shared" si="5"/>
        <v>2</v>
      </c>
      <c r="AA194" s="16" t="s">
        <v>177</v>
      </c>
      <c r="AB194" s="15" t="s">
        <v>611</v>
      </c>
      <c r="AC194" s="15" t="s">
        <v>598</v>
      </c>
      <c r="AD194" s="15" t="s">
        <v>103</v>
      </c>
      <c r="AE194" s="15" t="s">
        <v>460</v>
      </c>
      <c r="AF194" s="15"/>
      <c r="AG194" s="15" t="s">
        <v>103</v>
      </c>
      <c r="AH194" s="15"/>
      <c r="AI194" s="15" t="s">
        <v>618</v>
      </c>
      <c r="AJ194" s="15" t="s">
        <v>208</v>
      </c>
      <c r="AK194" s="15" t="s">
        <v>561</v>
      </c>
      <c r="AL194" s="18">
        <v>233239002</v>
      </c>
      <c r="AM194" s="18" t="s">
        <v>804</v>
      </c>
      <c r="AN194" s="18" t="s">
        <v>805</v>
      </c>
      <c r="AO194" s="1" t="s">
        <v>812</v>
      </c>
    </row>
    <row r="195" spans="1:41" ht="12" customHeight="1" x14ac:dyDescent="0.2">
      <c r="A195" s="15" t="s">
        <v>121</v>
      </c>
      <c r="B195" s="15"/>
      <c r="C195" s="15">
        <v>5200</v>
      </c>
      <c r="D195" s="15" t="s">
        <v>545</v>
      </c>
      <c r="E195" s="15" t="s">
        <v>372</v>
      </c>
      <c r="F195" s="15" t="s">
        <v>405</v>
      </c>
      <c r="G195" s="15" t="s">
        <v>505</v>
      </c>
      <c r="H195" s="15" t="s">
        <v>256</v>
      </c>
      <c r="I195" s="15" t="s">
        <v>256</v>
      </c>
      <c r="J195" s="16"/>
      <c r="K195" s="16"/>
      <c r="L195" s="16"/>
      <c r="M195" s="16"/>
      <c r="N195" s="16">
        <v>25100</v>
      </c>
      <c r="O195" s="16">
        <v>25100</v>
      </c>
      <c r="P195" s="16"/>
      <c r="Q195" s="16"/>
      <c r="R195" s="16"/>
      <c r="S195" s="16"/>
      <c r="T195" s="16"/>
      <c r="U195" s="16"/>
      <c r="V195" s="16"/>
      <c r="W195" s="16"/>
      <c r="X195" s="16"/>
      <c r="Y195" s="16" t="s">
        <v>627</v>
      </c>
      <c r="Z195" s="16">
        <f t="shared" si="5"/>
        <v>3</v>
      </c>
      <c r="AA195" s="16" t="s">
        <v>177</v>
      </c>
      <c r="AB195" s="15" t="s">
        <v>611</v>
      </c>
      <c r="AC195" s="15" t="s">
        <v>658</v>
      </c>
      <c r="AD195" s="15" t="s">
        <v>103</v>
      </c>
      <c r="AE195" s="15" t="s">
        <v>505</v>
      </c>
      <c r="AF195" s="15"/>
      <c r="AG195" s="15" t="s">
        <v>103</v>
      </c>
      <c r="AH195" s="15"/>
      <c r="AI195" s="15" t="s">
        <v>618</v>
      </c>
      <c r="AJ195" s="15" t="s">
        <v>653</v>
      </c>
      <c r="AK195" s="15" t="s">
        <v>222</v>
      </c>
      <c r="AL195" s="18">
        <v>719230006</v>
      </c>
      <c r="AM195" s="18" t="s">
        <v>806</v>
      </c>
      <c r="AN195" s="18" t="s">
        <v>807</v>
      </c>
      <c r="AO195" s="1" t="s">
        <v>812</v>
      </c>
    </row>
    <row r="196" spans="1:41" ht="12" customHeight="1" x14ac:dyDescent="0.2">
      <c r="A196" s="15" t="s">
        <v>121</v>
      </c>
      <c r="B196" s="15"/>
      <c r="C196" s="15">
        <v>5201</v>
      </c>
      <c r="D196" s="15" t="s">
        <v>545</v>
      </c>
      <c r="E196" s="15" t="s">
        <v>372</v>
      </c>
      <c r="F196" s="15" t="s">
        <v>500</v>
      </c>
      <c r="G196" s="15" t="s">
        <v>500</v>
      </c>
      <c r="H196" s="15" t="s">
        <v>541</v>
      </c>
      <c r="I196" s="15" t="s">
        <v>541</v>
      </c>
      <c r="J196" s="16">
        <v>15557</v>
      </c>
      <c r="K196" s="16"/>
      <c r="L196" s="16"/>
      <c r="M196" s="16"/>
      <c r="N196" s="16">
        <v>15557</v>
      </c>
      <c r="O196" s="16">
        <v>15557</v>
      </c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>
        <f t="shared" si="5"/>
        <v>3</v>
      </c>
      <c r="AA196" s="16" t="s">
        <v>177</v>
      </c>
      <c r="AB196" s="15" t="s">
        <v>553</v>
      </c>
      <c r="AC196" s="15" t="s">
        <v>506</v>
      </c>
      <c r="AD196" s="15" t="s">
        <v>103</v>
      </c>
      <c r="AE196" s="15" t="s">
        <v>500</v>
      </c>
      <c r="AF196" s="15"/>
      <c r="AG196" s="15" t="s">
        <v>103</v>
      </c>
      <c r="AH196" s="15"/>
      <c r="AI196" s="15" t="s">
        <v>63</v>
      </c>
      <c r="AJ196" s="15" t="s">
        <v>653</v>
      </c>
      <c r="AK196" s="15" t="s">
        <v>90</v>
      </c>
      <c r="AL196" s="18">
        <v>15044006</v>
      </c>
      <c r="AM196" s="18" t="s">
        <v>808</v>
      </c>
      <c r="AN196" s="18" t="s">
        <v>809</v>
      </c>
      <c r="AO196" s="1" t="s">
        <v>812</v>
      </c>
    </row>
    <row r="197" spans="1:41" ht="12" customHeight="1" x14ac:dyDescent="0.2">
      <c r="A197" s="15" t="s">
        <v>121</v>
      </c>
      <c r="B197" s="15"/>
      <c r="C197" s="15">
        <v>5202</v>
      </c>
      <c r="D197" s="15" t="s">
        <v>545</v>
      </c>
      <c r="E197" s="15" t="s">
        <v>290</v>
      </c>
      <c r="F197" s="15" t="s">
        <v>200</v>
      </c>
      <c r="G197" s="15" t="s">
        <v>152</v>
      </c>
      <c r="H197" s="15" t="s">
        <v>410</v>
      </c>
      <c r="I197" s="15" t="s">
        <v>410</v>
      </c>
      <c r="J197" s="16"/>
      <c r="K197" s="16"/>
      <c r="L197" s="16">
        <v>22608</v>
      </c>
      <c r="M197" s="16"/>
      <c r="N197" s="16"/>
      <c r="O197" s="16"/>
      <c r="P197" s="16">
        <v>22742</v>
      </c>
      <c r="Q197" s="16"/>
      <c r="R197" s="16"/>
      <c r="S197" s="16"/>
      <c r="T197" s="16"/>
      <c r="U197" s="16"/>
      <c r="V197" s="16"/>
      <c r="W197" s="16"/>
      <c r="X197" s="16"/>
      <c r="Y197" s="16"/>
      <c r="Z197" s="16">
        <f t="shared" si="5"/>
        <v>2</v>
      </c>
      <c r="AA197" s="16" t="s">
        <v>177</v>
      </c>
      <c r="AB197" s="15" t="s">
        <v>689</v>
      </c>
      <c r="AC197" s="15"/>
      <c r="AD197" s="15" t="s">
        <v>103</v>
      </c>
      <c r="AE197" s="15" t="s">
        <v>116</v>
      </c>
      <c r="AF197" s="15"/>
      <c r="AG197" s="15" t="s">
        <v>103</v>
      </c>
      <c r="AH197" s="15"/>
      <c r="AI197" s="15" t="s">
        <v>317</v>
      </c>
      <c r="AJ197" s="15" t="s">
        <v>208</v>
      </c>
      <c r="AK197" s="15" t="s">
        <v>288</v>
      </c>
      <c r="AL197" s="18">
        <v>3183007</v>
      </c>
      <c r="AM197" s="18" t="s">
        <v>810</v>
      </c>
      <c r="AN197" s="18" t="s">
        <v>811</v>
      </c>
      <c r="AO197" s="1" t="s">
        <v>812</v>
      </c>
    </row>
    <row r="198" spans="1:41" ht="12" customHeight="1" x14ac:dyDescent="0.2">
      <c r="A198" s="15" t="s">
        <v>121</v>
      </c>
      <c r="B198" s="15"/>
      <c r="C198" s="15">
        <v>5203</v>
      </c>
      <c r="D198" s="15" t="s">
        <v>545</v>
      </c>
      <c r="E198" s="15" t="s">
        <v>290</v>
      </c>
      <c r="F198" s="15" t="s">
        <v>500</v>
      </c>
      <c r="G198" s="15" t="s">
        <v>160</v>
      </c>
      <c r="H198" s="15" t="s">
        <v>539</v>
      </c>
      <c r="I198" s="15" t="s">
        <v>539</v>
      </c>
      <c r="J198" s="16"/>
      <c r="K198" s="16"/>
      <c r="L198" s="16">
        <v>22742</v>
      </c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>
        <f t="shared" si="5"/>
        <v>1</v>
      </c>
      <c r="AA198" s="16" t="s">
        <v>26</v>
      </c>
      <c r="AB198" s="15" t="s">
        <v>275</v>
      </c>
      <c r="AC198" s="15" t="s">
        <v>690</v>
      </c>
      <c r="AD198" s="15" t="s">
        <v>103</v>
      </c>
      <c r="AE198" s="15" t="s">
        <v>500</v>
      </c>
      <c r="AF198" s="15"/>
      <c r="AG198" s="15" t="s">
        <v>103</v>
      </c>
      <c r="AH198" s="15"/>
      <c r="AI198" s="15" t="s">
        <v>63</v>
      </c>
      <c r="AJ198" s="15" t="s">
        <v>208</v>
      </c>
      <c r="AK198" s="15" t="s">
        <v>288</v>
      </c>
      <c r="AL198" s="18">
        <v>3183007</v>
      </c>
      <c r="AM198" s="18" t="s">
        <v>810</v>
      </c>
      <c r="AN198" s="18" t="s">
        <v>811</v>
      </c>
      <c r="AO198" s="1" t="s">
        <v>812</v>
      </c>
    </row>
    <row r="199" spans="1:41" ht="12" customHeight="1" x14ac:dyDescent="0.2">
      <c r="A199" s="15" t="s">
        <v>121</v>
      </c>
      <c r="B199" s="15"/>
      <c r="C199" s="15">
        <v>5204</v>
      </c>
      <c r="D199" s="15" t="s">
        <v>545</v>
      </c>
      <c r="E199" s="15" t="s">
        <v>372</v>
      </c>
      <c r="F199" s="15" t="s">
        <v>200</v>
      </c>
      <c r="G199" s="15" t="s">
        <v>200</v>
      </c>
      <c r="H199" s="15" t="s">
        <v>607</v>
      </c>
      <c r="I199" s="15" t="s">
        <v>607</v>
      </c>
      <c r="J199" s="16"/>
      <c r="K199" s="16"/>
      <c r="L199" s="16">
        <v>23045</v>
      </c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>
        <f t="shared" si="5"/>
        <v>1</v>
      </c>
      <c r="AA199" s="16" t="s">
        <v>26</v>
      </c>
      <c r="AB199" s="15" t="s">
        <v>689</v>
      </c>
      <c r="AC199" s="15"/>
      <c r="AD199" s="15" t="s">
        <v>103</v>
      </c>
      <c r="AE199" s="15" t="s">
        <v>579</v>
      </c>
      <c r="AF199" s="15"/>
      <c r="AG199" s="15" t="s">
        <v>103</v>
      </c>
      <c r="AH199" s="15"/>
      <c r="AI199" s="15" t="s">
        <v>317</v>
      </c>
      <c r="AJ199" s="15" t="s">
        <v>653</v>
      </c>
      <c r="AK199" s="15" t="s">
        <v>93</v>
      </c>
      <c r="AL199" s="18">
        <v>3183007</v>
      </c>
      <c r="AM199" s="18" t="s">
        <v>810</v>
      </c>
      <c r="AN199" s="18" t="s">
        <v>811</v>
      </c>
      <c r="AO199" s="1" t="s">
        <v>812</v>
      </c>
    </row>
    <row r="200" spans="1:41" ht="12" customHeight="1" x14ac:dyDescent="0.2">
      <c r="A200" s="15" t="s">
        <v>121</v>
      </c>
      <c r="B200" s="15"/>
      <c r="C200" s="15">
        <v>5205</v>
      </c>
      <c r="D200" s="15" t="s">
        <v>545</v>
      </c>
      <c r="E200" s="15" t="s">
        <v>290</v>
      </c>
      <c r="F200" s="15" t="s">
        <v>200</v>
      </c>
      <c r="G200" s="15" t="s">
        <v>152</v>
      </c>
      <c r="H200" s="15" t="s">
        <v>409</v>
      </c>
      <c r="I200" s="15" t="s">
        <v>409</v>
      </c>
      <c r="J200" s="16"/>
      <c r="K200" s="16"/>
      <c r="L200" s="16">
        <v>21133</v>
      </c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>
        <f t="shared" si="5"/>
        <v>1</v>
      </c>
      <c r="AA200" s="16" t="s">
        <v>26</v>
      </c>
      <c r="AB200" s="15" t="s">
        <v>689</v>
      </c>
      <c r="AC200" s="15" t="s">
        <v>382</v>
      </c>
      <c r="AD200" s="15" t="s">
        <v>103</v>
      </c>
      <c r="AE200" s="15" t="s">
        <v>116</v>
      </c>
      <c r="AF200" s="15"/>
      <c r="AG200" s="15" t="s">
        <v>103</v>
      </c>
      <c r="AH200" s="15"/>
      <c r="AI200" s="15" t="s">
        <v>317</v>
      </c>
      <c r="AJ200" s="15" t="s">
        <v>208</v>
      </c>
      <c r="AK200" s="15" t="s">
        <v>93</v>
      </c>
      <c r="AL200" s="18">
        <v>3183007</v>
      </c>
      <c r="AM200" s="18" t="s">
        <v>810</v>
      </c>
      <c r="AN200" s="18" t="s">
        <v>811</v>
      </c>
      <c r="AO200" s="1" t="s">
        <v>812</v>
      </c>
    </row>
    <row r="201" spans="1:41" ht="12" customHeight="1" x14ac:dyDescent="0.2">
      <c r="A201" s="15" t="s">
        <v>121</v>
      </c>
      <c r="B201" s="15"/>
      <c r="C201" s="15">
        <v>5206</v>
      </c>
      <c r="D201" s="15" t="s">
        <v>545</v>
      </c>
      <c r="E201" s="15" t="s">
        <v>372</v>
      </c>
      <c r="F201" s="15" t="s">
        <v>85</v>
      </c>
      <c r="G201" s="15" t="s">
        <v>692</v>
      </c>
      <c r="H201" s="15" t="s">
        <v>657</v>
      </c>
      <c r="I201" s="15" t="s">
        <v>657</v>
      </c>
      <c r="J201" s="16"/>
      <c r="K201" s="16"/>
      <c r="L201" s="16"/>
      <c r="M201" s="16"/>
      <c r="N201" s="16">
        <v>22076</v>
      </c>
      <c r="O201" s="16">
        <v>22076</v>
      </c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>
        <f t="shared" si="5"/>
        <v>2</v>
      </c>
      <c r="AA201" s="16" t="s">
        <v>177</v>
      </c>
      <c r="AB201" s="15" t="s">
        <v>275</v>
      </c>
      <c r="AC201" s="15" t="s">
        <v>690</v>
      </c>
      <c r="AD201" s="15" t="s">
        <v>103</v>
      </c>
      <c r="AE201" s="15" t="s">
        <v>274</v>
      </c>
      <c r="AF201" s="15"/>
      <c r="AG201" s="15" t="s">
        <v>103</v>
      </c>
      <c r="AH201" s="15"/>
      <c r="AI201" s="15" t="s">
        <v>113</v>
      </c>
      <c r="AJ201" s="15" t="s">
        <v>653</v>
      </c>
      <c r="AK201" s="15" t="s">
        <v>595</v>
      </c>
      <c r="AL201" s="18">
        <v>3183007</v>
      </c>
      <c r="AM201" s="18" t="s">
        <v>810</v>
      </c>
      <c r="AN201" s="18" t="s">
        <v>811</v>
      </c>
      <c r="AO201" s="1" t="s">
        <v>812</v>
      </c>
    </row>
  </sheetData>
  <autoFilter ref="A1:AP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2023-08-22T13:00:12Z</dcterms:modified>
  <cp:category/>
</cp:coreProperties>
</file>