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15th Aug\18th Aug\"/>
    </mc:Choice>
  </mc:AlternateContent>
  <bookViews>
    <workbookView xWindow="0" yWindow="0" windowWidth="19190" windowHeight="77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Sheet1!$A$1:$DG$72</definedName>
  </definedNames>
  <calcPr calcId="162913"/>
  <webPublishing codePage="0"/>
</workbook>
</file>

<file path=xl/calcChain.xml><?xml version="1.0" encoding="utf-8"?>
<calcChain xmlns="http://schemas.openxmlformats.org/spreadsheetml/2006/main">
  <c r="AW72" i="1" l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<sst xmlns="http://schemas.openxmlformats.org/spreadsheetml/2006/main" count="2743" uniqueCount="933">
  <si>
    <t>016-244</t>
  </si>
  <si>
    <t>505589</t>
  </si>
  <si>
    <t>PRODIGO1066558</t>
  </si>
  <si>
    <t>531376</t>
  </si>
  <si>
    <t>ASIS Item Description (Long Description 4000)</t>
  </si>
  <si>
    <t>PRODIGO1066568</t>
  </si>
  <si>
    <t>PRODIGO1066518</t>
  </si>
  <si>
    <t>531507</t>
  </si>
  <si>
    <t>531517</t>
  </si>
  <si>
    <t>PRODIGO1066528</t>
  </si>
  <si>
    <t>Symmetry Kerrison Rongeur Cervical Thin Footplate 40° Up 5 mm 7 in 178 mm</t>
  </si>
  <si>
    <t>PRODIGO1066519</t>
  </si>
  <si>
    <t>505584</t>
  </si>
  <si>
    <t>Symmetry Kerrison Rongeur Cervical Thin Footplate 90° Down 3.0 mm 8</t>
  </si>
  <si>
    <t>Ref#</t>
  </si>
  <si>
    <t>HCPCS description</t>
  </si>
  <si>
    <t>Symmetry Karlin Curette PG Magnum Cup Forward Straight 7 mm Tip Size Handle Diameter 1 3/25 Inches Handle Length 7 4/5 Inches 4 7/10 in Working Length 12 3/5 in</t>
  </si>
  <si>
    <t>Item Description (Long Description)</t>
  </si>
  <si>
    <t>Tab</t>
  </si>
  <si>
    <t>URL</t>
  </si>
  <si>
    <t>501530</t>
  </si>
  <si>
    <t>531419</t>
  </si>
  <si>
    <t>Mfg Ref ID</t>
  </si>
  <si>
    <t>To Process</t>
  </si>
  <si>
    <t>463416</t>
  </si>
  <si>
    <t>Classification Remarks1</t>
  </si>
  <si>
    <t>Symmetry Kerrison Rongeur Cervical Thin Footplate 90° Up 3 mm 6 in 152 mm</t>
  </si>
  <si>
    <t>Project2</t>
  </si>
  <si>
    <t>Bookwalter Retractor Blade 1 in x 7 in (25 mm x 180 mm) Radiolucent Titanium</t>
  </si>
  <si>
    <t>HCPCS Desc1</t>
  </si>
  <si>
    <t>Greenberg Retractor Tapered Blade Width 1/16 in x 1/4 in (1.6 mm x 19 mm) 9 in 228.5 mm</t>
  </si>
  <si>
    <t>PRODIGO1066547</t>
  </si>
  <si>
    <t>PRODIGO1066567</t>
  </si>
  <si>
    <t>PRODIGO1066517</t>
  </si>
  <si>
    <t>PRODIGO1066507</t>
  </si>
  <si>
    <t>PRODIGO1066537</t>
  </si>
  <si>
    <t>PRODIGO1066527</t>
  </si>
  <si>
    <t>Validated MFR Num</t>
  </si>
  <si>
    <t>Property</t>
  </si>
  <si>
    <t>531411</t>
  </si>
  <si>
    <t>Bookwalter Retractor Blade Radiolucent Titanium 25.0 mm x 203.0 mm</t>
  </si>
  <si>
    <t>Standardized UNSPSC1</t>
  </si>
  <si>
    <t>Standardized UNSPSC</t>
  </si>
  <si>
    <t>Symmetry Dilator Bakes Common Duct 9.0 mm Tip 11 3/4 in 298 mm</t>
  </si>
  <si>
    <t>Data Enrichment | UNSPSC Classification</t>
  </si>
  <si>
    <t>Symmetry Karlin Curette Xl Magnum Cup Forward Straight 17 mm Tip Size 13 1/4 in</t>
  </si>
  <si>
    <t>463232</t>
  </si>
  <si>
    <t>Accepted Date</t>
  </si>
  <si>
    <t>Symmetry Kerrison Rongeur Cervical Thin Footplate 90° Up 3 mm 7 in 178 mm</t>
  </si>
  <si>
    <t>463418</t>
  </si>
  <si>
    <t>Delivered</t>
  </si>
  <si>
    <t>Symmetry Rongeur Stille-Luer Flat Low Jaw</t>
  </si>
  <si>
    <t>505583</t>
  </si>
  <si>
    <t>Symmetry Kerrison Rongeur Lumbar 40° Up 3.0 mm 9 in</t>
  </si>
  <si>
    <t>Potential Duplicates</t>
  </si>
  <si>
    <t>Description Duplicate</t>
  </si>
  <si>
    <t>QE Code</t>
  </si>
  <si>
    <t>501534</t>
  </si>
  <si>
    <t>Long Description</t>
  </si>
  <si>
    <t>Symmetry Rongeur Stille-Luer Angled</t>
  </si>
  <si>
    <t>Symmetry Karlin Curette Xl Magnum Cup Forward Straight 15 mm Tip Size 13 1/4 in</t>
  </si>
  <si>
    <t>Sterile</t>
  </si>
  <si>
    <t>463412</t>
  </si>
  <si>
    <t>Bookwalter Retractor Blade Radiolucent Titanium 51.0 mm x 180.0 mm</t>
  </si>
  <si>
    <t>SYMMETRY SURGICAL</t>
  </si>
  <si>
    <t>Mapped with 066</t>
  </si>
  <si>
    <t>Symmetry Karlin Curette PG Magnum Cup Forward Straight 15 mm Tip Size Handle Diameter 1 3/25 Inches Handle Length 7 4/5 Inches 4 7/10 in Working Length 12 3/5 in</t>
  </si>
  <si>
    <t>Remarks</t>
  </si>
  <si>
    <t>Symmetry Kerrison Rongeur Cervical Thin Footplate 90° Up 3 mm 8 in 203 mm</t>
  </si>
  <si>
    <t>463236</t>
  </si>
  <si>
    <t>QA Comments</t>
  </si>
  <si>
    <t>Ref</t>
  </si>
  <si>
    <t>Symmetry Rongeur Love-Gruenwald IVD Down 7 in 178 mm</t>
  </si>
  <si>
    <t>PRODIGO1066556</t>
  </si>
  <si>
    <t>RefName</t>
  </si>
  <si>
    <t>PRODIGO1066566</t>
  </si>
  <si>
    <t>PRODIGO1066516</t>
  </si>
  <si>
    <t>PRODIGO1066506</t>
  </si>
  <si>
    <t>PRODIGO1066536</t>
  </si>
  <si>
    <t>PRODIGO1066526</t>
  </si>
  <si>
    <t>531425</t>
  </si>
  <si>
    <t>SE Code</t>
  </si>
  <si>
    <t>510611</t>
  </si>
  <si>
    <t>531480</t>
  </si>
  <si>
    <t>Symmetry Kerrison Rongeur Cervical Thin Footplate 90° Down 4.0 mm 8</t>
  </si>
  <si>
    <t>Item Description (Long Description 4000)1</t>
  </si>
  <si>
    <t>Greenberg Retractor Tapered Blade Width  3/32 in x 3/8 in (2mm x 10 mm) 9 in 229 mm</t>
  </si>
  <si>
    <t>Symmetry Kerrison Rongeur Cervical Thin Footplate 90° Down 4.0 mm 7</t>
  </si>
  <si>
    <t>PrimaryDimension(IDXODXLXWXHXDXTHK)</t>
  </si>
  <si>
    <t>Symmetry Karlin Curette Xl Magnum Cup Forward Angle 9 mm Tip Size 13 1/4 in</t>
  </si>
  <si>
    <t>Production User</t>
  </si>
  <si>
    <t>531084</t>
  </si>
  <si>
    <t>Quality A/R</t>
  </si>
  <si>
    <t>505587</t>
  </si>
  <si>
    <t>Long Description 254 Enriched</t>
  </si>
  <si>
    <t>Sort Code</t>
  </si>
  <si>
    <t>Short Description 60 Enriched</t>
  </si>
  <si>
    <t>Symmetry Dilator Bakes Common Duct 10.0 mm Tip 11 3/4 in 298 mm</t>
  </si>
  <si>
    <t>PRODIGO1066535</t>
  </si>
  <si>
    <t>Bookwalter Retractor Blade Radiolucent Titanium 25.0 mm x 152.0 mm</t>
  </si>
  <si>
    <t>Potential Duplicates1</t>
  </si>
  <si>
    <t>Bookwalter Retractor Blade 1 in x 5 in (25 mm x 127 mm) Radiolucent Titanium</t>
  </si>
  <si>
    <t>501533</t>
  </si>
  <si>
    <t>Bookwalter Retractor Blade 2 in x 4 in (51 mm x 102 mm) Radiolucent Titanium</t>
  </si>
  <si>
    <t>DE Code</t>
  </si>
  <si>
    <t>Symmetry Rongeur Love-Gruen IVD Down 5 in</t>
  </si>
  <si>
    <t>510610</t>
  </si>
  <si>
    <t>Symmetry Kerrison Rongeur Lumbar 40° Up 2.0 mm 9 in</t>
  </si>
  <si>
    <t>Symmetry Karlin Curette Xl Magnum Cup Forward Angle 11 mm Tip Size 13 1/4 in</t>
  </si>
  <si>
    <t>Standardized Manufacturer Name</t>
  </si>
  <si>
    <t>ForGhria_Output_2023-08-14</t>
  </si>
  <si>
    <t>PDG</t>
  </si>
  <si>
    <t>Project1</t>
  </si>
  <si>
    <t>Descr Status</t>
  </si>
  <si>
    <t>Symmetry Karlin Curette PG Magnum Cup Forward Straight 17 mm Tip Size Handle Diameter 1 3/25 Inches Handle Length 7 4/5 Inches 4 7/10 in Working Length 12 3/5 in</t>
  </si>
  <si>
    <t>Symmetry Kerrison Rongeur Cervical Thin Footplate 90° Down 3 mm 7 in 178 mm</t>
  </si>
  <si>
    <t>531133</t>
  </si>
  <si>
    <t>PRODIGO1066552</t>
  </si>
  <si>
    <t>PRODIGO1066542</t>
  </si>
  <si>
    <t>PRODIGO1066572</t>
  </si>
  <si>
    <t>PRODIGO1066562</t>
  </si>
  <si>
    <t>PRODIGO1066514</t>
  </si>
  <si>
    <t>PRODIGO1066532</t>
  </si>
  <si>
    <t>PRODIGO1066522</t>
  </si>
  <si>
    <t>Symmetry Kerrison Rongeur Cervical Thin Footplate 90° Down 4.0 mm 6 in</t>
  </si>
  <si>
    <t>463230</t>
  </si>
  <si>
    <t>Location</t>
  </si>
  <si>
    <t>531484</t>
  </si>
  <si>
    <t>531424</t>
  </si>
  <si>
    <t>531404</t>
  </si>
  <si>
    <t>Bookwalter Case Spinal Sterilizing 13 1/2 in Wide 19 1/2 in</t>
  </si>
  <si>
    <t>Mfg Item Number</t>
  </si>
  <si>
    <t>Bookwalter Retractor Blade Radiolucent Titanium 51.0 mm x 127.0 mm</t>
  </si>
  <si>
    <t>Miscellaneous</t>
  </si>
  <si>
    <t>531528</t>
  </si>
  <si>
    <t>Greenberg Retractor Tapered Blade Width 1/8 in x 1/2 in (3 mm x 13 mm) 9 in 229 mm</t>
  </si>
  <si>
    <t>531508</t>
  </si>
  <si>
    <t>Mfg Name</t>
  </si>
  <si>
    <t>Prodigo Standard Short Description - 254</t>
  </si>
  <si>
    <t>463237</t>
  </si>
  <si>
    <t>PRODIGO1066512</t>
  </si>
  <si>
    <t>Batch</t>
  </si>
  <si>
    <t>Symmetry Karlin Curette PG Magnum Cup Forward Straight 11 mm Tip Size Handle Diameter 1 3/25 Inches Handle Length 7 4/5 Inches 4 7/10 in Working Length 12 3/5 in</t>
  </si>
  <si>
    <t>BrandName</t>
  </si>
  <si>
    <t>463233</t>
  </si>
  <si>
    <t>Symmetry Kerrison Rongeur Cervical Thin Footplate 90° Down 3.0 mm 6 in</t>
  </si>
  <si>
    <t>Item Name (Short Description)</t>
  </si>
  <si>
    <t>Modifier</t>
  </si>
  <si>
    <t>Customer Code</t>
  </si>
  <si>
    <t>Bookwalter Retractor Blade 2 in x 6 in (51 mm x 152 mm) Radiolucent Titanium</t>
  </si>
  <si>
    <t>Status</t>
  </si>
  <si>
    <t>Symmetry Karlin Curette PG Magnum Cup Forward Angle 7 mm Tip Size Handle Diameter 1 3/25 Inches Handle Length 7 4/5 Inches 4 7/10 in Working Length 12 3/5 in</t>
  </si>
  <si>
    <t>Symmetry Kerrison Rongeur Lumbar 90° Down 3 mm 7 in 178 mm</t>
  </si>
  <si>
    <t>Production Comments</t>
  </si>
  <si>
    <t>531520</t>
  </si>
  <si>
    <t>ADG</t>
  </si>
  <si>
    <t>463411</t>
  </si>
  <si>
    <t>Short Description</t>
  </si>
  <si>
    <t>531237</t>
  </si>
  <si>
    <t>Symmetry Kerrison Rongeur Lumbar 40° Up 2.0 mm 8 in</t>
  </si>
  <si>
    <t>Volume/Weight</t>
  </si>
  <si>
    <t>PRODIGO1066555</t>
  </si>
  <si>
    <t>PRODIGO1066545</t>
  </si>
  <si>
    <t>510609</t>
  </si>
  <si>
    <t>PRODIGO1066515</t>
  </si>
  <si>
    <t>PRODIGO1066505</t>
  </si>
  <si>
    <t>URL1</t>
  </si>
  <si>
    <t>PRODIGO1066525</t>
  </si>
  <si>
    <t>UNSPSC Description</t>
  </si>
  <si>
    <t>531418</t>
  </si>
  <si>
    <t>Symmetry Kerrison Rongeur Lumbar 90° Down 5.0 mm 8 in</t>
  </si>
  <si>
    <t>UNSPC V24</t>
  </si>
  <si>
    <t>Symmetry Kerrison Rongeur Lumbar 90° Down 4 mm 8 in 203 mm</t>
  </si>
  <si>
    <t>SLNo_Prod</t>
  </si>
  <si>
    <t>Greenberg Retractor Tapered Blade Width 1/4 in x 3/4 in (6 mm x 19 mm) 9 in 229 mm</t>
  </si>
  <si>
    <t>Symmetry Kerrison Rongeur Cervical Thin Footplate 90° Down 2.0 mm 6 in</t>
  </si>
  <si>
    <t>531482</t>
  </si>
  <si>
    <t>Symmetry Karlin Curette PG Magnum Cup Forward Straight 13 mm Tip Size Handle Diameter 1 3/25 Inches Handle Length 7 4/5 Inches 4 7/10 in Working Length 12 3/5 in</t>
  </si>
  <si>
    <t>Remarks1</t>
  </si>
  <si>
    <t>531422</t>
  </si>
  <si>
    <t>Symmetry Kerrison Rongeur Lumbar 90° Up 6.0 mm 8 in</t>
  </si>
  <si>
    <t>Age</t>
  </si>
  <si>
    <t>File Name</t>
  </si>
  <si>
    <t>QE Comments</t>
  </si>
  <si>
    <t>RefCat</t>
  </si>
  <si>
    <t>463417</t>
  </si>
  <si>
    <t>UNSPSC</t>
  </si>
  <si>
    <t>Symmetry Kerrison Rongeur Cervical Thin Footplate 90° Up 4 mm 6 in 152 mm</t>
  </si>
  <si>
    <t>531085</t>
  </si>
  <si>
    <t>Classification Remarks</t>
  </si>
  <si>
    <t>Size</t>
  </si>
  <si>
    <t>PRODIGO1066559</t>
  </si>
  <si>
    <t>Symmetry Karlin Curette Xl Magnum Cup Down Pushing 9 mm Tip Size 13 1/4 in</t>
  </si>
  <si>
    <t>Symmetry Kerrison Rongeur Cervical Thin Footplate 90° Down 5.0 mm 6 in</t>
  </si>
  <si>
    <t>531504</t>
  </si>
  <si>
    <t>Delivered Date</t>
  </si>
  <si>
    <t>Potential / Desc Duplicate across Consolidated</t>
  </si>
  <si>
    <t>Symmetry Kerrison Rongeur Cervical Thin Footplate 90° Up 4.0 mm 8</t>
  </si>
  <si>
    <t>Symmetry Kerrison Rongeur Cervical Thin Footplate 90° Up 4.0 mm 7</t>
  </si>
  <si>
    <t>531521</t>
  </si>
  <si>
    <t>531531</t>
  </si>
  <si>
    <t>PRODIGO1066539</t>
  </si>
  <si>
    <t>531190</t>
  </si>
  <si>
    <t>Standardized Manufacturer Item Number</t>
  </si>
  <si>
    <t>Packaging for drugs and solutions</t>
  </si>
  <si>
    <t>505582</t>
  </si>
  <si>
    <t>PRODIGO1066551</t>
  </si>
  <si>
    <t>PRODIGO1066541</t>
  </si>
  <si>
    <t>PRODIGO1066571</t>
  </si>
  <si>
    <t>PRODIGO1066561</t>
  </si>
  <si>
    <t>PRODIGO1066511</t>
  </si>
  <si>
    <t>PRODIGO1066531</t>
  </si>
  <si>
    <t>PRODIGO1066521</t>
  </si>
  <si>
    <t>Symmetry Rongeur Kerrison Down5 7 1/2 in</t>
  </si>
  <si>
    <t>Previous CE Code</t>
  </si>
  <si>
    <t>Miscellaneous1</t>
  </si>
  <si>
    <t>PRODIGO1066544</t>
  </si>
  <si>
    <t>PRODIGO1066574</t>
  </si>
  <si>
    <t>PRODIGO1066564</t>
  </si>
  <si>
    <t>ProdigoItemKey1</t>
  </si>
  <si>
    <t>PRODIGO1066504</t>
  </si>
  <si>
    <t>PRODIGO1066534</t>
  </si>
  <si>
    <t>PRODIGO1066524</t>
  </si>
  <si>
    <t>Activities</t>
  </si>
  <si>
    <t>Symmetry Rongeur Smith-Peterson Fully Curved 9 1/2 in</t>
  </si>
  <si>
    <t>463234</t>
  </si>
  <si>
    <t>Bookwalter Retractor Blade 2 in x 8 in (51 mm x 203 mm) Radiolucent Titanium</t>
  </si>
  <si>
    <t>531416</t>
  </si>
  <si>
    <t>Latex</t>
  </si>
  <si>
    <t>Noun</t>
  </si>
  <si>
    <t>PRODIGO1066548</t>
  </si>
  <si>
    <t>PRODIGO1066557</t>
  </si>
  <si>
    <t>Start Date</t>
  </si>
  <si>
    <t>Bookwalter Retractor Blade 1 in x 4 in (25 mm x 102 mm) Radiolucent Titanium</t>
  </si>
  <si>
    <t>Adjective</t>
  </si>
  <si>
    <t>PDF</t>
  </si>
  <si>
    <t>Symmetry Karlin Curette PG Magnum Cup Forward Straight 9 mm Tip Size Handle Diameter 1 3/25 Inches Handle Length 7 4/5 Inches 4 7/10 in Working Length 12 3/5 in</t>
  </si>
  <si>
    <t>531535</t>
  </si>
  <si>
    <t>531505</t>
  </si>
  <si>
    <t>Short Description 60 Enriched1</t>
  </si>
  <si>
    <t>531511</t>
  </si>
  <si>
    <t>505586</t>
  </si>
  <si>
    <t>Sort Comment</t>
  </si>
  <si>
    <t>Symmetry Rongeur Schlesinger IVD 2 mm</t>
  </si>
  <si>
    <t>531532</t>
  </si>
  <si>
    <t>531502</t>
  </si>
  <si>
    <t>Material</t>
  </si>
  <si>
    <t>505588</t>
  </si>
  <si>
    <t>505581</t>
  </si>
  <si>
    <t>PRODIGO1066550</t>
  </si>
  <si>
    <t>PRODIGO1066540</t>
  </si>
  <si>
    <t>PRODIGO1066570</t>
  </si>
  <si>
    <t>PRODIGO1066560</t>
  </si>
  <si>
    <t>PRODIGO1066510</t>
  </si>
  <si>
    <t>PRODIGO1066530</t>
  </si>
  <si>
    <t>PRODIGO1066520</t>
  </si>
  <si>
    <t>501532</t>
  </si>
  <si>
    <t>Symmetry Karlin Curette PG Magnum Cup Forward Angle 11 mm Tip Size Handle Diameter 1 3/25 Inches Handle Length 7 4/5 Inches 4 7/10 in Working Length 12 3/5 in</t>
  </si>
  <si>
    <t>Symmetry Kerrison Rongeur Lumbar 40° Up 6 mm 7 in 178 mm</t>
  </si>
  <si>
    <t>Symmetry Rongeur Smith-Peterson Slightly Curved 9 1/2 in 240 mm</t>
  </si>
  <si>
    <t>Validated MFR Name</t>
  </si>
  <si>
    <t>463414</t>
  </si>
  <si>
    <t>PRODIGO1066573</t>
  </si>
  <si>
    <t>Symmetry Kerrison Rongeur Lumbar 90° Up 4 mm 8 in 203 mm</t>
  </si>
  <si>
    <t>Symmetry Dilator Bakes Common Duct 11.0 mm Tip 11 3/4 in 298 mm</t>
  </si>
  <si>
    <t>Symmetry Kerrison Rongeur Lumbar 90° Down 6.0 mm 8 in</t>
  </si>
  <si>
    <t>Brandname1</t>
  </si>
  <si>
    <t>531377</t>
  </si>
  <si>
    <t>PRODIGO1066508</t>
  </si>
  <si>
    <t>Conc</t>
  </si>
  <si>
    <t>ProdigoItemKey</t>
  </si>
  <si>
    <t>QA Code</t>
  </si>
  <si>
    <t>Count</t>
  </si>
  <si>
    <t>504647</t>
  </si>
  <si>
    <t>Symmetry Karlin Curette Xl Magnum Cup Down Pushing 7 mm Tip Size 13 1/4 in</t>
  </si>
  <si>
    <t>Symmetry Karlin Curette Xl Magnum Cup Forward Straight 19 mm Tip Size 13 1/4 in</t>
  </si>
  <si>
    <t>Symmetry Dilator Bakes Common Duct 7.0 mm Tip 11 3/4 in 298 mm</t>
  </si>
  <si>
    <t>Job No</t>
  </si>
  <si>
    <t>Len</t>
  </si>
  <si>
    <t>Project</t>
  </si>
  <si>
    <t>531529</t>
  </si>
  <si>
    <t>SE Comments</t>
  </si>
  <si>
    <t>531519</t>
  </si>
  <si>
    <t>Secondary Dimension(IDXODXLXWXHXDXTHK)</t>
  </si>
  <si>
    <t>463235</t>
  </si>
  <si>
    <t>531118</t>
  </si>
  <si>
    <t>PRODIGO1066549</t>
  </si>
  <si>
    <t>PRODIGO1066569</t>
  </si>
  <si>
    <t>UNSPSC Description1</t>
  </si>
  <si>
    <t>PRODIGO1066509</t>
  </si>
  <si>
    <t>531516</t>
  </si>
  <si>
    <t>PRODIGO1066529</t>
  </si>
  <si>
    <t>Gender</t>
  </si>
  <si>
    <t>Project_Code</t>
  </si>
  <si>
    <t>505585</t>
  </si>
  <si>
    <t>Source</t>
  </si>
  <si>
    <t>To_Process</t>
  </si>
  <si>
    <t>505580</t>
  </si>
  <si>
    <t>Corrected By</t>
  </si>
  <si>
    <t>PRODIGO1066553</t>
  </si>
  <si>
    <t>PRODIGO1066543</t>
  </si>
  <si>
    <t>Color</t>
  </si>
  <si>
    <t>PRODIGO1066563</t>
  </si>
  <si>
    <t>PRODIGO1066513</t>
  </si>
  <si>
    <t>PRODIGO1066533</t>
  </si>
  <si>
    <t>PRODIGO1066523</t>
  </si>
  <si>
    <t>PRODIGO1066538</t>
  </si>
  <si>
    <t>UNSPSC1</t>
  </si>
  <si>
    <t>463420</t>
  </si>
  <si>
    <t>PRODIGO1066554</t>
  </si>
  <si>
    <t>HCPCS code</t>
  </si>
  <si>
    <t>463415</t>
  </si>
  <si>
    <t>SlNo</t>
  </si>
  <si>
    <t>HCPCS1</t>
  </si>
  <si>
    <t>463413</t>
  </si>
  <si>
    <t>11kProdigoItemKey</t>
  </si>
  <si>
    <t>Long Description 254 Enriched1</t>
  </si>
  <si>
    <t>64kProdigoItemKey</t>
  </si>
  <si>
    <t>Disposable</t>
  </si>
  <si>
    <t>Symmetry Karlin Curette PG Magnum Cup Forward Straight 19 mm Tip Size Handle Diameter 1 3/25 Inches Handle Length 7 4/5 Inches 4 7/10 in Working Length 12 3/5 in</t>
  </si>
  <si>
    <t>Source1</t>
  </si>
  <si>
    <t>531297</t>
  </si>
  <si>
    <t>Symmetry Kerrison Rongeur Cervical Thin Footplate 90° Down 5.0 mm 8</t>
  </si>
  <si>
    <t>CE Comments</t>
  </si>
  <si>
    <t>PRODIGO1066546</t>
  </si>
  <si>
    <t>Symmetry Rongeur Kerrison Down3 7 1/2 in</t>
  </si>
  <si>
    <t>PRODIGO1066565</t>
  </si>
  <si>
    <t>Symmetry Kerrison Rongeur Lumbar 90° Down 3.0 mm 8 in</t>
  </si>
  <si>
    <t>510607</t>
  </si>
  <si>
    <t>Job No1</t>
  </si>
  <si>
    <t>SYMMETRY MEDICAL INC</t>
  </si>
  <si>
    <t>46-3230</t>
  </si>
  <si>
    <t>46-3232</t>
  </si>
  <si>
    <t>46-3233</t>
  </si>
  <si>
    <t>46-3234</t>
  </si>
  <si>
    <t>46-3235</t>
  </si>
  <si>
    <t>46-3236</t>
  </si>
  <si>
    <t>46-3237</t>
  </si>
  <si>
    <t>46-3411</t>
  </si>
  <si>
    <t>46-3412</t>
  </si>
  <si>
    <t>46-3413</t>
  </si>
  <si>
    <t>46-3414</t>
  </si>
  <si>
    <t>46-3415</t>
  </si>
  <si>
    <t>46-3416</t>
  </si>
  <si>
    <t>46-3417</t>
  </si>
  <si>
    <t>46-3418</t>
  </si>
  <si>
    <t>46-3420</t>
  </si>
  <si>
    <t>50-1530</t>
  </si>
  <si>
    <t>50-1532</t>
  </si>
  <si>
    <t>50-1533</t>
  </si>
  <si>
    <t>50-1534</t>
  </si>
  <si>
    <t>50-4647</t>
  </si>
  <si>
    <t>50-5580</t>
  </si>
  <si>
    <t>50-5581</t>
  </si>
  <si>
    <t>50-5582</t>
  </si>
  <si>
    <t>50-5583</t>
  </si>
  <si>
    <t>50-5584</t>
  </si>
  <si>
    <t>50-5585</t>
  </si>
  <si>
    <t>50-5586</t>
  </si>
  <si>
    <t>50-5587</t>
  </si>
  <si>
    <t>50-5588</t>
  </si>
  <si>
    <t>50-5589</t>
  </si>
  <si>
    <t>51-0607</t>
  </si>
  <si>
    <t>51-0609</t>
  </si>
  <si>
    <t>51-0610</t>
  </si>
  <si>
    <t>51-0611</t>
  </si>
  <si>
    <t>53-1084</t>
  </si>
  <si>
    <t>53-1085</t>
  </si>
  <si>
    <t>53-1118</t>
  </si>
  <si>
    <t>53-1133</t>
  </si>
  <si>
    <t>53-1190</t>
  </si>
  <si>
    <t>53-1237</t>
  </si>
  <si>
    <t>53-1297</t>
  </si>
  <si>
    <t>53-1376</t>
  </si>
  <si>
    <t>53-1377</t>
  </si>
  <si>
    <t>53-1404</t>
  </si>
  <si>
    <t>53-1411</t>
  </si>
  <si>
    <t>53-1416</t>
  </si>
  <si>
    <t>53-1418</t>
  </si>
  <si>
    <t>53-1419</t>
  </si>
  <si>
    <t>53-1422</t>
  </si>
  <si>
    <t>53-1424</t>
  </si>
  <si>
    <t>53-1425</t>
  </si>
  <si>
    <t>53-1480</t>
  </si>
  <si>
    <t>53-1482</t>
  </si>
  <si>
    <t>53-1484</t>
  </si>
  <si>
    <t>53-1502</t>
  </si>
  <si>
    <t>53-1504</t>
  </si>
  <si>
    <t>53-1505</t>
  </si>
  <si>
    <t>53-1507</t>
  </si>
  <si>
    <t>53-1508</t>
  </si>
  <si>
    <t>53-1511</t>
  </si>
  <si>
    <t>53-1516</t>
  </si>
  <si>
    <t>53-1517</t>
  </si>
  <si>
    <t>53-1519</t>
  </si>
  <si>
    <t>53-1520</t>
  </si>
  <si>
    <t>53-1521</t>
  </si>
  <si>
    <t>53-1528</t>
  </si>
  <si>
    <t>53-1529</t>
  </si>
  <si>
    <t>53-1531</t>
  </si>
  <si>
    <t>53-1532</t>
  </si>
  <si>
    <t>53-1535</t>
  </si>
  <si>
    <t>JNJ</t>
  </si>
  <si>
    <t>JNJ_463230</t>
  </si>
  <si>
    <t>JNJ_463232</t>
  </si>
  <si>
    <t>JNJ_463233</t>
  </si>
  <si>
    <t>JNJ_463234</t>
  </si>
  <si>
    <t>JNJ_463235</t>
  </si>
  <si>
    <t>JNJ_463236</t>
  </si>
  <si>
    <t>JNJ_463237</t>
  </si>
  <si>
    <t>JNJ_463411</t>
  </si>
  <si>
    <t>JNJ_463412</t>
  </si>
  <si>
    <t>JNJ_463413</t>
  </si>
  <si>
    <t>JNJ_463414</t>
  </si>
  <si>
    <t>JNJ_463415</t>
  </si>
  <si>
    <t>JNJ_463416</t>
  </si>
  <si>
    <t>JNJ_463417</t>
  </si>
  <si>
    <t>JNJ_463418</t>
  </si>
  <si>
    <t>JNJ_463420</t>
  </si>
  <si>
    <t>JNJ_501530</t>
  </si>
  <si>
    <t>JNJ_501532</t>
  </si>
  <si>
    <t>JNJ_501533</t>
  </si>
  <si>
    <t>JNJ_501534</t>
  </si>
  <si>
    <t>JNJ_504647</t>
  </si>
  <si>
    <t>JNJ_505580</t>
  </si>
  <si>
    <t>JNJ_505581</t>
  </si>
  <si>
    <t>JNJ_505582</t>
  </si>
  <si>
    <t>JNJ_505583</t>
  </si>
  <si>
    <t>JNJ_505584</t>
  </si>
  <si>
    <t>JNJ_505585</t>
  </si>
  <si>
    <t>JNJ_505586</t>
  </si>
  <si>
    <t>JNJ_505587</t>
  </si>
  <si>
    <t>JNJ_505588</t>
  </si>
  <si>
    <t>JNJ_505589</t>
  </si>
  <si>
    <t>JNJ_510607</t>
  </si>
  <si>
    <t>JNJ_510609</t>
  </si>
  <si>
    <t>JNJ_510610</t>
  </si>
  <si>
    <t>JNJ_510611</t>
  </si>
  <si>
    <t>JNJ_531084</t>
  </si>
  <si>
    <t>JNJ_531085</t>
  </si>
  <si>
    <t>JNJ_531118</t>
  </si>
  <si>
    <t>JNJ_531133</t>
  </si>
  <si>
    <t>JNJ_531190</t>
  </si>
  <si>
    <t>JNJ_531237</t>
  </si>
  <si>
    <t>JNJ_531297</t>
  </si>
  <si>
    <t>JNJ_531376</t>
  </si>
  <si>
    <t>JNJ_531377</t>
  </si>
  <si>
    <t>JNJ_531404</t>
  </si>
  <si>
    <t>JNJ_531411</t>
  </si>
  <si>
    <t>JNJ_531416</t>
  </si>
  <si>
    <t>JNJ_531418</t>
  </si>
  <si>
    <t>JNJ_531419</t>
  </si>
  <si>
    <t>JNJ_531422</t>
  </si>
  <si>
    <t>JNJ_531424</t>
  </si>
  <si>
    <t>JNJ_531425</t>
  </si>
  <si>
    <t>JNJ_531480</t>
  </si>
  <si>
    <t>JNJ_531482</t>
  </si>
  <si>
    <t>JNJ_531484</t>
  </si>
  <si>
    <t>JNJ_531502</t>
  </si>
  <si>
    <t>JNJ_531504</t>
  </si>
  <si>
    <t>JNJ_531505</t>
  </si>
  <si>
    <t>JNJ_531507</t>
  </si>
  <si>
    <t>JNJ_531508</t>
  </si>
  <si>
    <t>JNJ_531511</t>
  </si>
  <si>
    <t>JNJ_531516</t>
  </si>
  <si>
    <t>JNJ_531517</t>
  </si>
  <si>
    <t>JNJ_531519</t>
  </si>
  <si>
    <t>JNJ_531520</t>
  </si>
  <si>
    <t>JNJ_531521</t>
  </si>
  <si>
    <t>JNJ_531528</t>
  </si>
  <si>
    <t>JNJ_531529</t>
  </si>
  <si>
    <t>JNJ_531531</t>
  </si>
  <si>
    <t>JNJ_531532</t>
  </si>
  <si>
    <t>JNJ_531535</t>
  </si>
  <si>
    <t>42291607  Surgical curettes or loops or curette sets</t>
  </si>
  <si>
    <t>42293139  Retractor accessories</t>
  </si>
  <si>
    <t>42281509  Sterilization containers or trays</t>
  </si>
  <si>
    <t>42292601  Surgical dilators</t>
  </si>
  <si>
    <t>42291612  Surgical rongeurs</t>
  </si>
  <si>
    <t>Karlin Curette Xl Magnum Cup Forward Straight 15 mm Tip Size 13-1/4 in NON STERILE LATEX</t>
  </si>
  <si>
    <t>Karlin Curette Xl Magnum Cup Forward Angle 9 mm Tip Size 13-1/4 in NON STERILE LATEX</t>
  </si>
  <si>
    <t>Karlin Curette Xl Magnum Cup Forward Angle 11 mm Tip Size 13 1/4 in NON STERILE LATEX</t>
  </si>
  <si>
    <t>Karlin Curette Xl Magnum Cup Down Pushing 7 mm Tip Size 13 1/4 in NON STERILE LATEX</t>
  </si>
  <si>
    <t>Karlin Curette Xl Magnum Cup Down Pushing 9 mm Tip Size 13 1/4 in NON STERILE LATEX</t>
  </si>
  <si>
    <t>Karlin Curette Xl Magnum Cup Forward Straight 17 mm Tip Size 13 1/4 in NON STERILE LATEX</t>
  </si>
  <si>
    <t>Karlin Curette Xl Magnum Cup Forward Straight 19 mm Tip Size 13 1/4 in NON STERILE LATEX</t>
  </si>
  <si>
    <t>Karlin Curette PG Magnum Cup Forward Straight 7 mm Tip Size Handle Diameter 1 3/25 Inches Handle Length 7 4/5 Inches 4 7/10 in Working Length 12 3/5 in NON STERILE LATEX</t>
  </si>
  <si>
    <t>Karlin Curette PG Magnum Cup Forward Straight 9 mm Tip Size Handle Diameter 1 3/25 Inches Handle Length 7 4/5 Inches 4 7/10 in Working Length 12 3/5 in NON STERILE LATEX</t>
  </si>
  <si>
    <t>Karlin Curette PG Magnum Cup Forward Straight 11 mm Tip Size Handle Diameter 1 3/25 Inches Handle Length 7 4/5 Inches 4 7/10 in Working Length 12 3/5 in NON STERILE LATEX</t>
  </si>
  <si>
    <t>Karlin Curette PG Magnum Cup Forward Straight 13 mm Tip Size Handle Diameter 1 3/25 Inches Handle Length 7 4/5 Inches 4 7/10 in Working Length 12 3/5 in NON STERILE LATEX</t>
  </si>
  <si>
    <t>Karlin Curette PG Magnum Cup Forward Straight 15 mm Tip Size Handle Diameter 1 3/25 Inches Handle Length 7 4/5 Inches 4 7/10 in Working Length 12 3/5 in NON STERILE LATEX</t>
  </si>
  <si>
    <t>Karlin Curette PG Magnum Cup Forward Straight 17 mm Tip Size Handle Diameter 1 3/25 Inches Handle Length 7 4/5 Inches 4 7/10 in Working Length 12 3/5 in NON STERILE LATEX</t>
  </si>
  <si>
    <t>Karlin Curette PG Magnum Cup Forward Straight 19 mm Tip Size Handle Diameter 1 3/25 Inches Handle Length 7 4/5 Inches 4 7/10 in Working Length 12 3/5 in NON STERILE LATEX</t>
  </si>
  <si>
    <t>Karlin Curette PG Magnum Cup Forward Angle 7 mm Tip Size Handle Diameter 1 3/25 Inches Handle Length 7 4/5 Inches 4 7/10 in Working Length 12 3/5 in NON STERILE LATEX</t>
  </si>
  <si>
    <t>Karlin Curette PG Magnum Cup Forward Angle 11 mm Tip Size Handle Diameter 1 3/25 Inches Handle Length 7 4/5 Inches 4 7/10 in Working Length 12 3/5 in NON STERILE LATEX</t>
  </si>
  <si>
    <t>Greenberg Retractor Tapered Blade Width 1/4 in x 3/4 in (6 mm x 19 mm) 9 in 229 mm NON STERILE LATEX</t>
  </si>
  <si>
    <t>Greenberg Retractor Tapered Blade Width 1/8 in x 1/2 in (3 mm x 13 mm) 9 in 229 mm NON STERILE LATEX</t>
  </si>
  <si>
    <t>Greenberg Retractor Tapered Blade Width 3/32 in x 3/8 in (2mm x 10 mm) 9 in 229 mm NON STERILE LATEX</t>
  </si>
  <si>
    <t>Greenberg Retractor Tapered Blade Width 1/16 in x 1/4 in (1.6 mm x 19 mm) 9 in 228.5 mm NON STERILE LATEX</t>
  </si>
  <si>
    <t>Bookwalter Retractor Blade 1 in x 4 in (25 mm x 102 mm) Radiolucent Titanium Low Glare Gold Coating NON STERILE LATEX</t>
  </si>
  <si>
    <t>Bookwalter Retractor Blade 1 in x 5 in (25 mm x 127 mm) Radiolucent Titanium Low Glare Gold Coating NON STERILE LATEX</t>
  </si>
  <si>
    <t>Bookwalter Retractor Blade Radiolucent Titanium 25.0 mm x 152.0 mm Low Glare Gold Coating NON STERILE LATEX</t>
  </si>
  <si>
    <t>Bookwalter Retractor Blade 1 in x 7 in (25 mm x 180 mm) Radiolucent Titanium Low Glare Gold Coating NON STERILE LATEX</t>
  </si>
  <si>
    <t>Bookwalter Retractor Blade Radiolucent Titanium 25.0 mm x 203.0 mm Low Glare Gold Coating NON STERILE LATEX</t>
  </si>
  <si>
    <t>Bookwalter Retractor Blade 2 in x 4 in (51 mm x 102 mm) Radiolucent Titanium Low Glare Gold Coating NON STERILE LATEX</t>
  </si>
  <si>
    <t>Bookwalter Retractor Blade Radiolucent Titanium 51.0 mm x 127.0 mm Low Glare Gold Coating NON STERILE LATEX</t>
  </si>
  <si>
    <t>Bookwalter Retractor Blade 2 in x 6 in (51 mm x 152 mm) Radiolucent Titanium Low Glare Gold Coating NON STERILE LATEX</t>
  </si>
  <si>
    <t>Bookwalter Retractor Blade Radiolucent Titanium 51.0 mm x 180.0 mm Low Glare Gold Coating NON STERILE LATEX</t>
  </si>
  <si>
    <t>Bookwalter Retractor Blade 2 in x 8 in (51 mm x 203 mm) Radiolucent Titanium Low Glare Gold Coating NON STERILE LATEX</t>
  </si>
  <si>
    <t>Dilator Bakes Common Duct 7.0 mm Tip 11 3/4 in 298 mm NON STERILE LATEX</t>
  </si>
  <si>
    <t>Dilator Bakes Common Duct 9.0 mm Tip 11 3/4 in 298 mm NON STERILE LATEX</t>
  </si>
  <si>
    <t>Dilator Bakes Common Duct 10.0 mm Tip 11 3/4 in 298 mm NON STERILE LATEX</t>
  </si>
  <si>
    <t>Dilator Bakes Common Duct 11.0 mm Tip 11 3/4 in 298 mm NON STERILE LATEX</t>
  </si>
  <si>
    <t>Rongeur Smith-Peterson Slightly Curved 9 1/2 in 240 mm NON STERILE LATEX</t>
  </si>
  <si>
    <t>Rongeur Smith-Peterson Fully Curved 9 1/2 in NON STERILE LATEX</t>
  </si>
  <si>
    <t>Rongeur Stille-Luer Flat Low Jaw 9 1/2 in NON STERILE LATEX</t>
  </si>
  <si>
    <t>Symmetry Rongeur Stille-Luer Angled 9 1/2 in NON STERILE LATEX</t>
  </si>
  <si>
    <t>Rongeur Schlesinger IVD straight serrated cup jaw 2 mm Tip 6in shaft len 2 x 10mm Cup NON STERILE LATEX</t>
  </si>
  <si>
    <t>Rongeur Love-Gruenwald IVD Down 7 in 178 mm 3x10mm Cup Curved down cup shaped jaw NON STERILE LATEX</t>
  </si>
  <si>
    <t>Rongeur Love-Gruenwald IVD Down 5 in 127 mm 3x10mm Cup Curved down cup shaped jaw NON STERILE LATEX</t>
  </si>
  <si>
    <t>CODMAN KERRISON Laminectomy Rongeurs Down biting 3mm Tip 7.5in NON STERILE LATEX</t>
  </si>
  <si>
    <t>CODMAN KERRISON Laminectomy Rongeurs Down biting 5mm Tip 7.5in NON STERILE LATEX</t>
  </si>
  <si>
    <t>Kerrison Rongeur Lumbar 90deg Down Angled 3 mm Tip 7 in 178 mm Drainage Hole HARDY style handle with ball spring NON STERILE LATEX</t>
  </si>
  <si>
    <t>Kerrison Rongeur Lumbar 40deg Up Angled 6 mm Tip 7 in 178 mm Drainage Hole HARDY style handle with ball spring NON STERILE LATEX</t>
  </si>
  <si>
    <t>Kerrison Rongeur Lumbar 90deg Down Angled 3 mm Tip 8 in Drainage Holes HARDY style handle with ball spring NON STERILE LATEX</t>
  </si>
  <si>
    <t>Kerrison Rongeur Lumbar 90deg Up Angled 4 mm Tip 8 in Drainage Holes HARDY style handle with ball spring NON STERILE LATEX</t>
  </si>
  <si>
    <t>Kerrison Rongeur Lumbar 90deg Down Angled 4 mm Tip 8 in Drainage Holes HARDY style handle with ball spring NON STERILE LATEX</t>
  </si>
  <si>
    <t>Kerrison Rongeur Lumbar 90deg Down Angled 5 mm Tip 8 in Drainage Holes HARDY style handle with ball spring NON STERILE LATEX</t>
  </si>
  <si>
    <t>Kerrison Rongeur Lumbar 90deg Up Angled 6 mm Tip 8 in Drainage Holes HARDY style handle with ball spring NON STERILE LATEX</t>
  </si>
  <si>
    <t>Kerrison Rongeur Lumbar 90deg Down Angled 6 mm Tip 8 in Drainage Holes HARDY style handle with ball spring NON STERILE LATEX</t>
  </si>
  <si>
    <t>Kerrison Rongeur Lumbar 40deg Up Angled 2 mm Tip 8 in Drainage Holes HARDY style handle with ball spring NON STERILE LATEX</t>
  </si>
  <si>
    <t>Kerrison Rongeur Lumbar 40deg Up Angled 2 mm Tip 9 in Drainage Holes HARDY style handle with ball spring NON STERILE LATEX</t>
  </si>
  <si>
    <t>Kerrison Rongeur Lumbar 40deg Up Angled 3 mm Tip 9 in Drainage Holes HARDY style handle with ball spring NON STERILE LATEX</t>
  </si>
  <si>
    <t>CLASSIC Kerrison Rongeur Cervical Thin Footplate 90deg Down 2.0 mm 6 in Drainage Hole Hardy style handle with ball spring NON STERILE LATEX</t>
  </si>
  <si>
    <t>CLASSIC Kerrison Rongeur Cervical Thin Footplate 90deg Up 3 mm 6 in 152 mm Drainage Hole Hardy style handle with ball spring NON STERILE LATEX</t>
  </si>
  <si>
    <t>CLASSIC Kerrison Rongeur Cervical Thin Footplate 90deg Down 3.0 mm 6 in Drainage Hole Hardy style handle with ball spring NON STERILE LATEX</t>
  </si>
  <si>
    <t>CLASSIC Kerrison Rongeur Cervical Thin Footplate 90deg Up 4 mm 6 in 152 mm Drainage Hole Hardy style handle with ball spring NON STERILE LATEX</t>
  </si>
  <si>
    <t>CLASSIC Kerrison Rongeur Cervical Thin Footplate 90deg Down 4.0 mm 6 in Drainage Hole Hardy style handle with ball spring NON STERILE LATEX</t>
  </si>
  <si>
    <t>CLASSIC Kerrison Rongeur Cervical Thin Footplate 90deg Down 5.0 mm 6 in Drainage Hole Hardy style handle with ball spring NON STERILE LATEX</t>
  </si>
  <si>
    <t>CLASSIC Kerrison Rongeur Cervical Thin Footplate 90deg Up 3 mm 7 in 178 mm Drainage Hole Hardy style handle with ball spring NON STERILE LATEX</t>
  </si>
  <si>
    <t>CLASSIC Kerrison Rongeur Cervical Thin Footplate 90deg Down 3 mm 7 in 178 mm Drainage Hole Hardy style handle with ball spring NON STERILE LATEX</t>
  </si>
  <si>
    <t>CLASSIC Kerrison Rongeur Cervical Thin Footplate 90deg Up 4.0 mm 7in Drainage Hole Hardy style handle with ball spring NON STERILE LATEX</t>
  </si>
  <si>
    <t>CLASSIC Kerrison Rongeur Cervical Thin Footplate 90deg Down 4.0 mm 7in Drainage Hole Hardy style handle with ball spring NON STERILE LATEX</t>
  </si>
  <si>
    <t>CLASSIC Kerrison Rongeur Cervical Thin Footplate 40deg Up 5 mm 7 in 178 mm Drainage Hole Hardy style handle with ball spring NON STERILE LATEX</t>
  </si>
  <si>
    <t>CLASSIC Kerrison Rongeur Cervical Thin Footplate 90deg Up 3 mm 8 in 203 mm Drainage Hole Hardy style handle with ball spring NON STERILE LATEX</t>
  </si>
  <si>
    <t>CLASSIC Kerrison Rongeur Cervical Thin Footplate 90deg Down 3.0 mm 8in Drainage Hole Hardy style handle with ball spring NON STERILE LATEX</t>
  </si>
  <si>
    <t>CLASSIC Kerrison Rongeur Cervical Thin Footplate 90deg Up 4.0 mm 8in Drainage Hole Hardy style handle with ball spring NON STERILE LATEX</t>
  </si>
  <si>
    <t>CLASSIC Kerrison Rongeur Cervical Thin Footplate 90deg Down 4.0 mm 8in Drainage Hole Hardy style handle with ball spring NON STERILE LATEX</t>
  </si>
  <si>
    <t>CLASSIC Kerrison Rongeur Cervical Thin Footplate 90deg Down 5.0 mm 8in Drainage Hole Hardy style handle with ball spring NON STERILE LATEX</t>
  </si>
  <si>
    <t>CURETTE, SURGICAL, KARLIN, 15 MM, 13.25 IN, XL MAGNUM CUP, FORWARD, STRAIGHT, TIP, NON STERILE, LATEX</t>
  </si>
  <si>
    <t>CURETTE, SURG, KARLIN, 15 MM, 13.25 IN, XL MAG CUP, FORWARD, STR, TIP, NS, LTX</t>
  </si>
  <si>
    <t>CURETTE, SURG, KARLIN, 15 MM, 13.25 IN, XL MAG CUP, FORWARD, STR, NS</t>
  </si>
  <si>
    <t>CURETTE</t>
  </si>
  <si>
    <t>SURGICAL</t>
  </si>
  <si>
    <t>KARLIN</t>
  </si>
  <si>
    <t>15 MM</t>
  </si>
  <si>
    <t>13.25 IN</t>
  </si>
  <si>
    <t>XL MAGNUM CUP, FORWARD, STRAIGHT, TIP</t>
  </si>
  <si>
    <t>NON STERILE</t>
  </si>
  <si>
    <t>LATEX</t>
  </si>
  <si>
    <t>https://shop.symmetrysurgical.com/en/product/sites-of-care-ambulatory-surgery-center/46-3230, https://accessgudid.nlm.nih.gov/devices/00887482015308</t>
  </si>
  <si>
    <t>CURETTE, SURGICAL, KARLIN, 9 MM, 13.25 IN, XL MAGNUM CUP, FORWARD, ANGLED, TIP, NON STERILE, LATEX</t>
  </si>
  <si>
    <t>CURETTE, SURG, KARLIN, 9 MM, 13.25 IN, XL MAG CUP, FORWARD, ANGLED, TIP, NS, LTX</t>
  </si>
  <si>
    <t>CURETTE, SURG, KARLIN, 9 MM, 13.25 IN, XL MAG CUP, FORWARD, ANGLED</t>
  </si>
  <si>
    <t>9 MM</t>
  </si>
  <si>
    <t>XL MAGNUM CUP, FORWARD, ANGLED, TIP</t>
  </si>
  <si>
    <t>https://shop.symmetrysurgical.com/en/product/sites-of-care-ambulatory-surgery-center/46-3232, https://accessgudid.nlm.nih.gov/devices/00887482015322</t>
  </si>
  <si>
    <t>CURETTE, SURGICAL, KARLIN, 11 MM, 13.25 IN, XL MAGNUM CUP, FORWARD, ANGLED, TIP, NON STERILE, LATEX</t>
  </si>
  <si>
    <t>CURETTE, SURG, KARLIN, 11 MM, 13.25 IN, XL MAG CUP, FORWARD, ANGLED, TIP, NS, LTX</t>
  </si>
  <si>
    <t>CURETTE, SURG, KARLIN, 11 MM, 13.25 IN, XL MAG CUP, FORWARD, ANGLED</t>
  </si>
  <si>
    <t>11 MM</t>
  </si>
  <si>
    <t>https://shop.symmetrysurgical.com/en/product/sites-of-care-ambulatory-surgery-center/46-3233, https://accessgudid.nlm.nih.gov/devices/00887482015339</t>
  </si>
  <si>
    <t>CURETTE, SURGICAL, KARLIN, 7 MM, 13.25 IN, XL MAGNUM CUP, DOWN PUSHING, TIP, NON STERILE, LATEX</t>
  </si>
  <si>
    <t>CURETTE, SURG, KARLIN, 7 MM, 13.25 IN, XL MAG CUP, DN PUSH, TIP, NS, LTX</t>
  </si>
  <si>
    <t>CURETTE, SURG, KARLIN, 7 MM, 13.25 IN, XL MAG CUP, DN PUSH, NS, LTX</t>
  </si>
  <si>
    <t>7 MM</t>
  </si>
  <si>
    <t>XL MAGNUM CUP, DOWN PUSHING, TIP</t>
  </si>
  <si>
    <t>https://shop.symmetrysurgical.com/en/product/sites-of-care-ambulatory-surgery-center/46-3234, https://accessgudid.nlm.nih.gov/devices/00887482015346</t>
  </si>
  <si>
    <t>CURETTE, SURGICAL, KARLIN, 9 MM, 13.25 IN, XL MAGNUM CUP, DOWN PUSHING, TIP, NON STERILE, LATEX</t>
  </si>
  <si>
    <t>CURETTE, SURG, KARLIN, 9 MM, 13.25 IN, XL MAG CUP, DN PUSH, TIP, NS, LTX</t>
  </si>
  <si>
    <t>CURETTE, SURG, KARLIN, 9 MM, 13.25 IN, XL MAG CUP, DN PUSH, NS, LTX</t>
  </si>
  <si>
    <t>https://shop.symmetrysurgical.com/en/product/sites-of-care-ambulatory-surgery-center/46-3235, https://accessgudid.nlm.nih.gov/devices/00887482015353</t>
  </si>
  <si>
    <t>CURETTE, SURGICAL, KARLIN, 17 MM, 13.25 IN, XL MAGNUM CUP, FORWARD, STRAIGHT, TIP, NON STERILE, LATEX</t>
  </si>
  <si>
    <t>CURETTE, SURG, KARLIN, 17 MM, 13.25 IN, XL MAG CUP, FORWARD, STR, TIP, NS, LTX</t>
  </si>
  <si>
    <t>CURETTE, SURG, KARLIN, 17 MM, 13.25 IN, XL MAG CUP, FORWARD, STR, NS</t>
  </si>
  <si>
    <t>17 MM</t>
  </si>
  <si>
    <t>https://shop.symmetrysurgical.com/en/product/sites-of-care-ambulatory-surgery-center/46-3236, https://accessgudid.nlm.nih.gov/devices/00887482015360</t>
  </si>
  <si>
    <t>CURETTE, SURGICAL, KARLIN, 19 MM, 13.25 IN, XL MAGNUM CUP, FORWARD, STRAIGHT, TIP, NON STERILE, LATEX</t>
  </si>
  <si>
    <t>CURETTE, SURG, KARLIN, 19 MM, 13.25 IN, XL MAG CUP, FORWARD, STR, TIP, NS, LTX</t>
  </si>
  <si>
    <t>CURETTE, SURG, KARLIN, 19 MM, 13.25 IN, XL MAG CUP, FORWARD, STR, NS</t>
  </si>
  <si>
    <t>19 MM</t>
  </si>
  <si>
    <t>https://shop.symmetrysurgical.com/en/product/sites-of-care-ambulatory-surgery-center/46-3237, https://accessgudid.nlm.nih.gov/devices/00887482015377</t>
  </si>
  <si>
    <t>CURETTE, SURGICAL, KARLIN, 7 MM, 4-7/10X12-3/5 IN, 1-3/25X7-4/5 IN, PG MAGNUM CUP, FORWARD, STRAIGHT, WITH HANDLE, TIP, NON STERILE, LATEX</t>
  </si>
  <si>
    <t>CURETTE, SURG, KARLIN, 7 MM, 4-7/10X12-3/5 IN, 1-3/25X7-4/5 IN, PG MAG CUP, FORWARD, STR, W/ HNDL, TIP, NS, LTX</t>
  </si>
  <si>
    <t>CURETTE, SURG, KARLIN, 7 MM, 4-7/10X12-3/5 IN, 1-3/25 IN, STR</t>
  </si>
  <si>
    <t>4-7/10X12-3/5 IN</t>
  </si>
  <si>
    <t>1-3/25X7-4/5 IN</t>
  </si>
  <si>
    <t>PG MAGNUM CUP, FORWARD, STRAIGHT, WITH HANDLE, TIP</t>
  </si>
  <si>
    <t>https://shop.symmetrysurgical.com/en/product/sites-of-care-ambulatory-surgery-center/46-3411, https://accessgudid.nlm.nih.gov/devices/00887482015544</t>
  </si>
  <si>
    <t>CURETTE, SURGICAL, KARLIN, 9 MM, 4-7/10X12-3/5 IN, 1-3/25X7-4/5 IN, PG MAGNUM CUP, FORWARD, STRAIGHT, WITH HANDLE, TIP, NON STERILE, LATEX</t>
  </si>
  <si>
    <t>CURETTE, SURG, KARLIN, 9 MM, 4-7/10X12-3/5 IN, 1-3/25X7-4/5 IN, PG MAG CUP, FORWARD, STR, W/ HNDL, TIP, NS, LTX</t>
  </si>
  <si>
    <t>CURETTE, SURG, KARLIN, 9 MM, 4-7/10X12-3/5 IN, 1-3/25X7-4/5 IN</t>
  </si>
  <si>
    <t>https://shop.symmetrysurgical.com/en/product/sites-of-care-ambulatory-surgery-center/46-3412, https://accessgudid.nlm.nih.gov/devices/00887482015551</t>
  </si>
  <si>
    <t>CURETTE, SURGICAL, KARLIN, 11 MM, 4-7/10X12-3/5 IN, 1-3/25X7-4/5 IN, PG MAGNUM CUP, FORWARD, STRAIGHT, WITH HANDLE, TIP, NON STERILE, LATEX</t>
  </si>
  <si>
    <t>CURETTE, SURG, KARLIN, 11 MM, 4-7/10X12-3/5 IN, 1-3/25X7-4/5 IN, PG MAG CUP, FORWARD, STR, W/ HNDL, TIP, NS, LTX</t>
  </si>
  <si>
    <t>CURETTE, SURG, KARLIN, 11 MM, 4-7/10X12-3/5 IN, 1-3/25 IN, STR</t>
  </si>
  <si>
    <t>https://shop.symmetrysurgical.com/en/product/sites-of-care-ambulatory-surgery-center/46-3413, https://accessgudid.nlm.nih.gov/devices/00887482015568</t>
  </si>
  <si>
    <t>CURETTE, SURGICAL, KARLIN, 13 MM, 4-7/10X12-3/5 IN, 1-3/25X7-4/5 IN, PG MAGNUM CUP, FORWARD, STRAIGHT, WITH HANDLE, TIP, NON STERILE, LATEX</t>
  </si>
  <si>
    <t>CURETTE, SURG, KARLIN, 13 MM, 4-7/10X12-3/5 IN, 1-3/25X7-4/5 IN, PG MAG CUP, FORWARD, STR, W/ HNDL, TIP, NS, LTX</t>
  </si>
  <si>
    <t>CURETTE, SURG, KARLIN, 13 MM, 4-7/10X12-3/5 IN, 1-3/25X7-4/5 IN</t>
  </si>
  <si>
    <t>13 MM</t>
  </si>
  <si>
    <t>https://shop.symmetrysurgical.com/en/product/sites-of-care-ambulatory-surgery-center/46-3414, https://accessgudid.nlm.nih.gov/devices/00887482015575</t>
  </si>
  <si>
    <t>CURETTE, SURGICAL, KARLIN, 15 MM, 4-7/10X12-3/5 IN, 1-3/25X7-4/5 IN, PG MAGNUM CUP, FORWARD, STRAIGHT, WITH HANDLE, TIP, NON STERILE, LATEX</t>
  </si>
  <si>
    <t>CURETTE, SURG, KARLIN, 15 MM, 4-7/10X12-3/5 IN, 1-3/25X7-4/5 IN, PG MAG CUP, FORWARD, STR, W/ HNDL, TIP, NS, LTX</t>
  </si>
  <si>
    <t>CURETTE, SURG, KARLIN, 15 MM, 4-7/10X12-3/5 IN, 1-3/25X7-4/5 IN</t>
  </si>
  <si>
    <t>https://shop.symmetrysurgical.com/en/product/sites-of-care-ambulatory-surgery-center/46-3415, https://accessgudid.nlm.nih.gov/devices/00887482015582</t>
  </si>
  <si>
    <t>CURETTE, SURGICAL, KARLIN, 17 MM, 4-7/10X12-3/5 IN, 1-3/25X7-4/5 IN, PG MAGNUM CUP, FORWARD, STRAIGHT, WITH HANDLE, TIP, NON STERILE, LATEX</t>
  </si>
  <si>
    <t>CURETTE, SURG, KARLIN, 17 MM, 4-7/10X12-3/5 IN, 1-3/25X7-4/5 IN, PG MAG CUP, FORWARD, STR, W/ HNDL, TIP, NS, LTX</t>
  </si>
  <si>
    <t>CURETTE, SURG, KARLIN, 17 MM, 4-7/10X12-3/5 IN, 1-3/25X7-4/5 IN</t>
  </si>
  <si>
    <t>https://shop.symmetrysurgical.com/en/product/sites-of-care-ambulatory-surgery-center/46-3416, https://accessgudid.nlm.nih.gov/devices/00887482015599</t>
  </si>
  <si>
    <t>CURETTE, SURGICAL, KARLIN, 19 MM, 4-7/10X12-3/5 IN, 1-3/25X7-4/5 IN, PG MAGNUM CUP, FORWARD, STRAIGHT, WITH HANDLE, TIP, NON STERILE, LATEX</t>
  </si>
  <si>
    <t>CURETTE, SURG, KARLIN, 19 MM, 4-7/10X12-3/5 IN, 1-3/25X7-4/5 IN, PG MAG CUP, FORWARD, STR, W/ HNDL, TIP, NS, LTX</t>
  </si>
  <si>
    <t>CURETTE, SURG, KARLIN, 19 MM, 4-7/10X12-3/5 IN, 1-3/25X7-4/5 IN</t>
  </si>
  <si>
    <t>https://shop.symmetrysurgical.com/en/product/sites-of-care-ambulatory-surgery-center/46-3417, https://accessgudid.nlm.nih.gov/devices/00887482015605</t>
  </si>
  <si>
    <t>CURETTE, SURGICAL, KARLIN, 7 MM, 4-7/10X12-3/5 IN, 1-3/25X7-4/5 IN, PG MAGNUM CUP, FORWARD, ANGLED, WITH HANDLE, TIP, NON STERILE, LATEX</t>
  </si>
  <si>
    <t>CURETTE, SURG, KARLIN, 7 MM, 4-7/10X12-3/5 IN, 1-3/25X7-4/5 IN, PG MAG CUP, FORWARD, ANGLED, W/ HNDL, TIP, NS, LTX</t>
  </si>
  <si>
    <t>CURETTE, SURG, KARLIN, 7 MM, 4-7/10X12-3/5 IN, 1-3/25 IN, ANGLED</t>
  </si>
  <si>
    <t>PG MAGNUM CUP, FORWARD, ANGLED, WITH HANDLE, TIP</t>
  </si>
  <si>
    <t>https://shop.symmetrysurgical.com/en/product/sites-of-care-ambulatory-surgery-center/46-3418, https://accessgudid.nlm.nih.gov/devices/00887482015612</t>
  </si>
  <si>
    <t>CURETTE, SURGICAL, KARLIN, 11 MM, 4-7/10X12-3/5 IN, 1-3/25X7-4/5 IN, PG MAGNUM CUP, FORWARD, ANGLED, WITH HANDLE, TIP, NON STERILE, LATEX</t>
  </si>
  <si>
    <t>CURETTE, SURG, KARLIN, 11 MM, 4-7/10X12-3/5 IN, 1-3/25X7-4/5 IN, PG MAG CUP, FORWARD, ANGLED, W/ HNDL, TIP, NS, LTX</t>
  </si>
  <si>
    <t>CURETTE, SURG, KARLIN, 11 MM, 4-7/10X12-3/5 IN, 1-3/25 IN, ANGLED</t>
  </si>
  <si>
    <t>https://shop.symmetrysurgical.com/en/product/sites-of-care-ambulatory-surgery-center/46-3420, https://accessgudid.nlm.nih.gov/devices/00887482015636</t>
  </si>
  <si>
    <t>BLADE, RETRACTOR, TAPERED, 229X6X19 MM, NON STERILE, GREENBERG, LATEX</t>
  </si>
  <si>
    <t>BLADE, RETRACTOR, TAPR, 229X6X19 MM, NS, GREENBERG, LTX</t>
  </si>
  <si>
    <t>BLADE</t>
  </si>
  <si>
    <t>RETRACTOR</t>
  </si>
  <si>
    <t>TAPERED</t>
  </si>
  <si>
    <t>229X6X19 MM</t>
  </si>
  <si>
    <t>GREENBERG</t>
  </si>
  <si>
    <t>1/4X3/4 IN, 9 IN</t>
  </si>
  <si>
    <t>https://shop.symmetrysurgical.com/en/product/sites-of-care-ambulatory-surgery-center/50-1530, https://accessgudid.nlm.nih.gov/devices/00887482017401</t>
  </si>
  <si>
    <t>BLADE, RETRACTOR, TAPERED, 229X3X13 MM, NON STERILE, GREENBERG, LATEX</t>
  </si>
  <si>
    <t>BLADE, RETRACTOR, TAPR, 229X3X13 MM, NS, GREENBERG, LTX</t>
  </si>
  <si>
    <t>229X3X13 MM</t>
  </si>
  <si>
    <t>1/8X1/2 IN, 9 IN</t>
  </si>
  <si>
    <t>https://shop.symmetrysurgical.com/en/product/sites-of-care-ambulatory-surgery-center/50-1532, https://accessgudid.nlm.nih.gov/devices/00887482017425</t>
  </si>
  <si>
    <t>BLADE, RETRACTOR, TAPERED, 229X2X10 MM, NON STERILE, GREENBERG, LATEX</t>
  </si>
  <si>
    <t>BLADE, RETRACTOR, TAPR, 229X2X10 MM, NS, GREENBERG, LTX</t>
  </si>
  <si>
    <t>229X2X10 MM</t>
  </si>
  <si>
    <t>3/32X3/8 IN, 9 IN</t>
  </si>
  <si>
    <t>https://shop.symmetrysurgical.com/en/product/sites-of-care-ambulatory-surgery-center/50-1533, https://accessgudid.nlm.nih.gov/devices/00887482017432</t>
  </si>
  <si>
    <t>BLADE, RETRACTOR, TAPERED, 228.5X1.6X19 MM, NON STERILE, GREENBERG, LATEX</t>
  </si>
  <si>
    <t>BLADE, RETRACTOR, TAPR, 228.5X1.6X19 MM, NS, GREENBERG, LTX</t>
  </si>
  <si>
    <t>228.5X1.6X19 MM</t>
  </si>
  <si>
    <t>1/16X1/4 IN, 9 IN</t>
  </si>
  <si>
    <t>https://shop.symmetrysurgical.com/en/product/sites-of-care-ambulatory-surgery-center/50-1534, https://accessgudid.nlm.nih.gov/devices/00887482017449</t>
  </si>
  <si>
    <t>CASE, INSTRUMENT, STERILIZING, 19.5X13.5 IN, SPINAL, BOOKWALTER</t>
  </si>
  <si>
    <t>CASE, INSTRUMENT, STERILIZING, 19.5X13.5 IN, SPNL, BOOKWALTER</t>
  </si>
  <si>
    <t>CASE</t>
  </si>
  <si>
    <t>INSTRUMENT</t>
  </si>
  <si>
    <t>STERILIZING</t>
  </si>
  <si>
    <t>19.5X13.5 IN</t>
  </si>
  <si>
    <t>SPINAL</t>
  </si>
  <si>
    <t>BOOKWALTER</t>
  </si>
  <si>
    <t>https://shop.symmetrysurgical.com/en/product/sites-of-care-ambulatory-surgery-center/50-4647</t>
  </si>
  <si>
    <t>BLADE, RETRACTOR, RADIOLUCENT, 102X25 MM, TITANIUM, LOW GLARE GOLD COATING, NON STERILE, BOOKWALTER, LATEX</t>
  </si>
  <si>
    <t>BLADE, RETRACTOR, RADLUC, 102X25 MM, TI, LO GLARE GLD COAT, NS, BOOKWALTER, LTX</t>
  </si>
  <si>
    <t>BLADE, RETRACTOR, RADLUC, 102X25 MM, TI, GLD COAT, BOOKWALTER</t>
  </si>
  <si>
    <t>RADIOLUCENT</t>
  </si>
  <si>
    <t>102X25 MM</t>
  </si>
  <si>
    <t>TITANIUM, LOW GLARE GOLD COATING</t>
  </si>
  <si>
    <t>1X4 IN</t>
  </si>
  <si>
    <t>https://shop.symmetrysurgical.com/en/product/sites-of-care-ambulatory-surgery-center/50-5580, https://accessgudid.nlm.nih.gov/devices/00887482033876</t>
  </si>
  <si>
    <t>BLADE, RETRACTOR, RADIOLUCENT, 127X25 MM, TITANIUM, LOW GLARE GOLD COATING, NON STERILE, BOOKWALTER, LATEX</t>
  </si>
  <si>
    <t>BLADE, RETRACTOR, RADLUC, 127X25 MM, TI, LO GLARE GLD COAT, NS, BOOKWALTER, LTX</t>
  </si>
  <si>
    <t>BLADE, RETRACTOR, RADLUC, 127X25 MM, TI, GLD COAT, BOOKWALTER</t>
  </si>
  <si>
    <t>127X25 MM</t>
  </si>
  <si>
    <t>1X5 IN</t>
  </si>
  <si>
    <t>https://shop.symmetrysurgical.com/en/product/sites-of-care-ambulatory-surgery-center/50-5581, https://accessgudid.nlm.nih.gov/devices/00887482033883</t>
  </si>
  <si>
    <t>BLADE, RETRACTOR, RADIOLUCENT, 152X25 MM, TITANIUM, LOW GLARE GOLD COATING, NON STERILE, BOOKWALTER, LATEX</t>
  </si>
  <si>
    <t>BLADE, RETRACTOR, RADLUC, 152X25 MM, TI, LO GLARE GLD COAT, NS, BOOKWALTER, LTX</t>
  </si>
  <si>
    <t>BLADE, RETRACTOR, RADLUC, 152X25 MM, TI, GLD COAT, BOOKWALTER</t>
  </si>
  <si>
    <t>152X25 MM</t>
  </si>
  <si>
    <t>https://shop.symmetrysurgical.com/en/product/sites-of-care-ambulatory-surgery-center/50-5582, https://accessgudid.nlm.nih.gov/devices/00887482033890</t>
  </si>
  <si>
    <t>BLADE, RETRACTOR, RADIOLUCENT, 180X25 MM, TITANIUM, LOW GLARE GOLD COATING, NON STERILE, BOOKWALTER, LATEX</t>
  </si>
  <si>
    <t>BLADE, RETRACTOR, RADLUC, 180X25 MM, TI, LO GLARE GLD COAT, NS, BOOKWALTER, LTX</t>
  </si>
  <si>
    <t>BLADE, RETRACTOR, RADLUC, 180X25 MM, TI, GLD COAT, BOOKWALTER</t>
  </si>
  <si>
    <t>180X25 MM</t>
  </si>
  <si>
    <t>1X7 IN</t>
  </si>
  <si>
    <t>https://shop.symmetrysurgical.com/en/product/sites-of-care-ambulatory-surgery-center/50-5583, https://accessgudid.nlm.nih.gov/devices/00887482033906</t>
  </si>
  <si>
    <t>BLADE, RETRACTOR, RADIOLUCENT, 203X25 MM, TITANIUM, LOW GLARE GOLD COATING, NON STERILE, BOOKWALTER, LATEX</t>
  </si>
  <si>
    <t>BLADE, RETRACTOR, RADLUC, 203X25 MM, TI, LO GLARE GLD COAT, NS, BOOKWALTER, LTX</t>
  </si>
  <si>
    <t>BLADE, RETRACTOR, RADLUC, 203X25 MM, TI, GLD COAT, BOOKWALTER</t>
  </si>
  <si>
    <t>203X25 MM</t>
  </si>
  <si>
    <t>https://shop.symmetrysurgical.com/en/product/sites-of-care-ambulatory-surgery-center/50-5584, https://accessgudid.nlm.nih.gov/devices/00887482033913</t>
  </si>
  <si>
    <t>BLADE, RETRACTOR, RADIOLUCENT, 102X51 MM, TITANIUM, LOW GLARE GOLD COATING, NON STERILE, BOOKWALTER, LATEX</t>
  </si>
  <si>
    <t>BLADE, RETRACTOR, RADLUC, 102X51 MM, TI, LO GLARE GLD COAT, NS, BOOKWALTER, LTX</t>
  </si>
  <si>
    <t>BLADE, RETRACTOR, RADLUC, 102X51 MM, TI, GLD COAT, BOOKWALTER</t>
  </si>
  <si>
    <t>102X51 MM</t>
  </si>
  <si>
    <t>2x4 IN</t>
  </si>
  <si>
    <t>https://shop.symmetrysurgical.com/en/product/sites-of-care-ambulatory-surgery-center/50-5585, https://accessgudid.nlm.nih.gov/devices/00887482033920</t>
  </si>
  <si>
    <t>BLADE, RETRACTOR, RADIOLUCENT, 127X51 MM, TITANIUM, LOW GLARE GOLD COATING, NON STERILE, BOOKWALTER, LATEX</t>
  </si>
  <si>
    <t>BLADE, RETRACTOR, RADLUC, 127X51 MM, TI, LO GLARE GLD COAT, NS, BOOKWALTER, LTX</t>
  </si>
  <si>
    <t>BLADE, RETRACTOR, RADLUC, 127X51 MM, TI, GLD COAT, BOOKWALTER</t>
  </si>
  <si>
    <t>127X51 MM</t>
  </si>
  <si>
    <t>https://shop.symmetrysurgical.com/en/product/sites-of-care-ambulatory-surgery-center/50-5586, https://accessgudid.nlm.nih.gov/devices/00887482033937</t>
  </si>
  <si>
    <t>BLADE, RETRACTOR, RADIOLUCENT, 152X51 MM, TITANIUM, LOW GLARE GOLD COATING, NON STERILE, BOOKWALTER, LATEX</t>
  </si>
  <si>
    <t>BLADE, RETRACTOR, RADLUC, 152X51 MM, TI, LO GLARE GLD COAT, NS, BOOKWALTER, LTX</t>
  </si>
  <si>
    <t>BLADE, RETRACTOR, RADLUC, 152X51 MM, TI, GLD COAT, BOOKWALTER</t>
  </si>
  <si>
    <t>152X51 MM</t>
  </si>
  <si>
    <t>2X6 IN</t>
  </si>
  <si>
    <t>https://shop.symmetrysurgical.com/en/product/sites-of-care-ambulatory-surgery-center/50-5587, https://accessgudid.nlm.nih.gov/devices/00887482033944</t>
  </si>
  <si>
    <t>BLADE, RETRACTOR, RADIOLUCENT, 180X51 MM, TITANIUM, LOW GLARE GOLD COATING, NON STERILE, BOOKWALTER, LATEX</t>
  </si>
  <si>
    <t>BLADE, RETRACTOR, RADLUC, 180X51 MM, TI, LO GLARE GLD COAT, NS, BOOKWALTER, LTX</t>
  </si>
  <si>
    <t>BLADE, RETRACTOR, RADLUC, 180X51 MM, TI, GLD COAT, BOOKWALTER</t>
  </si>
  <si>
    <t>180X51 MM</t>
  </si>
  <si>
    <t>https://shop.symmetrysurgical.com/en/product/sites-of-care-ambulatory-surgery-center/50-5588, https://accessgudid.nlm.nih.gov/devices/00887482033951</t>
  </si>
  <si>
    <t>BLADE, RETRACTOR, RADIOLUCENT, 203X51 MM, TITANIUM, LOW GLARE GOLD COATING, NON STERILE, BOOKWALTER, LATEX</t>
  </si>
  <si>
    <t>BLADE, RETRACTOR, RADLUC, 203X51 MM, TI, LO GLARE GLD COAT, NS, BOOKWALTER, LTX</t>
  </si>
  <si>
    <t>BLADE, RETRACTOR, RADLUC, 203X51 MM, TI, GLD COAT, BOOKWALTER</t>
  </si>
  <si>
    <t>203X51 MM</t>
  </si>
  <si>
    <t>2X8 IN</t>
  </si>
  <si>
    <t>https://shop.symmetrysurgical.com/en/product/sites-of-care-ambulatory-surgery-center/50-5589, https://accessgudid.nlm.nih.gov/devices/00887482033968</t>
  </si>
  <si>
    <t>DILATOR, SURGICAL, BAKES, 7 MM, 298 MM, COMMON DUCT, WITH TIP, NON STERILE, LATEX</t>
  </si>
  <si>
    <t>DILATOR, SURG, BAKES, 7 MM, 298 MM, COMMON DUCT, W/ TIP, NS, LTX</t>
  </si>
  <si>
    <t>DILATOR</t>
  </si>
  <si>
    <t>BAKES</t>
  </si>
  <si>
    <t>298 MM</t>
  </si>
  <si>
    <t>COMMON DUCT</t>
  </si>
  <si>
    <t>WITH TIP</t>
  </si>
  <si>
    <t>11.75 IN</t>
  </si>
  <si>
    <t>https://shop.symmetrysurgical.com/en/product/sites-of-care-ambulatory-surgery-center/51-0607, https://accessgudid.nlm.nih.gov/devices/00887482037683</t>
  </si>
  <si>
    <t>DILATOR, SURGICAL, BAKES, 9 MM, 298 MM, COMMON DUCT, WITH TIP, NON STERILE, LATEX</t>
  </si>
  <si>
    <t>DILATOR, SURG, BAKES, 9 MM, 298 MM, COMMON DUCT, W/ TIP, NS, LTX</t>
  </si>
  <si>
    <t>https://shop.symmetrysurgical.com/en/product/sites-of-care-ambulatory-surgery-center/51-0609, https://accessgudid.nlm.nih.gov/devices/00887482037706</t>
  </si>
  <si>
    <t>DILATOR, SURGICAL, BAKES, 10 MM, 298 MM, COMMON DUCT, WITH TIP, NON STERILE, LATEX</t>
  </si>
  <si>
    <t>DILATOR, SURG, BAKES, 10 MM, 298 MM, COMMON DUCT, W/ TIP, NS, LTX</t>
  </si>
  <si>
    <t>10 MM</t>
  </si>
  <si>
    <t>https://shop.symmetrysurgical.com/en/product/sites-of-care-ambulatory-surgery-center/51-0610, https://accessgudid.nlm.nih.gov/devices/00887482075180</t>
  </si>
  <si>
    <t>DILATOR, SURGICAL, BAKES, 11 MM, 298 MM, COMMON DUCT, WITH TIP, NON STERILE, LATEX</t>
  </si>
  <si>
    <t>DILATOR, SURG, BAKES, 11 MM, 298 MM, COMMON DUCT, W/ TIP, NS, LTX</t>
  </si>
  <si>
    <t>https://shop.symmetrysurgical.com/en/product/sites-of-care-ambulatory-surgery-center/51-0611, https://accessgudid.nlm.nih.gov/devices/00887482075197</t>
  </si>
  <si>
    <t>RONGEUR, SURGICAL, SMITH-PETERSON, 9.5 IN, SLIGHTLY CURVED, NON STERILE, LATEX</t>
  </si>
  <si>
    <t>RONGEUR, SURG, SMITH-PETERSON, 9.5 IN, SLIGHTLY CRV, NS, LTX</t>
  </si>
  <si>
    <t>RONGEUR</t>
  </si>
  <si>
    <t>SMITH-PETERSON</t>
  </si>
  <si>
    <t>9.5 IN</t>
  </si>
  <si>
    <t>SLIGHTLY CURVED</t>
  </si>
  <si>
    <t>240 MM</t>
  </si>
  <si>
    <t>https://shop.symmetrysurgical.com/en/product/sites-of-care-ambulatory-surgery-center/53-1084, https://accessgudid.nlm.nih.gov/devices/00887482021729</t>
  </si>
  <si>
    <t>RONGEUR, SURGICAL, SMITH-PETERSON, 9.5 IN, FULLY CURVED, NON STERILE, LATEX</t>
  </si>
  <si>
    <t>RONGEUR, SURG, SMITH-PETERSON, 9.5 IN, FULL CRV, NS, LTX</t>
  </si>
  <si>
    <t>FULLY CURVED</t>
  </si>
  <si>
    <t>https://shop.symmetrysurgical.com/en/product/sites-of-care-ambulatory-surgery-center/53-1085, https://accessgudid.nlm.nih.gov/devices/00887482021736</t>
  </si>
  <si>
    <t>RONGEUR, SURGICAL, STILLE-LUER, 9.5 IN, FLAT LOW JAW, NON STERILE, LATEX</t>
  </si>
  <si>
    <t>RONGEUR, SURG, STILLE-LUER, 9.5 IN, FLAT LO JAW, NS, LTX</t>
  </si>
  <si>
    <t>STILLE-LUER</t>
  </si>
  <si>
    <t>FLAT LOW JAW</t>
  </si>
  <si>
    <t>https://shop.symmetrysurgical.com/en/product/sites-of-care-ambulatory-surgery-center/53-1118, https://accessgudid.nlm.nih.gov/devices/00887482021781</t>
  </si>
  <si>
    <t>RONGEUR, SURGICAL, STILLE-LUER, 9.5 IN, ANGLED, NON STERILE, LATEX</t>
  </si>
  <si>
    <t>RONGEUR, SURG, STILLE-LUER, 9.5 IN, ANGLED, NS, LTX</t>
  </si>
  <si>
    <t>ANGLED</t>
  </si>
  <si>
    <t>https://shop.symmetrysurgical.com/en/product/sites-of-care-ambulatory-surgery-center/53-1133, https://accessgudid.nlm.nih.gov/devices/00887482021859</t>
  </si>
  <si>
    <t>RONGEUR, SURGICAL, SCHLESINGER, 2 MM, 6 IN, 2X10 MM, INTERVERTEBRAL DISC, STRAIGHT, SERRATED CUP JAW, WITH SHAFT, CUP, NON STERILE, LATEX</t>
  </si>
  <si>
    <t>RONGEUR, SURG, SCHLESINGER, 2 MM, 6 IN, 2X10 MM, INTERVERTEBRAL DISC, STR, SERRATED CUP JAW, W/ SHFT, CUP, NS, LTX</t>
  </si>
  <si>
    <t>RONGEUR, SURG, SCHLESINGER, 2 MM, 6 IN, 2X10 MM, INTERVERTEBRAL</t>
  </si>
  <si>
    <t>SCHLESINGER</t>
  </si>
  <si>
    <t>2 MM</t>
  </si>
  <si>
    <t>6 IN, 2X10 MM</t>
  </si>
  <si>
    <t>INTERVERTEBRAL DISC</t>
  </si>
  <si>
    <t>STRAIGHT, SERRATED CUP JAW, WITH SHAFT, CUP</t>
  </si>
  <si>
    <t>https://shop.symmetrysurgical.com/en/product/sites-of-care-ambulatory-surgery-center/53-1190, https://accessgudid.nlm.nih.gov/devices/00887482021989</t>
  </si>
  <si>
    <t>RONGEUR, SURGICAL, LOVE-GRUENWALD, 7 IN, 3X10 MM, INTERVERTEBRAL DISC, CURVED DOWN, CUP SHAPED JAW, NON STERILE, LATEX</t>
  </si>
  <si>
    <t>RONGEUR, SURG, LOVE-GRUENWALD, 7 IN, 3X10 MM, INTERVERTEBRAL DISC, CRV DN, CUP SHP JAW, NS, LTX</t>
  </si>
  <si>
    <t>RONGEUR, SURG, LOVE-GRUENWALD, 7 IN, 3X10 MM, INTERVERTEBRAL DISC</t>
  </si>
  <si>
    <t>LOVE-GRUENWALD</t>
  </si>
  <si>
    <t>7 IN</t>
  </si>
  <si>
    <t>3X10 MM</t>
  </si>
  <si>
    <t>CURVED DOWN, CUP SHAPED JAW</t>
  </si>
  <si>
    <t>178 MM</t>
  </si>
  <si>
    <t>https://shop.symmetrysurgical.com/en/product/sites-of-care-ambulatory-surgery-center/53-1237, https://accessgudid.nlm.nih.gov/devices/00887482022184</t>
  </si>
  <si>
    <t>RONGEUR, SURGICAL, LOVE-GRUENWALD, 5 IN, 3X10 MM, INTERVERTEBRAL DISC, CURVED DOWN, CUP SHAPED JAW, NON STERILE, LATEX</t>
  </si>
  <si>
    <t>RONGEUR, SURG, LOVE-GRUENWALD, 5 IN, 3X10 MM, INTERVERTEBRAL DISC, CRV DN, CUP SHP JAW, NS, LTX</t>
  </si>
  <si>
    <t>RONGEUR, SURG, LOVE-GRUENWALD, 5 IN, 3X10 MM, INTERVERTEBRAL DISC</t>
  </si>
  <si>
    <t>5 IN</t>
  </si>
  <si>
    <t>127 MM</t>
  </si>
  <si>
    <t>https://shop.symmetrysurgical.com/en/product/sites-of-care-ambulatory-surgery-center/53-1297, http://www.nw-medical.com/Spinal_Catalog.pdf, https://accessgudid.nlm.nih.gov/devices/00887482022368</t>
  </si>
  <si>
    <t>RONGEUR, SURGICAL, KERRISON, 3 MM, 7.5 IN, LAMINECTOMY, DOWN BITING, NON STERILE, LATEX</t>
  </si>
  <si>
    <t>RONGEUR, SURG, KERRISON, 3 MM, 7.5 IN, LAMINECTOMY, DN BIT, NS, LTX</t>
  </si>
  <si>
    <t>KERRISON</t>
  </si>
  <si>
    <t>3 MM</t>
  </si>
  <si>
    <t>7.5 IN</t>
  </si>
  <si>
    <t>LAMINECTOMY, DOWN BITING</t>
  </si>
  <si>
    <t>CODMAN</t>
  </si>
  <si>
    <t>https://shop.symmetrysurgical.com/en/product/sites-of-care-ambulatory-surgery-center/53-1376, https://accessgudid.nlm.nih.gov/devices/00887482022504</t>
  </si>
  <si>
    <t>RONGEUR, SURGICAL, KERRISON, 5 MM, 7.5 IN, LAMINECTOMY, DOWN BITING, NON STERILE, LATEX</t>
  </si>
  <si>
    <t>RONGEUR, SURG, KERRISON, 5 MM, 7.5 IN, LAMINECTOMY, DN BIT, NS, LTX</t>
  </si>
  <si>
    <t>5 MM</t>
  </si>
  <si>
    <t>https://shop.symmetrysurgical.com/en/product/sites-of-care-ambulatory-surgery-center/53-1377, https://accessgudid.nlm.nih.gov/devices/00887482022511</t>
  </si>
  <si>
    <t>RONGEUR, SURGICAL, KERRISON, 3 MM, 90 DEGREE, 7 IN, LUMBAR, DOWN ANGLED, DRAINAGE HOLE, HARDY STYLE HANDLE WITH BALL SPRING, NON STERILE, LATEX</t>
  </si>
  <si>
    <t>RONGEUR, SURG, KERRISON, 3 MM, 90 DEG, 7 IN, LUMBAR, DN ANGLED, DRAINAGE HOLE, HARDY STYL HNDL W/ BALL SPRING, NS, LTX</t>
  </si>
  <si>
    <t>RONGEUR, SURG, KERRISON, 3 MM, 90 DEG, 7 IN, LUMBAR, DN ANGLED, LTX</t>
  </si>
  <si>
    <t>3 MM, 90 DEGREE</t>
  </si>
  <si>
    <t>LUMBAR</t>
  </si>
  <si>
    <t>DOWN ANGLED, DRAINAGE HOLE, HARDY STYLE HANDLE WITH BALL SPRING</t>
  </si>
  <si>
    <t>https://shop.symmetrysurgical.com/en/product/sites-of-care-ambulatory-surgery-center/53-1404, http://www.nw-medical.com/Spinal_Catalog.pdf, https://accessgudid.nlm.nih.gov/devices/00887482022641</t>
  </si>
  <si>
    <t>RONGEUR, SURGICAL, KERRISON, 6 MM, 40 DEGREE, 7 IN, LUMBAR, UP ANGLED, DRAINAGE HOLE, HARDY STYLE HANDLE WITH BALL SPRING, NON STERILE, LATEX</t>
  </si>
  <si>
    <t>RONGEUR, SURG, KERRISON, 6 MM, 40 DEG, 7 IN, LUMBAR, UP ANGLED, DRAINAGE HOLE, HARDY STYL HNDL W/ BALL SPRING, NS, LTX</t>
  </si>
  <si>
    <t>RONGEUR, SURG, KERRISON, 6 MM, 40 DEG, 7 IN, LUMBAR, UP ANGLED, LTX</t>
  </si>
  <si>
    <t>6 MM, 40 DEGREE</t>
  </si>
  <si>
    <t>UP ANGLED, DRAINAGE HOLE, HARDY STYLE HANDLE WITH BALL SPRING</t>
  </si>
  <si>
    <t>https://shop.symmetrysurgical.com/en/product/sites-of-care-ambulatory-surgery-center/53-1411, http://www.nw-medical.com/Spinal_Catalog.pdf, https://accessgudid.nlm.nih.gov/devices/00887482022719</t>
  </si>
  <si>
    <t>RONGEUR, SURGICAL, KERRISON, 3 MM, 90 DEGREE, 8 IN, LUMBAR, DOWN ANGLED, DRAINAGE HOLE, HARDY STYLE HANDLE WITH BALL SPRING, NON STERILE, LATEX</t>
  </si>
  <si>
    <t>RONGEUR, SURG, KERRISON, 3 MM, 90 DEG, 8 IN, LUMBAR, DN ANGLED, DRAINAGE HOLE, HARDY STYL HNDL W/ BALL SPRING, NS, LTX</t>
  </si>
  <si>
    <t>RONGEUR, SURG, KERRISON, 3 MM, 90 DEG, 8 IN, LUMBAR, DN ANGLED, LTX</t>
  </si>
  <si>
    <t>8 IN</t>
  </si>
  <si>
    <t>https://shop.symmetrysurgical.com/en/product/sites-of-care-ambulatory-surgery-center/53-1416, http://www.nw-medical.com/Spinal_Catalog.pdf, https://accessgudid.nlm.nih.gov/devices/00887482022764</t>
  </si>
  <si>
    <t>RONGEUR, SURGICAL, KERRISON, 4 MM, 90 DEGREE, 8 IN, LUMBAR, UP ANGLED, DRAINAGE HOLE, HARDY STYLE HANDLE WITH BALL SPRING, NON STERILE, LATEX</t>
  </si>
  <si>
    <t>RONGEUR, SURG, KERRISON, 4 MM, 90 DEG, 8 IN, LUMBAR, UP ANGLED, DRAINAGE HOLE, HARDY STYL HNDL W/ BALL SPRING, NS, LTX</t>
  </si>
  <si>
    <t>RONGEUR, SURG, KERRISON, 4 MM, 90 DEG, 8 IN, LUMBAR, UP ANGLED, LTX</t>
  </si>
  <si>
    <t>4 MM, 90 DEGREE</t>
  </si>
  <si>
    <t>https://shop.symmetrysurgical.com/en/product/sites-of-care-ambulatory-surgery-center/53-1418, http://www.nw-medical.com/Spinal_Catalog.pdf, https://accessgudid.nlm.nih.gov/devices/00887482022788</t>
  </si>
  <si>
    <t>RONGEUR, SURGICAL, KERRISON, 4 MM, 90 DEGREE, 8 IN, LUMBAR, DOWN ANGLED, DRAINAGE HOLE, HARDY STYLE HANDLE WITH BALL SPRING, NON STERILE, LATEX</t>
  </si>
  <si>
    <t>RONGEUR, SURG, KERRISON, 4 MM, 90 DEG, 8 IN, LUMBAR, DN ANGLED, DRAINAGE HOLE, HARDY STYL HNDL W/ BALL SPRING, NS, LTX</t>
  </si>
  <si>
    <t>RONGEUR, SURG, KERRISON, 4 MM, 90 DEG, 8 IN, LUMBAR, DN ANGLED, LTX</t>
  </si>
  <si>
    <t>https://shop.symmetrysurgical.com/en/product/sites-of-care-ambulatory-surgery-center/53-1419, http://www.nw-medical.com/Spinal_Catalog.pdf, https://accessgudid.nlm.nih.gov/devices/00887482022795</t>
  </si>
  <si>
    <t>RONGEUR, SURGICAL, KERRISON, 5 MM, 90 DEGREE, 8 IN, LUMBAR, DOWN ANGLED, DRAINAGE HOLE, HARDY STYLE HANDLE WITH BALL SPRING, NON STERILE, LATEX</t>
  </si>
  <si>
    <t>RONGEUR, SURG, KERRISON, 5 MM, 90 DEG, 8 IN, LUMBAR, DN ANGLED, DRAINAGE HOLE, HARDY STYL HNDL W/ BALL SPRING, NS, LTX</t>
  </si>
  <si>
    <t>RONGEUR, SURG, KERRISON, 5 MM, 90 DEG, 8 IN, LUMBAR, DN ANGLED, LTX</t>
  </si>
  <si>
    <t>5 MM, 90 DEGREE</t>
  </si>
  <si>
    <t>https://shop.symmetrysurgical.com/en/product/sites-of-care-ambulatory-surgery-center/53-1422, http://www.nw-medical.com/Spinal_Catalog.pdf, https://accessgudid.nlm.nih.gov/devices/00887482022818</t>
  </si>
  <si>
    <t>RONGEUR, SURGICAL, KERRISON, 6 MM, 90 DEGREE, 8 IN, LUMBAR, UP ANGLED, DRAINAGE HOLE, HARDY STYLE HANDLE WITH BALL SPRING, NON STERILE, LATEX</t>
  </si>
  <si>
    <t>RONGEUR, SURG, KERRISON, 6 MM, 90 DEG, 8 IN, LUMBAR, UP ANGLED, DRAINAGE HOLE, HARDY STYL HNDL W/ BALL SPRING, NS, LTX</t>
  </si>
  <si>
    <t>RONGEUR, SURG, KERRISON, 6 MM, 90 DEG, 8 IN, LUMBAR, UP ANGLED, LTX</t>
  </si>
  <si>
    <t>6 MM, 90 DEGREE</t>
  </si>
  <si>
    <t>https://shop.symmetrysurgical.com/en/product/sites-of-care-ambulatory-surgery-center/53-1424, http://www.nw-medical.com/Spinal_Catalog.pdf, https://accessgudid.nlm.nih.gov/devices/00887482022832</t>
  </si>
  <si>
    <t>RONGEUR, SURGICAL, KERRISON, 6 MM, 90 DEGREE, 8 IN, LUMBAR, DOWN ANGLED, DRAINAGE HOLE, HARDY STYLE HANDLE WITH BALL SPRING, NON STERILE, LATEX</t>
  </si>
  <si>
    <t>RONGEUR, SURG, KERRISON, 6 MM, 90 DEG, 8 IN, LUMBAR, DN ANGLED, DRAINAGE HOLE, HARDY STYL HNDL W/ BALL SPRING, NS, LTX</t>
  </si>
  <si>
    <t>RONGEUR, SURG, KERRISON, 6 MM, 90 DEG, 8 IN, LUMBAR, DN ANGLED, LTX</t>
  </si>
  <si>
    <t>https://shop.symmetrysurgical.com/en/product/sites-of-care-ambulatory-surgery-center/53-1425, http://www.nw-medical.com/Spinal_Catalog.pdf, https://accessgudid.nlm.nih.gov/devices/00887482022849</t>
  </si>
  <si>
    <t>RONGEUR, SURGICAL, KERRISON, 2 MM, 40 DEGREE, 8 IN, LUMBAR, UP ANGLED, DRAINAGE HOLE, HARDY STYLE HANDLE WITH BALL SPRING, NON STERILE, LATEX</t>
  </si>
  <si>
    <t>RONGEUR, SURG, KERRISON, 2 MM, 40 DEG, 8 IN, LUMBAR, UP ANGLED, DRAINAGE HOLE, HARDY STYL HNDL W/ BALL SPRING, NS, LTX</t>
  </si>
  <si>
    <t>RONGEUR, SURG, KERRISON, 2 MM, 40 DEG, 8 IN, LUMBAR, UP ANGLED, LTX</t>
  </si>
  <si>
    <t>2 MM, 40 DEGREE</t>
  </si>
  <si>
    <t>https://shop.symmetrysurgical.com/en/product/sites-of-care-ambulatory-surgery-center/53-1480, http://www.nw-medical.com/Spinal_Catalog.pdf, https://accessgudid.nlm.nih.gov/devices/00887482022894</t>
  </si>
  <si>
    <t>RONGEUR, SURGICAL, KERRISON, 2 MM, 40 DEGREE, 9 IN, LUMBAR, UP ANGLED, DRAINAGE HOLE, HARDY STYLE HANDLE WITH BALL SPRING, NON STERILE, LATEX</t>
  </si>
  <si>
    <t>RONGEUR, SURG, KERRISON, 2 MM, 40 DEG, 9 IN, LUMBAR, UP ANGLED, DRAINAGE HOLE, HARDY STYL HNDL W/ BALL SPRING, NS, LTX</t>
  </si>
  <si>
    <t>RONGEUR, SURG, KERRISON, 2 MM, 40 DEG, 9 IN, LUMBAR, UP ANGLED, LTX</t>
  </si>
  <si>
    <t>9 IN</t>
  </si>
  <si>
    <t>https://shop.symmetrysurgical.com/en/product/sites-of-care-ambulatory-surgery-center/53-1482, https://accessgudid.nlm.nih.gov/devices/00887482022917</t>
  </si>
  <si>
    <t>RONGEUR, SURGICAL, KERRISON, 3 MM, 40 DEGREE, 9 IN, LUMBAR, UP ANGLED, DRAINAGE HOLE, HARDY STYLE HANDLE WITH BALL SPRING, NON STERILE, LATEX</t>
  </si>
  <si>
    <t>RONGEUR, SURG, KERRISON, 3 MM, 40 DEG, 9 IN, LUMBAR, UP ANGLED, DRAINAGE HOLE, HARDY STYL HNDL W/ BALL SPRING, NS, LTX</t>
  </si>
  <si>
    <t>RONGEUR, SURG, KERRISON, 3 MM, 40 DEG, 9 IN, LUMBAR, UP ANGLED, LTX</t>
  </si>
  <si>
    <t>3 MM, 40 DEGREE</t>
  </si>
  <si>
    <t>https://shop.symmetrysurgical.com/en/product/sites-of-care-ambulatory-surgery-center/53-1484, https://accessgudid.nlm.nih.gov/devices/00887482022931</t>
  </si>
  <si>
    <t>RONGEUR, SURGICAL, KERRISON, 2 MM, 90 DEGREE, 6 IN, CERVICAL, THIN FOOTPLATE, DOWN ANGLED, DRAINAGE HOLE, HARDY STYLE HANDLE WITH BALL SPRING, NON STERILE, CLASSIC, LATEX</t>
  </si>
  <si>
    <t>RONGEUR, SURG, KERRISON, 2 MM, 90 DEG, 6 IN, CERV, THN FTPLT, DN ANGLED, DRAINAGE HOLE, HARDY STYL HNDL W/ BALL SPRING, NS, CLASSIC, LTX</t>
  </si>
  <si>
    <t>RONGEUR, SURG, KERRISON, 2 MM, 90 DEG, 6 IN, CERV, THN FTPLT, DN</t>
  </si>
  <si>
    <t>2 MM, 90 DEGREE</t>
  </si>
  <si>
    <t>6 IN</t>
  </si>
  <si>
    <t>CERVICAL</t>
  </si>
  <si>
    <t>THIN FOOTPLATE, DOWN ANGLED, DRAINAGE HOLE, HARDY STYLE HANDLE WITH BALL SPRING</t>
  </si>
  <si>
    <t>CLASSIC</t>
  </si>
  <si>
    <t>https://shop.symmetrysurgical.com/en/product/sites-of-care-ambulatory-surgery-center/53-1502, http://www.nw-medical.com/Spinal_Catalog.pdf, https://accessgudid.nlm.nih.gov/devices/00887482022986</t>
  </si>
  <si>
    <t>RONGEUR, SURGICAL, KERRISON, 3 MM, 90 DEGREE, 6 IN, CERVICAL, THIN FOOTPLATE, UP ANGLED, DRAINAGE HOLE, HARDY STYLE HANDLE WITH BALL SPRING, NON STERILE, CLASSIC, LATEX</t>
  </si>
  <si>
    <t>RONGEUR, SURG, KERRISON, 3 MM, 90 DEG, 6 IN, CERV, THN FTPLT, UP ANGLED, DRAINAGE HOLE, HARDY STYL HNDL W/ BALL SPRING, NS, CLASSIC, LTX</t>
  </si>
  <si>
    <t>RONGEUR, SURG, KERRISON, 3 MM, 90 DEG, 6 IN, CERV, THN FTPLT, UP</t>
  </si>
  <si>
    <t>THIN FOOTPLATE, UP ANGLED, DRAINAGE HOLE, HARDY STYLE HANDLE WITH BALL SPRING</t>
  </si>
  <si>
    <t>152 MM</t>
  </si>
  <si>
    <t>https://shop.symmetrysurgical.com/en/product/sites-of-care-ambulatory-surgery-center/53-1504, http://www.nw-medical.com/Spinal_Catalog.pdf, https://accessgudid.nlm.nih.gov/devices/00887482023006</t>
  </si>
  <si>
    <t>RONGEUR, SURGICAL, KERRISON, 3 MM, 90 DEGREE, 6 IN, CERVICAL, THIN FOOTPLATE, DOWN ANGLED, DRAINAGE HOLE, HARDY STYLE HANDLE WITH BALL SPRING, NON STERILE, CLASSIC, LATEX</t>
  </si>
  <si>
    <t>RONGEUR, SURG, KERRISON, 3 MM, 90 DEG, 6 IN, CERV, THN FTPLT, DN ANGLED, DRAINAGE HOLE, HARDY STYL HNDL W/ BALL SPRING, NS, CLASSIC, LTX</t>
  </si>
  <si>
    <t>RONGEUR, SURG, KERRISON, 3 MM, 90 DEG, 6 IN, CERV, THN FTPLT, DN</t>
  </si>
  <si>
    <t>https://shop.symmetrysurgical.com/en/product/sites-of-care-ambulatory-surgery-center/53-1505, http://www.nw-medical.com/Spinal_Catalog.pdf, https://accessgudid.nlm.nih.gov/devices/00887482023013</t>
  </si>
  <si>
    <t>RONGEUR, SURGICAL, KERRISON, 4 MM, 90 DEGREE, 6 IN, CERVICAL, THIN FOOTPLATE, UP ANGLED, DRAINAGE HOLE, HARDY STYLE HANDLE WITH BALL SPRING, NON STERILE, CLASSIC, LATEX</t>
  </si>
  <si>
    <t>RONGEUR, SURG, KERRISON, 4 MM, 90 DEG, 6 IN, CERV, THN FTPLT, UP ANGLED, DRAINAGE HOLE, HARDY STYL HNDL W/ BALL SPRING, NS, CLASSIC, LTX</t>
  </si>
  <si>
    <t>RONGEUR, SURG, KERRISON, 4 MM, 90 DEG, 6 IN, CERV, THN FTPLT, UP</t>
  </si>
  <si>
    <t>https://shop.symmetrysurgical.com/en/product/sites-of-care-ambulatory-surgery-center/53-1507, http://www.nw-medical.com/Spinal_Catalog.pdf, https://accessgudid.nlm.nih.gov/devices/00887482023037</t>
  </si>
  <si>
    <t>RONGEUR, SURGICAL, KERRISON, 4 MM, 90 DEGREE, 6 IN, CERVICAL, THIN FOOTPLATE, DOWN ANGLED, DRAINAGE HOLE, HARDY STYLE HANDLE WITH BALL SPRING, NON STERILE, CLASSIC, LATEX</t>
  </si>
  <si>
    <t>RONGEUR, SURG, KERRISON, 4 MM, 90 DEG, 6 IN, CERV, THN FTPLT, DN ANGLED, DRAINAGE HOLE, HARDY STYL HNDL W/ BALL SPRING, NS, CLASSIC, LTX</t>
  </si>
  <si>
    <t>RONGEUR, SURG, KERRISON, 4 MM, 90 DEG, 6 IN, CERV, THN FTPLT, DN</t>
  </si>
  <si>
    <t>https://shop.symmetrysurgical.com/en/product/sites-of-care-ambulatory-surgery-center/53-1508, http://www.nw-medical.com/Spinal_Catalog.pdf, https://accessgudid.nlm.nih.gov/devices/00887482023044</t>
  </si>
  <si>
    <t>RONGEUR, SURGICAL, KERRISON, 5 MM, 90 DEGREE, 6 IN, CERVICAL, THIN FOOTPLATE, DOWN ANGLED, DRAINAGE HOLE, HARDY STYLE HANDLE WITH BALL SPRING, NON STERILE, CLASSIC, LATEX</t>
  </si>
  <si>
    <t>RONGEUR, SURG, KERRISON, 5 MM, 90 DEG, 6 IN, CERV, THN FTPLT, DN ANGLED, DRAINAGE HOLE, HARDY STYL HNDL W/ BALL SPRING, NS, CLASSIC, LTX</t>
  </si>
  <si>
    <t>RONGEUR, SURG, KERRISON, 5 MM, 90 DEG, 6 IN, CERV, THN FTPLT, DN</t>
  </si>
  <si>
    <t>https://shop.symmetrysurgical.com/en/product/sites-of-care-ambulatory-surgery-center/53-1511, http://www.nw-medical.com/Spinal_Catalog.pdf, https://accessgudid.nlm.nih.gov/devices/00887482023075</t>
  </si>
  <si>
    <t>RONGEUR, SURGICAL, KERRISON, 3 MM, 90 DEGREE, 7 IN, CERVICAL, THIN FOOTPLATE, UP ANGLED, DRAINAGE HOLE, HARDY STYLE HANDLE WITH BALL SPRING, NON STERILE, CLASSIC, LATEX</t>
  </si>
  <si>
    <t>RONGEUR, SURG, KERRISON, 3 MM, 90 DEG, 7 IN, CERV, THN FTPLT, UP ANGLED, DRAINAGE HOLE, HARDY STYL HNDL W/ BALL SPRING, NS, CLASSIC, LTX</t>
  </si>
  <si>
    <t>RONGEUR, SURG, KERRISON, 3 MM, 90 DEG, 7 IN, CERV, THN FTPLT, UP</t>
  </si>
  <si>
    <t>https://shop.symmetrysurgical.com/en/product/sites-of-care-ambulatory-surgery-center/53-1516, http://www.nw-medical.com/Spinal_Catalog.pdf, https://accessgudid.nlm.nih.gov/devices/00887482023129</t>
  </si>
  <si>
    <t>RONGEUR, SURGICAL, KERRISON, 3 MM, 90 DEGREE, 7 IN, CERVICAL, THIN FOOTPLATE, DOWN ANGLED, DRAINAGE HOLE, HARDY STYLE HANDLE WITH BALL SPRING, NON STERILE, CLASSIC, LATEX</t>
  </si>
  <si>
    <t>RONGEUR, SURG, KERRISON, 3 MM, 90 DEG, 7 IN, CERV, THN FTPLT, DN ANGLED, DRAINAGE HOLE, HARDY STYL HNDL W/ BALL SPRING, NS, CLASSIC, LTX</t>
  </si>
  <si>
    <t>RONGEUR, SURG, KERRISON, 3 MM, 90 DEG, 7 IN, CERV, THN FTPLT, DN</t>
  </si>
  <si>
    <t>https://shop.symmetrysurgical.com/en/product/sites-of-care-ambulatory-surgery-center/53-1517, http://www.nw-medical.com/Spinal_Catalog.pdf, https://accessgudid.nlm.nih.gov/devices/00887482023136</t>
  </si>
  <si>
    <t>RONGEUR, SURGICAL, KERRISON, 4 MM, 90 DEGREE, 7 IN, CERVICAL, THIN FOOTPLATE, UP ANGLED, DRAINAGE HOLE, HARDY STYLE HANDLE WITH BALL SPRING, NON STERILE, CLASSIC, LATEX</t>
  </si>
  <si>
    <t>RONGEUR, SURG, KERRISON, 4 MM, 90 DEG, 7 IN, CERV, THN FTPLT, UP ANGLED, DRAINAGE HOLE, HARDY STYL HNDL W/ BALL SPRING, NS, CLASSIC, LTX</t>
  </si>
  <si>
    <t>RONGEUR, SURG, KERRISON, 4 MM, 90 DEG, 7 IN, CERV, THN FTPLT, UP</t>
  </si>
  <si>
    <t>https://shop.symmetrysurgical.com/en/product/sites-of-care-ambulatory-surgery-center/53-1519, http://www.nw-medical.com/Spinal_Catalog.pdf, https://accessgudid.nlm.nih.gov/devices/00887482023150</t>
  </si>
  <si>
    <t>RONGEUR, SURGICAL, KERRISON, 4 MM, 90 DEGREE, 7 IN, CERVICAL, THIN FOOTPLATE, DOWN ANGLED, DRAINAGE HOLE, HARDY STYLE HANDLE WITH BALL SPRING, NON STERILE, CLASSIC, LATEX</t>
  </si>
  <si>
    <t>RONGEUR, SURG, KERRISON, 4 MM, 90 DEG, 7 IN, CERV, THN FTPLT, DN ANGLED, DRAINAGE HOLE, HARDY STYL HNDL W/ BALL SPRING, NS, CLASSIC, LTX</t>
  </si>
  <si>
    <t>RONGEUR, SURG, KERRISON, 4 MM, 90 DEG, 7 IN, CERV, THN FTPLT, DN</t>
  </si>
  <si>
    <t>https://shop.symmetrysurgical.com/en/product/sites-of-care-ambulatory-surgery-center/53-1520, http://www.nw-medical.com/Spinal_Catalog.pdf, https://accessgudid.nlm.nih.gov/devices/00887482023167</t>
  </si>
  <si>
    <t>RONGEUR, SURGICAL, KERRISON, 5 MM, 40 DEGREE, 7 IN, CERVICAL, THIN FOOTPLATE, UP ANGLED, DRAINAGE HOLE, HARDY STYLE HANDLE WITH BALL SPRING, NON STERILE, CLASSIC, LATEX</t>
  </si>
  <si>
    <t>RONGEUR, SURG, KERRISON, 5 MM, 40 DEG, 7 IN, CERV, THN FTPLT, UP ANGLED, DRAINAGE HOLE, HARDY STYL HNDL W/ BALL SPRING, NS, CLASSIC, LTX</t>
  </si>
  <si>
    <t>RONGEUR, SURG, KERRISON, 5 MM, 40 DEG, 7 IN, CERV, THN FTPLT, UP</t>
  </si>
  <si>
    <t>5 MM, 40 DEGREE</t>
  </si>
  <si>
    <t>THIN FOOTPLATE, 40° UP ANGLED, DRAINAGE HOLE, HARDY STYLE HANDLE WITH BALL SPRING</t>
  </si>
  <si>
    <t>https://shop.symmetrysurgical.com/en/product/sites-of-care-ambulatory-surgery-center/53-1521, http://www.nw-medical.com/Spinal_Catalog.pdf, https://accessgudid.nlm.nih.gov/devices/00887482023174</t>
  </si>
  <si>
    <t>RONGEUR, SURGICAL, KERRISON, 3 MM, 90 DEGREE, 8 IN, CERVICAL, THIN FOOTPLATE, UP ANGLED, DRAINAGE HOLE, HARDY STYLE HANDLE WITH BALL SPRING, NON STERILE, CLASSIC, LATEX</t>
  </si>
  <si>
    <t>RONGEUR, SURG, KERRISON, 3 MM, 90 DEG, 8 IN, CERV, THN FTPLT, UP ANGLED, DRAINAGE HOLE, HARDY STYL HNDL W/ BALL SPRING, NS, CLASSIC, LTX</t>
  </si>
  <si>
    <t>RONGEUR, SURG, KERRISON, 3 MM, 90 DEG, 8 IN, CERV, THN FTPLT, UP</t>
  </si>
  <si>
    <t>203 MM</t>
  </si>
  <si>
    <t>https://shop.symmetrysurgical.com/en/product/sites-of-care-ambulatory-surgery-center/53-1528, http://www.nw-medical.com/Spinal_Catalog.pdf, https://accessgudid.nlm.nih.gov/devices/00887482023242</t>
  </si>
  <si>
    <t>RONGEUR, SURGICAL, KERRISON, 3 MM, 90 DEGREE, 8 IN, CERVICAL, THIN FOOTPLATE, DOWN ANGLED, DRAINAGE HOLE, HARDY STYLE HANDLE WITH BALL SPRING, NON STERILE, CLASSIC, LATEX</t>
  </si>
  <si>
    <t>RONGEUR, SURG, KERRISON, 3 MM, 90 DEG, 8 IN, CERV, THN FTPLT, DN ANGLED, DRAINAGE HOLE, HARDY STYL HNDL W/ BALL SPRING, NS, CLASSIC, LTX</t>
  </si>
  <si>
    <t>RONGEUR, SURG, KERRISON, 3 MM, 90 DEG, 8 IN, CERV, THN FTPLT, DN</t>
  </si>
  <si>
    <t>https://shop.symmetrysurgical.com/en/product/sites-of-care-ambulatory-surgery-center/53-1529, http://www.nw-medical.com/Spinal_Catalog.pdf, https://accessgudid.nlm.nih.gov/devices/00887482023259</t>
  </si>
  <si>
    <t>RONGEUR, SURGICAL, KERRISON, 4 MM, 90 DEGREE, 8 IN, CERVICAL, THIN FOOTPLATE, UP ANGLED, DRAINAGE HOLE, HARDY STYLE HANDLE WITH BALL SPRING, NON STERILE, CLASSIC, LATEX</t>
  </si>
  <si>
    <t>RONGEUR, SURG, KERRISON, 4 MM, 90 DEG, 8 IN, CERV, THN FTPLT, UP ANGLED, DRAINAGE HOLE, HARDY STYL HNDL W/ BALL SPRING, NS, CLASSIC, LTX</t>
  </si>
  <si>
    <t>RONGEUR, SURG, KERRISON, 4 MM, 90 DEG, 8 IN, CERV, THN FTPLT, UP</t>
  </si>
  <si>
    <t>https://shop.symmetrysurgical.com/en/product/sites-of-care-ambulatory-surgery-center/53-1531, http://www.nw-medical.com/Spinal_Catalog.pdf, https://accessgudid.nlm.nih.gov/devices/00887482023273</t>
  </si>
  <si>
    <t>RONGEUR, SURGICAL, KERRISON, 4 MM, 90 DEGREE, 8 IN, CERVICAL, THIN FOOTPLATE, DOWN ANGLED, DRAINAGE HOLE, HARDY STYLE HANDLE WITH BALL SPRING, NON STERILE, CLASSIC, LATEX</t>
  </si>
  <si>
    <t>RONGEUR, SURG, KERRISON, 4 MM, 90 DEG, 8 IN, CERV, THN FTPLT, DN ANGLED, DRAINAGE HOLE, HARDY STYL HNDL W/ BALL SPRING, NS, CLASSIC, LTX</t>
  </si>
  <si>
    <t>RONGEUR, SURG, KERRISON, 4 MM, 90 DEG, 8 IN, CERV, THN FTPLT, DN</t>
  </si>
  <si>
    <t>https://shop.symmetrysurgical.com/en/product/sites-of-care-ambulatory-surgery-center/53-1532, http://www.nw-medical.com/Spinal_Catalog.pdf, https://accessgudid.nlm.nih.gov/devices/00887482023280</t>
  </si>
  <si>
    <t>RONGEUR, SURGICAL, KERRISON, 5 MM, 90 DEGREE, 8 IN, CERVICAL, THIN FOOTPLATE, DOWN ANGLED, DRAINAGE HOLE, HARDY STYLE HANDLE WITH BALL SPRING, NON STERILE, CLASSIC, LATEX</t>
  </si>
  <si>
    <t>RONGEUR, SURG, KERRISON, 5 MM, 90 DEG, 8 IN, CERV, THN FTPLT, DN ANGLED, DRAINAGE HOLE, HARDY STYL HNDL W/ BALL SPRING, NS, CLASSIC, LTX</t>
  </si>
  <si>
    <t>RONGEUR, SURG, KERRISON, 5 MM, 90 DEG, 8 IN, CERV, THN FTPLT, DN</t>
  </si>
  <si>
    <t>https://shop.symmetrysurgical.com/en/product/sites-of-care-ambulatory-surgery-center/53-1535, http://www.nw-medical.com/Spinal_Catalog.pdf, https://accessgudid.nlm.nih.gov/devices/00887482023310</t>
  </si>
  <si>
    <t>Production Completed</t>
  </si>
  <si>
    <t>SOURCED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</si>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</sst>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1" xfId="0" applyFont="1" applyAlignment="1">
      <alignment horizontal="left"/>
    </xf>
    <xf numFmtId="0" fontId="3" fillId="5" borderId="1" xfId="0" applyFont="1" applyFill="1" applyAlignment="1">
      <alignment vertical="center"/>
    </xf>
    <xf numFmtId="0" fontId="7" fillId="0" borderId="1" xfId="0" applyFont="1" applyBorder="1"/>
    <xf numFmtId="0" fontId="0" fillId="0" borderId="1" xfId="0" applyFont="1"/>
    <xf numFmtId="0" fontId="3" fillId="2" borderId="1" xfId="0" applyFont="1" applyFill="1" applyAlignment="1">
      <alignment vertical="center"/>
    </xf>
    <xf numFmtId="49" fontId="3" fillId="2" borderId="1" xfId="0" applyNumberFormat="1" applyFont="1" applyFill="1" applyAlignment="1">
      <alignment vertical="center"/>
    </xf>
    <xf numFmtId="0" fontId="6" fillId="0" borderId="1" xfId="0" applyFont="1" applyAlignment="1">
      <alignment horizontal="left" vertical="center"/>
    </xf>
    <xf numFmtId="0" fontId="7" fillId="0" borderId="1" xfId="0" applyFont="1" applyAlignment="1">
      <alignment horizontal="left" vertical="center" indent="1"/>
    </xf>
    <xf numFmtId="0" fontId="6" fillId="0" borderId="1" xfId="0" applyFont="1" applyFill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72"/>
  <sheetViews>
    <sheetView tabSelected="1" workbookViewId="0"/>
  </sheetViews>
  <sheetFormatPr defaultColWidth="9.1328125" defaultRowHeight="14.75" x14ac:dyDescent="0.75"/>
  <cols>
    <col min="1" max="1" width="14.26953125" style="1" customWidth="1"/>
    <col min="2" max="2" width="8.54296875" style="1" customWidth="1"/>
    <col min="3" max="3" width="25.5429687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3" style="1" customWidth="1"/>
    <col min="8" max="8" width="34.13281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10.7265625" style="1" customWidth="1"/>
    <col min="21" max="21" width="5.1328125" style="1" customWidth="1"/>
    <col min="22" max="22" width="5.7265625" style="1" customWidth="1"/>
    <col min="23" max="23" width="20.86328125" style="1" customWidth="1"/>
    <col min="24" max="24" width="28.7265625" style="1" customWidth="1"/>
    <col min="25" max="25" width="26.86328125" customWidth="1"/>
    <col min="26" max="26" width="16.40625" style="1" customWidth="1"/>
    <col min="27" max="27" width="34.7265625" style="1" customWidth="1"/>
    <col min="28" max="28" width="8.7265625"/>
    <col min="29" max="32" width="8.7265625" customWidth="1"/>
    <col min="33" max="33" width="8.26953125" style="1" customWidth="1"/>
    <col min="34" max="34" width="19" style="1" customWidth="1"/>
    <col min="35" max="35" width="17.7265625" style="1" customWidth="1"/>
    <col min="36" max="36" width="135.1328125" style="1" customWidth="1"/>
    <col min="37" max="37" width="29.86328125" style="1" customWidth="1"/>
    <col min="38" max="38" width="10.1328125" style="1" customWidth="1"/>
    <col min="39" max="39" width="16.7265625" style="1" customWidth="1"/>
    <col min="40" max="40" width="7.40625" style="1" customWidth="1"/>
    <col min="41" max="41" width="34.7265625" customWidth="1"/>
    <col min="42" max="42" width="11.26953125" style="1" customWidth="1"/>
    <col min="43" max="43" width="16.40625" style="1" customWidth="1"/>
    <col min="44" max="44" width="38" style="1" customWidth="1"/>
    <col min="45" max="45" width="15.26953125" style="1" customWidth="1"/>
    <col min="46" max="46" width="25.86328125" style="1" customWidth="1"/>
    <col min="47" max="47" width="15.86328125" style="1" customWidth="1"/>
    <col min="48" max="48" width="25.40625" style="1" customWidth="1"/>
    <col min="49" max="49" width="5" style="1" customWidth="1"/>
    <col min="50" max="50" width="6.40625" style="1" customWidth="1"/>
    <col min="51" max="51" width="8.86328125" style="1" customWidth="1"/>
    <col min="52" max="52" width="9.40625" style="1" customWidth="1"/>
    <col min="53" max="54" width="5.1328125" style="1" customWidth="1"/>
    <col min="55" max="55" width="35.7265625" style="1" customWidth="1"/>
    <col min="56" max="56" width="38.1328125" style="1" customWidth="1"/>
    <col min="57" max="57" width="14.86328125" style="1" customWidth="1"/>
    <col min="58" max="58" width="8" style="1" customWidth="1"/>
    <col min="59" max="59" width="8.7265625" style="1" customWidth="1"/>
    <col min="60" max="60" width="9.1328125" style="1" customWidth="1"/>
    <col min="61" max="61" width="8.7265625" style="1" customWidth="1"/>
    <col min="62" max="62" width="27.86328125" style="1" customWidth="1"/>
    <col min="63" max="63" width="6.26953125" style="1" customWidth="1"/>
    <col min="64" max="64" width="7.26953125" style="1" customWidth="1"/>
    <col min="65" max="65" width="11.40625" style="1" customWidth="1"/>
    <col min="66" max="66" width="6.40625" style="1" customWidth="1"/>
    <col min="67" max="67" width="10.40625" style="1" customWidth="1"/>
    <col min="68" max="68" width="13" style="1" customWidth="1"/>
    <col min="69" max="70" width="5.1328125" style="1" customWidth="1"/>
    <col min="71" max="71" width="17.86328125" style="1" customWidth="1"/>
    <col min="72" max="72" width="18.86328125" style="1" customWidth="1"/>
    <col min="73" max="73" width="8.86328125" style="1" customWidth="1"/>
    <col min="74" max="74" width="19.26953125" style="1" customWidth="1"/>
    <col min="75" max="75" width="38.1328125" style="1" customWidth="1"/>
    <col min="76" max="76" width="15.7265625" style="1" customWidth="1"/>
    <col min="77" max="77" width="11.7265625" style="1" customWidth="1"/>
    <col min="78" max="78" width="16.132812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328125" style="1" customWidth="1"/>
    <col min="83" max="83" width="35.26953125" style="1" customWidth="1"/>
    <col min="84" max="84" width="26.40625" style="1" customWidth="1"/>
    <col min="85" max="85" width="26.86328125" style="1" customWidth="1"/>
    <col min="86" max="86" width="34.1328125" style="1" customWidth="1"/>
    <col min="87" max="87" width="12.1328125" style="1" customWidth="1"/>
    <col min="88" max="88" width="14" style="1" customWidth="1"/>
    <col min="89" max="89" width="6.1328125" style="1" customWidth="1"/>
    <col min="90" max="90" width="18.86328125" style="1" customWidth="1"/>
    <col min="91" max="91" width="20.26953125" style="1" customWidth="1"/>
    <col min="92" max="92" width="9.86328125" style="1" customWidth="1"/>
    <col min="93" max="93" width="12.132812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0625" style="1" customWidth="1"/>
    <col min="98" max="98" width="15.863281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0625" style="1" customWidth="1"/>
    <col min="104" max="104" width="8.7265625" style="1" customWidth="1"/>
    <col min="105" max="105" width="10.1328125" style="1" customWidth="1"/>
    <col min="106" max="106" width="9.7265625" style="1" customWidth="1"/>
    <col min="107" max="107" width="13.86328125" style="1" customWidth="1"/>
    <col min="108" max="108" width="6.86328125" style="1" customWidth="1"/>
    <col min="109" max="109" width="8.40625" style="1" customWidth="1"/>
    <col min="110" max="110" width="19.86328125" style="1" customWidth="1"/>
    <col min="111" max="111" width="18.54296875" style="1" customWidth="1"/>
    <col min="112" max="112" width="9.1328125" style="1" customWidth="1"/>
    <col min="113" max="16384" width="9.1328125" style="1"/>
  </cols>
  <sheetData>
    <row r="1" spans="1:111" ht="12" customHeight="1" x14ac:dyDescent="0.65">
      <c r="A1" s="2" t="s">
        <v>148</v>
      </c>
      <c r="B1" s="2" t="s">
        <v>277</v>
      </c>
      <c r="C1" s="2" t="s">
        <v>279</v>
      </c>
      <c r="D1" s="2" t="s">
        <v>81</v>
      </c>
      <c r="E1" s="2" t="s">
        <v>281</v>
      </c>
      <c r="F1" s="2" t="s">
        <v>90</v>
      </c>
      <c r="G1" s="2" t="s">
        <v>323</v>
      </c>
      <c r="H1" s="2" t="s">
        <v>223</v>
      </c>
      <c r="I1" s="2" t="s">
        <v>95</v>
      </c>
      <c r="J1" s="2" t="s">
        <v>242</v>
      </c>
      <c r="K1" s="2" t="s">
        <v>56</v>
      </c>
      <c r="L1" s="2" t="s">
        <v>183</v>
      </c>
      <c r="M1" s="2" t="s">
        <v>271</v>
      </c>
      <c r="N1" s="2" t="s">
        <v>70</v>
      </c>
      <c r="O1" s="2" t="s">
        <v>104</v>
      </c>
      <c r="P1" s="2" t="s">
        <v>298</v>
      </c>
      <c r="Q1" s="2" t="s">
        <v>232</v>
      </c>
      <c r="R1" s="2" t="s">
        <v>47</v>
      </c>
      <c r="S1" s="2" t="s">
        <v>92</v>
      </c>
      <c r="T1" s="2" t="s">
        <v>173</v>
      </c>
      <c r="U1" s="3" t="s">
        <v>71</v>
      </c>
      <c r="V1" s="3" t="s">
        <v>312</v>
      </c>
      <c r="W1" s="4" t="s">
        <v>137</v>
      </c>
      <c r="X1" s="5" t="s">
        <v>109</v>
      </c>
      <c r="Y1" s="18" t="s">
        <v>260</v>
      </c>
      <c r="Z1" s="4" t="s">
        <v>131</v>
      </c>
      <c r="AA1" s="5" t="s">
        <v>203</v>
      </c>
      <c r="AB1" s="18" t="s">
        <v>37</v>
      </c>
      <c r="AC1" s="21" t="s">
        <v>74</v>
      </c>
      <c r="AD1" s="21" t="s">
        <v>184</v>
      </c>
      <c r="AE1" s="22" t="s">
        <v>14</v>
      </c>
      <c r="AF1" s="21" t="s">
        <v>269</v>
      </c>
      <c r="AG1" s="5" t="s">
        <v>186</v>
      </c>
      <c r="AH1" s="5" t="s">
        <v>42</v>
      </c>
      <c r="AI1" s="5" t="s">
        <v>168</v>
      </c>
      <c r="AJ1" s="5" t="s">
        <v>146</v>
      </c>
      <c r="AK1" s="5" t="s">
        <v>17</v>
      </c>
      <c r="AL1" s="5" t="s">
        <v>22</v>
      </c>
      <c r="AM1" s="5" t="s">
        <v>270</v>
      </c>
      <c r="AN1" s="5" t="s">
        <v>295</v>
      </c>
      <c r="AO1" s="18" t="s">
        <v>171</v>
      </c>
      <c r="AP1" s="2" t="s">
        <v>310</v>
      </c>
      <c r="AQ1" s="2" t="s">
        <v>15</v>
      </c>
      <c r="AR1" s="7" t="s">
        <v>4</v>
      </c>
      <c r="AS1" s="6" t="s">
        <v>58</v>
      </c>
      <c r="AT1" s="6" t="s">
        <v>94</v>
      </c>
      <c r="AU1" s="8" t="s">
        <v>157</v>
      </c>
      <c r="AV1" s="8" t="s">
        <v>96</v>
      </c>
      <c r="AW1" s="9" t="s">
        <v>278</v>
      </c>
      <c r="AX1" s="7" t="s">
        <v>229</v>
      </c>
      <c r="AY1" s="7" t="s">
        <v>147</v>
      </c>
      <c r="AZ1" s="7" t="s">
        <v>234</v>
      </c>
      <c r="BA1" s="7" t="s">
        <v>190</v>
      </c>
      <c r="BB1" s="7" t="s">
        <v>181</v>
      </c>
      <c r="BC1" s="7" t="s">
        <v>88</v>
      </c>
      <c r="BD1" s="7" t="s">
        <v>283</v>
      </c>
      <c r="BE1" s="7" t="s">
        <v>160</v>
      </c>
      <c r="BF1" s="7" t="s">
        <v>292</v>
      </c>
      <c r="BG1" s="7" t="s">
        <v>126</v>
      </c>
      <c r="BH1" s="7" t="s">
        <v>38</v>
      </c>
      <c r="BI1" s="7" t="s">
        <v>246</v>
      </c>
      <c r="BJ1" s="7" t="s">
        <v>204</v>
      </c>
      <c r="BK1" s="7" t="s">
        <v>301</v>
      </c>
      <c r="BL1" s="7" t="s">
        <v>61</v>
      </c>
      <c r="BM1" s="7" t="s">
        <v>143</v>
      </c>
      <c r="BN1" s="7" t="s">
        <v>228</v>
      </c>
      <c r="BO1" s="7" t="s">
        <v>318</v>
      </c>
      <c r="BP1" s="7" t="s">
        <v>133</v>
      </c>
      <c r="BQ1" s="6" t="s">
        <v>19</v>
      </c>
      <c r="BR1" s="6" t="s">
        <v>235</v>
      </c>
      <c r="BS1" s="7" t="s">
        <v>54</v>
      </c>
      <c r="BT1" s="7" t="s">
        <v>55</v>
      </c>
      <c r="BU1" s="7" t="s">
        <v>67</v>
      </c>
      <c r="BV1" s="7" t="s">
        <v>189</v>
      </c>
      <c r="BW1" s="7" t="s">
        <v>196</v>
      </c>
      <c r="BX1" s="7" t="s">
        <v>214</v>
      </c>
      <c r="BY1" s="7" t="s">
        <v>113</v>
      </c>
      <c r="BZ1" s="7" t="s">
        <v>65</v>
      </c>
      <c r="CA1" s="10" t="s">
        <v>307</v>
      </c>
      <c r="CB1" s="10" t="s">
        <v>41</v>
      </c>
      <c r="CC1" s="10" t="s">
        <v>288</v>
      </c>
      <c r="CD1" s="10" t="s">
        <v>313</v>
      </c>
      <c r="CE1" s="10" t="s">
        <v>85</v>
      </c>
      <c r="CF1" s="10" t="s">
        <v>239</v>
      </c>
      <c r="CG1" s="10" t="s">
        <v>316</v>
      </c>
      <c r="CH1" s="10" t="s">
        <v>138</v>
      </c>
      <c r="CI1" s="10" t="s">
        <v>266</v>
      </c>
      <c r="CJ1" s="10" t="s">
        <v>215</v>
      </c>
      <c r="CK1" s="10" t="s">
        <v>166</v>
      </c>
      <c r="CL1" s="10" t="s">
        <v>100</v>
      </c>
      <c r="CM1" s="10" t="s">
        <v>25</v>
      </c>
      <c r="CN1" s="10" t="s">
        <v>178</v>
      </c>
      <c r="CO1" s="10" t="s">
        <v>29</v>
      </c>
      <c r="CP1" s="10" t="s">
        <v>18</v>
      </c>
      <c r="CQ1" s="10" t="s">
        <v>293</v>
      </c>
      <c r="CR1" s="10" t="s">
        <v>182</v>
      </c>
      <c r="CS1" s="10" t="s">
        <v>141</v>
      </c>
      <c r="CT1" s="5" t="s">
        <v>219</v>
      </c>
      <c r="CU1" s="5" t="s">
        <v>296</v>
      </c>
      <c r="CV1" s="5" t="s">
        <v>317</v>
      </c>
      <c r="CW1" s="5" t="s">
        <v>315</v>
      </c>
      <c r="CX1" s="11" t="s">
        <v>112</v>
      </c>
      <c r="CY1" s="12" t="s">
        <v>329</v>
      </c>
      <c r="CZ1" s="11" t="s">
        <v>27</v>
      </c>
      <c r="DA1" s="13" t="s">
        <v>23</v>
      </c>
      <c r="DB1" s="13" t="s">
        <v>50</v>
      </c>
      <c r="DC1" s="13" t="s">
        <v>195</v>
      </c>
      <c r="DD1" s="13" t="s">
        <v>272</v>
      </c>
      <c r="DE1" s="13" t="s">
        <v>320</v>
      </c>
      <c r="DF1" s="1" t="s">
        <v>150</v>
      </c>
      <c r="DG1" s="1" t="s">
        <v>153</v>
      </c>
    </row>
    <row r="2" spans="1:111" ht="12" customHeight="1" x14ac:dyDescent="0.75">
      <c r="A2" s="14" t="s">
        <v>111</v>
      </c>
      <c r="B2" s="14" t="s">
        <v>0</v>
      </c>
      <c r="C2" s="14" t="s">
        <v>110</v>
      </c>
      <c r="D2" t="s">
        <v>155</v>
      </c>
      <c r="E2" s="25" t="s">
        <v>931</v>
      </c>
      <c r="F2" t="s">
        <v>155</v>
      </c>
      <c r="G2" s="25" t="s">
        <v>932</v>
      </c>
      <c r="H2" s="15" t="s">
        <v>44</v>
      </c>
      <c r="I2"/>
      <c r="J2"/>
      <c r="K2"/>
      <c r="L2"/>
      <c r="M2"/>
      <c r="N2"/>
      <c r="O2"/>
      <c r="P2"/>
      <c r="Q2"/>
      <c r="R2"/>
      <c r="S2"/>
      <c r="T2"/>
      <c r="U2">
        <v>251</v>
      </c>
      <c r="V2" s="16">
        <v>67</v>
      </c>
      <c r="W2" t="s">
        <v>64</v>
      </c>
      <c r="X2" t="s">
        <v>64</v>
      </c>
      <c r="Y2" s="19" t="s">
        <v>330</v>
      </c>
      <c r="Z2" t="s">
        <v>125</v>
      </c>
      <c r="AA2" t="s">
        <v>125</v>
      </c>
      <c r="AB2" s="20" t="s">
        <v>331</v>
      </c>
      <c r="AC2" s="20" t="s">
        <v>402</v>
      </c>
      <c r="AD2" s="20" t="s">
        <v>331</v>
      </c>
      <c r="AE2" s="20">
        <v>463230</v>
      </c>
      <c r="AF2" s="20" t="s">
        <v>403</v>
      </c>
      <c r="AG2"/>
      <c r="AH2"/>
      <c r="AI2"/>
      <c r="AJ2" s="16" t="s">
        <v>60</v>
      </c>
      <c r="AK2"/>
      <c r="AL2" s="16">
        <v>3639</v>
      </c>
      <c r="AM2" s="16" t="s">
        <v>220</v>
      </c>
      <c r="AN2"/>
      <c r="AO2" s="23" t="s">
        <v>474</v>
      </c>
      <c r="AP2"/>
      <c r="AQ2"/>
      <c r="AR2" s="20" t="s">
        <v>479</v>
      </c>
      <c r="AS2" s="20" t="s">
        <v>549</v>
      </c>
      <c r="AT2" s="20" t="s">
        <v>549</v>
      </c>
      <c r="AU2" s="20" t="s">
        <v>550</v>
      </c>
      <c r="AV2" s="20" t="s">
        <v>551</v>
      </c>
      <c r="AW2" s="24">
        <f t="shared" ref="AW2:AW65" si="0">LEN(SUBSTITUTE(AV2,", "," "))</f>
        <v>60</v>
      </c>
      <c r="AX2" s="20" t="s">
        <v>552</v>
      </c>
      <c r="AY2" s="20" t="s">
        <v>553</v>
      </c>
      <c r="AZ2" s="20" t="s">
        <v>554</v>
      </c>
      <c r="BA2" s="20" t="s">
        <v>555</v>
      </c>
      <c r="BB2" s="20"/>
      <c r="BC2" s="20" t="s">
        <v>556</v>
      </c>
      <c r="BD2" s="20"/>
      <c r="BE2" s="20"/>
      <c r="BF2" s="20"/>
      <c r="BG2" s="20"/>
      <c r="BH2" s="20" t="s">
        <v>557</v>
      </c>
      <c r="BI2" s="20"/>
      <c r="BJ2" s="20"/>
      <c r="BK2" s="20"/>
      <c r="BL2" s="20" t="s">
        <v>558</v>
      </c>
      <c r="BM2" s="20"/>
      <c r="BN2" s="20" t="s">
        <v>559</v>
      </c>
      <c r="BO2" s="20"/>
      <c r="BP2" s="20"/>
      <c r="BQ2" s="20" t="s">
        <v>560</v>
      </c>
      <c r="BR2" s="20"/>
      <c r="BS2" s="20"/>
      <c r="BT2" s="20"/>
      <c r="BU2" s="20"/>
      <c r="BV2" s="20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930</v>
      </c>
      <c r="DG2" s="1" t="s">
        <v>930</v>
      </c>
    </row>
    <row r="3" spans="1:111" ht="12" customHeight="1" x14ac:dyDescent="0.75">
      <c r="A3" s="14" t="s">
        <v>111</v>
      </c>
      <c r="B3" s="14" t="s">
        <v>0</v>
      </c>
      <c r="C3" s="14" t="s">
        <v>110</v>
      </c>
      <c r="D3" t="s">
        <v>155</v>
      </c>
      <c r="E3" s="25" t="s">
        <v>931</v>
      </c>
      <c r="F3" t="s">
        <v>155</v>
      </c>
      <c r="G3" s="25" t="s">
        <v>932</v>
      </c>
      <c r="H3" s="15" t="s">
        <v>44</v>
      </c>
      <c r="I3"/>
      <c r="J3"/>
      <c r="K3"/>
      <c r="L3"/>
      <c r="M3"/>
      <c r="N3"/>
      <c r="O3"/>
      <c r="P3"/>
      <c r="Q3"/>
      <c r="R3"/>
      <c r="S3"/>
      <c r="T3"/>
      <c r="U3">
        <v>252</v>
      </c>
      <c r="V3" s="16">
        <v>68</v>
      </c>
      <c r="W3" t="s">
        <v>64</v>
      </c>
      <c r="X3" t="s">
        <v>64</v>
      </c>
      <c r="Y3" s="19" t="s">
        <v>330</v>
      </c>
      <c r="Z3" t="s">
        <v>46</v>
      </c>
      <c r="AA3" t="s">
        <v>46</v>
      </c>
      <c r="AB3" s="20" t="s">
        <v>332</v>
      </c>
      <c r="AC3" s="20" t="s">
        <v>402</v>
      </c>
      <c r="AD3" s="20" t="s">
        <v>332</v>
      </c>
      <c r="AE3" s="20">
        <v>463232</v>
      </c>
      <c r="AF3" s="20" t="s">
        <v>404</v>
      </c>
      <c r="AG3"/>
      <c r="AH3"/>
      <c r="AI3"/>
      <c r="AJ3" s="16" t="s">
        <v>89</v>
      </c>
      <c r="AK3"/>
      <c r="AL3" s="16">
        <v>3639</v>
      </c>
      <c r="AM3" s="16" t="s">
        <v>165</v>
      </c>
      <c r="AN3"/>
      <c r="AO3" s="23" t="s">
        <v>474</v>
      </c>
      <c r="AP3"/>
      <c r="AQ3"/>
      <c r="AR3" s="20" t="s">
        <v>480</v>
      </c>
      <c r="AS3" s="20" t="s">
        <v>561</v>
      </c>
      <c r="AT3" s="20" t="s">
        <v>561</v>
      </c>
      <c r="AU3" s="20" t="s">
        <v>562</v>
      </c>
      <c r="AV3" s="20" t="s">
        <v>563</v>
      </c>
      <c r="AW3" s="24">
        <f t="shared" si="0"/>
        <v>59</v>
      </c>
      <c r="AX3" s="20" t="s">
        <v>552</v>
      </c>
      <c r="AY3" s="20" t="s">
        <v>553</v>
      </c>
      <c r="AZ3" s="20" t="s">
        <v>554</v>
      </c>
      <c r="BA3" s="20" t="s">
        <v>564</v>
      </c>
      <c r="BB3" s="20"/>
      <c r="BC3" s="20" t="s">
        <v>556</v>
      </c>
      <c r="BD3" s="20"/>
      <c r="BE3" s="20"/>
      <c r="BF3" s="20"/>
      <c r="BG3" s="20"/>
      <c r="BH3" s="20" t="s">
        <v>565</v>
      </c>
      <c r="BI3" s="20"/>
      <c r="BJ3" s="20"/>
      <c r="BK3" s="20"/>
      <c r="BL3" s="20" t="s">
        <v>558</v>
      </c>
      <c r="BM3" s="20"/>
      <c r="BN3" s="20" t="s">
        <v>559</v>
      </c>
      <c r="BO3" s="20"/>
      <c r="BP3" s="20"/>
      <c r="BQ3" s="20" t="s">
        <v>566</v>
      </c>
      <c r="BR3" s="20"/>
      <c r="BS3" s="20"/>
      <c r="BT3" s="20"/>
      <c r="BU3" s="20"/>
      <c r="BV3" s="20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930</v>
      </c>
      <c r="DG3" s="1" t="s">
        <v>930</v>
      </c>
    </row>
    <row r="4" spans="1:111" ht="12" customHeight="1" x14ac:dyDescent="0.75">
      <c r="A4" s="14" t="s">
        <v>111</v>
      </c>
      <c r="B4" s="14" t="s">
        <v>0</v>
      </c>
      <c r="C4" s="14" t="s">
        <v>110</v>
      </c>
      <c r="D4" t="s">
        <v>155</v>
      </c>
      <c r="E4" s="25" t="s">
        <v>931</v>
      </c>
      <c r="F4" t="s">
        <v>155</v>
      </c>
      <c r="G4" s="25" t="s">
        <v>932</v>
      </c>
      <c r="H4" s="15" t="s">
        <v>44</v>
      </c>
      <c r="I4"/>
      <c r="J4"/>
      <c r="K4"/>
      <c r="L4"/>
      <c r="M4"/>
      <c r="N4"/>
      <c r="O4"/>
      <c r="P4"/>
      <c r="Q4"/>
      <c r="R4"/>
      <c r="S4"/>
      <c r="T4"/>
      <c r="U4">
        <v>253</v>
      </c>
      <c r="V4" s="16">
        <v>69</v>
      </c>
      <c r="W4" t="s">
        <v>64</v>
      </c>
      <c r="X4" t="s">
        <v>64</v>
      </c>
      <c r="Y4" s="19" t="s">
        <v>330</v>
      </c>
      <c r="Z4" t="s">
        <v>144</v>
      </c>
      <c r="AA4" t="s">
        <v>144</v>
      </c>
      <c r="AB4" s="20" t="s">
        <v>333</v>
      </c>
      <c r="AC4" s="20" t="s">
        <v>402</v>
      </c>
      <c r="AD4" s="20" t="s">
        <v>333</v>
      </c>
      <c r="AE4" s="20">
        <v>463233</v>
      </c>
      <c r="AF4" s="20" t="s">
        <v>405</v>
      </c>
      <c r="AG4"/>
      <c r="AH4"/>
      <c r="AI4"/>
      <c r="AJ4" s="16" t="s">
        <v>108</v>
      </c>
      <c r="AK4"/>
      <c r="AL4" s="16">
        <v>3639</v>
      </c>
      <c r="AM4" s="16" t="s">
        <v>77</v>
      </c>
      <c r="AN4"/>
      <c r="AO4" s="23" t="s">
        <v>474</v>
      </c>
      <c r="AP4"/>
      <c r="AQ4"/>
      <c r="AR4" s="20" t="s">
        <v>481</v>
      </c>
      <c r="AS4" s="20" t="s">
        <v>567</v>
      </c>
      <c r="AT4" s="20" t="s">
        <v>567</v>
      </c>
      <c r="AU4" s="20" t="s">
        <v>568</v>
      </c>
      <c r="AV4" s="20" t="s">
        <v>569</v>
      </c>
      <c r="AW4" s="24">
        <f t="shared" si="0"/>
        <v>60</v>
      </c>
      <c r="AX4" s="20" t="s">
        <v>552</v>
      </c>
      <c r="AY4" s="20" t="s">
        <v>553</v>
      </c>
      <c r="AZ4" s="20" t="s">
        <v>554</v>
      </c>
      <c r="BA4" s="20" t="s">
        <v>570</v>
      </c>
      <c r="BB4" s="20"/>
      <c r="BC4" s="20" t="s">
        <v>556</v>
      </c>
      <c r="BD4" s="20"/>
      <c r="BE4" s="20"/>
      <c r="BF4" s="20"/>
      <c r="BG4" s="20"/>
      <c r="BH4" s="20" t="s">
        <v>565</v>
      </c>
      <c r="BI4" s="20"/>
      <c r="BJ4" s="20"/>
      <c r="BK4" s="20"/>
      <c r="BL4" s="20" t="s">
        <v>558</v>
      </c>
      <c r="BM4" s="20"/>
      <c r="BN4" s="20" t="s">
        <v>559</v>
      </c>
      <c r="BO4" s="20"/>
      <c r="BP4" s="20"/>
      <c r="BQ4" s="20" t="s">
        <v>571</v>
      </c>
      <c r="BR4" s="20"/>
      <c r="BS4" s="20"/>
      <c r="BT4" s="20"/>
      <c r="BU4" s="20"/>
      <c r="BV4" s="20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930</v>
      </c>
      <c r="DG4" s="1" t="s">
        <v>930</v>
      </c>
    </row>
    <row r="5" spans="1:111" ht="12" customHeight="1" x14ac:dyDescent="0.75">
      <c r="A5" s="14" t="s">
        <v>111</v>
      </c>
      <c r="B5" s="14" t="s">
        <v>0</v>
      </c>
      <c r="C5" s="14" t="s">
        <v>110</v>
      </c>
      <c r="D5" t="s">
        <v>155</v>
      </c>
      <c r="E5" s="25" t="s">
        <v>931</v>
      </c>
      <c r="F5" t="s">
        <v>155</v>
      </c>
      <c r="G5" s="25" t="s">
        <v>932</v>
      </c>
      <c r="H5" s="15" t="s">
        <v>44</v>
      </c>
      <c r="I5"/>
      <c r="J5"/>
      <c r="K5"/>
      <c r="L5"/>
      <c r="M5"/>
      <c r="N5"/>
      <c r="O5"/>
      <c r="P5"/>
      <c r="Q5"/>
      <c r="R5"/>
      <c r="S5"/>
      <c r="T5"/>
      <c r="U5">
        <v>254</v>
      </c>
      <c r="V5" s="16">
        <v>70</v>
      </c>
      <c r="W5" t="s">
        <v>64</v>
      </c>
      <c r="X5" t="s">
        <v>64</v>
      </c>
      <c r="Y5" s="19" t="s">
        <v>330</v>
      </c>
      <c r="Z5" t="s">
        <v>225</v>
      </c>
      <c r="AA5" t="s">
        <v>225</v>
      </c>
      <c r="AB5" s="20" t="s">
        <v>334</v>
      </c>
      <c r="AC5" s="20" t="s">
        <v>402</v>
      </c>
      <c r="AD5" s="20" t="s">
        <v>334</v>
      </c>
      <c r="AE5" s="20">
        <v>463234</v>
      </c>
      <c r="AF5" s="20" t="s">
        <v>406</v>
      </c>
      <c r="AG5"/>
      <c r="AH5"/>
      <c r="AI5"/>
      <c r="AJ5" s="16" t="s">
        <v>274</v>
      </c>
      <c r="AK5"/>
      <c r="AL5" s="16">
        <v>3639</v>
      </c>
      <c r="AM5" s="16" t="s">
        <v>34</v>
      </c>
      <c r="AN5"/>
      <c r="AO5" s="23" t="s">
        <v>474</v>
      </c>
      <c r="AP5"/>
      <c r="AQ5"/>
      <c r="AR5" s="20" t="s">
        <v>482</v>
      </c>
      <c r="AS5" s="20" t="s">
        <v>572</v>
      </c>
      <c r="AT5" s="20" t="s">
        <v>572</v>
      </c>
      <c r="AU5" s="20" t="s">
        <v>573</v>
      </c>
      <c r="AV5" s="20" t="s">
        <v>574</v>
      </c>
      <c r="AW5" s="24">
        <f t="shared" si="0"/>
        <v>59</v>
      </c>
      <c r="AX5" s="20" t="s">
        <v>552</v>
      </c>
      <c r="AY5" s="20" t="s">
        <v>553</v>
      </c>
      <c r="AZ5" s="20" t="s">
        <v>554</v>
      </c>
      <c r="BA5" s="20" t="s">
        <v>575</v>
      </c>
      <c r="BB5" s="20"/>
      <c r="BC5" s="20" t="s">
        <v>556</v>
      </c>
      <c r="BD5" s="20"/>
      <c r="BE5" s="20"/>
      <c r="BF5" s="20"/>
      <c r="BG5" s="20"/>
      <c r="BH5" s="20" t="s">
        <v>576</v>
      </c>
      <c r="BI5" s="20"/>
      <c r="BJ5" s="20"/>
      <c r="BK5" s="20"/>
      <c r="BL5" s="20" t="s">
        <v>558</v>
      </c>
      <c r="BM5" s="20"/>
      <c r="BN5" s="20" t="s">
        <v>559</v>
      </c>
      <c r="BO5" s="20"/>
      <c r="BP5" s="20"/>
      <c r="BQ5" s="20" t="s">
        <v>577</v>
      </c>
      <c r="BR5" s="20"/>
      <c r="BS5" s="20"/>
      <c r="BT5" s="20"/>
      <c r="BU5" s="20"/>
      <c r="BV5" s="20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930</v>
      </c>
      <c r="DG5" s="1" t="s">
        <v>930</v>
      </c>
    </row>
    <row r="6" spans="1:111" ht="12" customHeight="1" x14ac:dyDescent="0.75">
      <c r="A6" s="14" t="s">
        <v>111</v>
      </c>
      <c r="B6" s="14" t="s">
        <v>0</v>
      </c>
      <c r="C6" s="14" t="s">
        <v>110</v>
      </c>
      <c r="D6" t="s">
        <v>155</v>
      </c>
      <c r="E6" s="25" t="s">
        <v>931</v>
      </c>
      <c r="F6" t="s">
        <v>155</v>
      </c>
      <c r="G6" s="25" t="s">
        <v>932</v>
      </c>
      <c r="H6" s="15" t="s">
        <v>44</v>
      </c>
      <c r="I6"/>
      <c r="J6"/>
      <c r="K6"/>
      <c r="L6"/>
      <c r="M6"/>
      <c r="N6"/>
      <c r="O6"/>
      <c r="P6"/>
      <c r="Q6"/>
      <c r="R6"/>
      <c r="S6"/>
      <c r="T6"/>
      <c r="U6">
        <v>255</v>
      </c>
      <c r="V6" s="16">
        <v>71</v>
      </c>
      <c r="W6" t="s">
        <v>64</v>
      </c>
      <c r="X6" t="s">
        <v>64</v>
      </c>
      <c r="Y6" s="19" t="s">
        <v>330</v>
      </c>
      <c r="Z6" t="s">
        <v>284</v>
      </c>
      <c r="AA6" t="s">
        <v>284</v>
      </c>
      <c r="AB6" s="20" t="s">
        <v>335</v>
      </c>
      <c r="AC6" s="20" t="s">
        <v>402</v>
      </c>
      <c r="AD6" s="20" t="s">
        <v>335</v>
      </c>
      <c r="AE6" s="20">
        <v>463235</v>
      </c>
      <c r="AF6" s="20" t="s">
        <v>407</v>
      </c>
      <c r="AG6"/>
      <c r="AH6"/>
      <c r="AI6"/>
      <c r="AJ6" s="16" t="s">
        <v>192</v>
      </c>
      <c r="AK6"/>
      <c r="AL6" s="16">
        <v>3639</v>
      </c>
      <c r="AM6" s="16" t="s">
        <v>268</v>
      </c>
      <c r="AN6"/>
      <c r="AO6" s="23" t="s">
        <v>474</v>
      </c>
      <c r="AP6"/>
      <c r="AQ6"/>
      <c r="AR6" s="20" t="s">
        <v>483</v>
      </c>
      <c r="AS6" s="20" t="s">
        <v>578</v>
      </c>
      <c r="AT6" s="20" t="s">
        <v>578</v>
      </c>
      <c r="AU6" s="20" t="s">
        <v>579</v>
      </c>
      <c r="AV6" s="20" t="s">
        <v>580</v>
      </c>
      <c r="AW6" s="24">
        <f t="shared" si="0"/>
        <v>59</v>
      </c>
      <c r="AX6" s="20" t="s">
        <v>552</v>
      </c>
      <c r="AY6" s="20" t="s">
        <v>553</v>
      </c>
      <c r="AZ6" s="20" t="s">
        <v>554</v>
      </c>
      <c r="BA6" s="20" t="s">
        <v>564</v>
      </c>
      <c r="BB6" s="20"/>
      <c r="BC6" s="20" t="s">
        <v>556</v>
      </c>
      <c r="BD6" s="20"/>
      <c r="BE6" s="20"/>
      <c r="BF6" s="20"/>
      <c r="BG6" s="20"/>
      <c r="BH6" s="20" t="s">
        <v>576</v>
      </c>
      <c r="BI6" s="20"/>
      <c r="BJ6" s="20"/>
      <c r="BK6" s="20"/>
      <c r="BL6" s="20" t="s">
        <v>558</v>
      </c>
      <c r="BM6" s="20"/>
      <c r="BN6" s="20" t="s">
        <v>559</v>
      </c>
      <c r="BO6" s="20"/>
      <c r="BP6" s="20"/>
      <c r="BQ6" s="20" t="s">
        <v>581</v>
      </c>
      <c r="BR6" s="20"/>
      <c r="BS6" s="20"/>
      <c r="BT6" s="20"/>
      <c r="BU6" s="20"/>
      <c r="BV6" s="20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930</v>
      </c>
      <c r="DG6" s="1" t="s">
        <v>930</v>
      </c>
    </row>
    <row r="7" spans="1:111" ht="12" customHeight="1" x14ac:dyDescent="0.75">
      <c r="A7" s="14" t="s">
        <v>111</v>
      </c>
      <c r="B7" s="14" t="s">
        <v>0</v>
      </c>
      <c r="C7" s="14" t="s">
        <v>110</v>
      </c>
      <c r="D7" t="s">
        <v>155</v>
      </c>
      <c r="E7" s="25" t="s">
        <v>931</v>
      </c>
      <c r="F7" t="s">
        <v>155</v>
      </c>
      <c r="G7" s="25" t="s">
        <v>932</v>
      </c>
      <c r="H7" s="15" t="s">
        <v>44</v>
      </c>
      <c r="I7"/>
      <c r="J7"/>
      <c r="K7"/>
      <c r="L7"/>
      <c r="M7"/>
      <c r="N7"/>
      <c r="O7"/>
      <c r="P7"/>
      <c r="Q7"/>
      <c r="R7"/>
      <c r="S7"/>
      <c r="T7"/>
      <c r="U7">
        <v>256</v>
      </c>
      <c r="V7" s="16">
        <v>72</v>
      </c>
      <c r="W7" t="s">
        <v>64</v>
      </c>
      <c r="X7" t="s">
        <v>64</v>
      </c>
      <c r="Y7" s="19" t="s">
        <v>330</v>
      </c>
      <c r="Z7" t="s">
        <v>69</v>
      </c>
      <c r="AA7" t="s">
        <v>69</v>
      </c>
      <c r="AB7" s="20" t="s">
        <v>336</v>
      </c>
      <c r="AC7" s="20" t="s">
        <v>402</v>
      </c>
      <c r="AD7" s="20" t="s">
        <v>336</v>
      </c>
      <c r="AE7" s="20">
        <v>463236</v>
      </c>
      <c r="AF7" s="20" t="s">
        <v>408</v>
      </c>
      <c r="AG7"/>
      <c r="AH7"/>
      <c r="AI7"/>
      <c r="AJ7" s="16" t="s">
        <v>45</v>
      </c>
      <c r="AK7"/>
      <c r="AL7" s="16">
        <v>3639</v>
      </c>
      <c r="AM7" s="16" t="s">
        <v>289</v>
      </c>
      <c r="AN7"/>
      <c r="AO7" s="23" t="s">
        <v>474</v>
      </c>
      <c r="AP7"/>
      <c r="AQ7"/>
      <c r="AR7" s="20" t="s">
        <v>484</v>
      </c>
      <c r="AS7" s="20" t="s">
        <v>582</v>
      </c>
      <c r="AT7" s="20" t="s">
        <v>582</v>
      </c>
      <c r="AU7" s="20" t="s">
        <v>583</v>
      </c>
      <c r="AV7" s="20" t="s">
        <v>584</v>
      </c>
      <c r="AW7" s="24">
        <f t="shared" si="0"/>
        <v>60</v>
      </c>
      <c r="AX7" s="20" t="s">
        <v>552</v>
      </c>
      <c r="AY7" s="20" t="s">
        <v>553</v>
      </c>
      <c r="AZ7" s="20" t="s">
        <v>554</v>
      </c>
      <c r="BA7" s="20" t="s">
        <v>585</v>
      </c>
      <c r="BB7" s="20"/>
      <c r="BC7" s="20" t="s">
        <v>556</v>
      </c>
      <c r="BD7" s="20"/>
      <c r="BE7" s="20"/>
      <c r="BF7" s="20"/>
      <c r="BG7" s="20"/>
      <c r="BH7" s="20" t="s">
        <v>557</v>
      </c>
      <c r="BI7" s="20"/>
      <c r="BJ7" s="20"/>
      <c r="BK7" s="20"/>
      <c r="BL7" s="20" t="s">
        <v>558</v>
      </c>
      <c r="BM7" s="20"/>
      <c r="BN7" s="20" t="s">
        <v>559</v>
      </c>
      <c r="BO7" s="20"/>
      <c r="BP7" s="20"/>
      <c r="BQ7" s="20" t="s">
        <v>586</v>
      </c>
      <c r="BR7" s="20"/>
      <c r="BS7" s="20"/>
      <c r="BT7" s="20"/>
      <c r="BU7" s="20"/>
      <c r="BV7" s="20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930</v>
      </c>
      <c r="DG7" s="1" t="s">
        <v>930</v>
      </c>
    </row>
    <row r="8" spans="1:111" ht="12" customHeight="1" x14ac:dyDescent="0.75">
      <c r="A8" s="14" t="s">
        <v>111</v>
      </c>
      <c r="B8" s="14" t="s">
        <v>0</v>
      </c>
      <c r="C8" s="14" t="s">
        <v>110</v>
      </c>
      <c r="D8" t="s">
        <v>155</v>
      </c>
      <c r="E8" s="25" t="s">
        <v>931</v>
      </c>
      <c r="F8" t="s">
        <v>155</v>
      </c>
      <c r="G8" s="25" t="s">
        <v>932</v>
      </c>
      <c r="H8" s="15" t="s">
        <v>44</v>
      </c>
      <c r="I8"/>
      <c r="J8"/>
      <c r="K8"/>
      <c r="L8"/>
      <c r="M8"/>
      <c r="N8"/>
      <c r="O8"/>
      <c r="P8"/>
      <c r="Q8"/>
      <c r="R8"/>
      <c r="S8"/>
      <c r="T8"/>
      <c r="U8">
        <v>257</v>
      </c>
      <c r="V8" s="16">
        <v>73</v>
      </c>
      <c r="W8" t="s">
        <v>64</v>
      </c>
      <c r="X8" t="s">
        <v>64</v>
      </c>
      <c r="Y8" s="19" t="s">
        <v>330</v>
      </c>
      <c r="Z8" t="s">
        <v>139</v>
      </c>
      <c r="AA8" t="s">
        <v>139</v>
      </c>
      <c r="AB8" s="20" t="s">
        <v>337</v>
      </c>
      <c r="AC8" s="20" t="s">
        <v>402</v>
      </c>
      <c r="AD8" s="20" t="s">
        <v>337</v>
      </c>
      <c r="AE8" s="20">
        <v>463237</v>
      </c>
      <c r="AF8" s="20" t="s">
        <v>409</v>
      </c>
      <c r="AG8"/>
      <c r="AH8"/>
      <c r="AI8"/>
      <c r="AJ8" s="16" t="s">
        <v>275</v>
      </c>
      <c r="AK8"/>
      <c r="AL8" s="16">
        <v>3639</v>
      </c>
      <c r="AM8" s="16" t="s">
        <v>253</v>
      </c>
      <c r="AN8"/>
      <c r="AO8" s="23" t="s">
        <v>474</v>
      </c>
      <c r="AP8"/>
      <c r="AQ8"/>
      <c r="AR8" s="20" t="s">
        <v>485</v>
      </c>
      <c r="AS8" s="20" t="s">
        <v>587</v>
      </c>
      <c r="AT8" s="20" t="s">
        <v>587</v>
      </c>
      <c r="AU8" s="20" t="s">
        <v>588</v>
      </c>
      <c r="AV8" s="20" t="s">
        <v>589</v>
      </c>
      <c r="AW8" s="24">
        <f t="shared" si="0"/>
        <v>60</v>
      </c>
      <c r="AX8" s="20" t="s">
        <v>552</v>
      </c>
      <c r="AY8" s="20" t="s">
        <v>553</v>
      </c>
      <c r="AZ8" s="20" t="s">
        <v>554</v>
      </c>
      <c r="BA8" s="20" t="s">
        <v>590</v>
      </c>
      <c r="BB8" s="20"/>
      <c r="BC8" s="20" t="s">
        <v>556</v>
      </c>
      <c r="BD8" s="20"/>
      <c r="BE8" s="20"/>
      <c r="BF8" s="20"/>
      <c r="BG8" s="20"/>
      <c r="BH8" s="20" t="s">
        <v>557</v>
      </c>
      <c r="BI8" s="20"/>
      <c r="BJ8" s="20"/>
      <c r="BK8" s="20"/>
      <c r="BL8" s="20" t="s">
        <v>558</v>
      </c>
      <c r="BM8" s="20"/>
      <c r="BN8" s="20" t="s">
        <v>559</v>
      </c>
      <c r="BO8" s="20"/>
      <c r="BP8" s="20"/>
      <c r="BQ8" s="20" t="s">
        <v>591</v>
      </c>
      <c r="BR8" s="20"/>
      <c r="BS8" s="20"/>
      <c r="BT8" s="20"/>
      <c r="BU8" s="20"/>
      <c r="BV8" s="20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930</v>
      </c>
      <c r="DG8" s="1" t="s">
        <v>930</v>
      </c>
    </row>
    <row r="9" spans="1:111" ht="12" customHeight="1" x14ac:dyDescent="0.75">
      <c r="A9" s="14" t="s">
        <v>111</v>
      </c>
      <c r="B9" s="14" t="s">
        <v>0</v>
      </c>
      <c r="C9" s="14" t="s">
        <v>110</v>
      </c>
      <c r="D9" t="s">
        <v>155</v>
      </c>
      <c r="E9" s="25" t="s">
        <v>931</v>
      </c>
      <c r="F9" t="s">
        <v>155</v>
      </c>
      <c r="G9" s="25" t="s">
        <v>932</v>
      </c>
      <c r="H9" s="15" t="s">
        <v>44</v>
      </c>
      <c r="I9"/>
      <c r="J9"/>
      <c r="K9"/>
      <c r="L9"/>
      <c r="M9"/>
      <c r="N9"/>
      <c r="O9"/>
      <c r="P9"/>
      <c r="Q9"/>
      <c r="R9"/>
      <c r="S9"/>
      <c r="T9"/>
      <c r="U9">
        <v>258</v>
      </c>
      <c r="V9" s="16">
        <v>74</v>
      </c>
      <c r="W9" t="s">
        <v>64</v>
      </c>
      <c r="X9" t="s">
        <v>64</v>
      </c>
      <c r="Y9" s="19" t="s">
        <v>330</v>
      </c>
      <c r="Z9" t="s">
        <v>156</v>
      </c>
      <c r="AA9" t="s">
        <v>156</v>
      </c>
      <c r="AB9" s="20" t="s">
        <v>338</v>
      </c>
      <c r="AC9" s="20" t="s">
        <v>402</v>
      </c>
      <c r="AD9" s="20" t="s">
        <v>338</v>
      </c>
      <c r="AE9" s="20">
        <v>463411</v>
      </c>
      <c r="AF9" s="20" t="s">
        <v>410</v>
      </c>
      <c r="AG9"/>
      <c r="AH9"/>
      <c r="AI9"/>
      <c r="AJ9" s="16" t="s">
        <v>16</v>
      </c>
      <c r="AK9"/>
      <c r="AL9" s="16">
        <v>3639</v>
      </c>
      <c r="AM9" s="16" t="s">
        <v>210</v>
      </c>
      <c r="AN9"/>
      <c r="AO9" s="23" t="s">
        <v>474</v>
      </c>
      <c r="AP9"/>
      <c r="AQ9"/>
      <c r="AR9" s="20" t="s">
        <v>486</v>
      </c>
      <c r="AS9" s="20" t="s">
        <v>592</v>
      </c>
      <c r="AT9" s="20" t="s">
        <v>592</v>
      </c>
      <c r="AU9" s="20" t="s">
        <v>593</v>
      </c>
      <c r="AV9" s="20" t="s">
        <v>594</v>
      </c>
      <c r="AW9" s="24">
        <f t="shared" si="0"/>
        <v>55</v>
      </c>
      <c r="AX9" s="20" t="s">
        <v>552</v>
      </c>
      <c r="AY9" s="20" t="s">
        <v>553</v>
      </c>
      <c r="AZ9" s="20" t="s">
        <v>554</v>
      </c>
      <c r="BA9" s="20" t="s">
        <v>575</v>
      </c>
      <c r="BB9" s="20"/>
      <c r="BC9" s="20" t="s">
        <v>595</v>
      </c>
      <c r="BD9" s="20" t="s">
        <v>596</v>
      </c>
      <c r="BE9" s="20"/>
      <c r="BF9" s="20"/>
      <c r="BG9" s="20"/>
      <c r="BH9" s="20" t="s">
        <v>597</v>
      </c>
      <c r="BI9" s="20"/>
      <c r="BJ9" s="20"/>
      <c r="BK9" s="20"/>
      <c r="BL9" s="20" t="s">
        <v>558</v>
      </c>
      <c r="BM9" s="20"/>
      <c r="BN9" s="20" t="s">
        <v>559</v>
      </c>
      <c r="BO9" s="20"/>
      <c r="BP9" s="20"/>
      <c r="BQ9" s="20" t="s">
        <v>598</v>
      </c>
      <c r="BR9" s="20"/>
      <c r="BS9" s="20"/>
      <c r="BT9" s="20"/>
      <c r="BU9" s="20"/>
      <c r="BV9" s="20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930</v>
      </c>
      <c r="DG9" s="1" t="s">
        <v>930</v>
      </c>
    </row>
    <row r="10" spans="1:111" ht="12" customHeight="1" x14ac:dyDescent="0.75">
      <c r="A10" s="14" t="s">
        <v>111</v>
      </c>
      <c r="B10" s="14" t="s">
        <v>0</v>
      </c>
      <c r="C10" s="14" t="s">
        <v>110</v>
      </c>
      <c r="D10" t="s">
        <v>155</v>
      </c>
      <c r="E10" s="25" t="s">
        <v>931</v>
      </c>
      <c r="F10" t="s">
        <v>155</v>
      </c>
      <c r="G10" s="25" t="s">
        <v>932</v>
      </c>
      <c r="H10" s="15" t="s">
        <v>44</v>
      </c>
      <c r="I10"/>
      <c r="J10"/>
      <c r="K10"/>
      <c r="L10"/>
      <c r="M10"/>
      <c r="N10"/>
      <c r="O10"/>
      <c r="P10"/>
      <c r="Q10"/>
      <c r="R10"/>
      <c r="S10"/>
      <c r="T10"/>
      <c r="U10">
        <v>259</v>
      </c>
      <c r="V10" s="16">
        <v>75</v>
      </c>
      <c r="W10" t="s">
        <v>64</v>
      </c>
      <c r="X10" t="s">
        <v>64</v>
      </c>
      <c r="Y10" s="19" t="s">
        <v>330</v>
      </c>
      <c r="Z10" t="s">
        <v>62</v>
      </c>
      <c r="AA10" t="s">
        <v>62</v>
      </c>
      <c r="AB10" s="20" t="s">
        <v>339</v>
      </c>
      <c r="AC10" s="20" t="s">
        <v>402</v>
      </c>
      <c r="AD10" s="20" t="s">
        <v>339</v>
      </c>
      <c r="AE10" s="20">
        <v>463412</v>
      </c>
      <c r="AF10" s="20" t="s">
        <v>411</v>
      </c>
      <c r="AG10"/>
      <c r="AH10"/>
      <c r="AI10"/>
      <c r="AJ10" s="16" t="s">
        <v>236</v>
      </c>
      <c r="AK10"/>
      <c r="AL10" s="16">
        <v>3639</v>
      </c>
      <c r="AM10" s="16" t="s">
        <v>140</v>
      </c>
      <c r="AN10"/>
      <c r="AO10" s="23" t="s">
        <v>474</v>
      </c>
      <c r="AP10"/>
      <c r="AQ10"/>
      <c r="AR10" s="20" t="s">
        <v>487</v>
      </c>
      <c r="AS10" s="20" t="s">
        <v>599</v>
      </c>
      <c r="AT10" s="20" t="s">
        <v>599</v>
      </c>
      <c r="AU10" s="20" t="s">
        <v>600</v>
      </c>
      <c r="AV10" s="20" t="s">
        <v>601</v>
      </c>
      <c r="AW10" s="24">
        <f t="shared" si="0"/>
        <v>57</v>
      </c>
      <c r="AX10" s="20" t="s">
        <v>552</v>
      </c>
      <c r="AY10" s="20" t="s">
        <v>553</v>
      </c>
      <c r="AZ10" s="20" t="s">
        <v>554</v>
      </c>
      <c r="BA10" s="20" t="s">
        <v>564</v>
      </c>
      <c r="BB10" s="20"/>
      <c r="BC10" s="20" t="s">
        <v>595</v>
      </c>
      <c r="BD10" s="20" t="s">
        <v>596</v>
      </c>
      <c r="BE10" s="20"/>
      <c r="BF10" s="20"/>
      <c r="BG10" s="20"/>
      <c r="BH10" s="20" t="s">
        <v>597</v>
      </c>
      <c r="BI10" s="20"/>
      <c r="BJ10" s="20"/>
      <c r="BK10" s="20"/>
      <c r="BL10" s="20" t="s">
        <v>558</v>
      </c>
      <c r="BM10" s="20"/>
      <c r="BN10" s="20" t="s">
        <v>559</v>
      </c>
      <c r="BO10" s="20"/>
      <c r="BP10" s="20"/>
      <c r="BQ10" s="20" t="s">
        <v>602</v>
      </c>
      <c r="BR10" s="20"/>
      <c r="BS10" s="20"/>
      <c r="BT10" s="20"/>
      <c r="BU10" s="20"/>
      <c r="BV10" s="2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930</v>
      </c>
      <c r="DG10" s="1" t="s">
        <v>930</v>
      </c>
    </row>
    <row r="11" spans="1:111" ht="12" customHeight="1" x14ac:dyDescent="0.75">
      <c r="A11" s="14" t="s">
        <v>111</v>
      </c>
      <c r="B11" s="14" t="s">
        <v>0</v>
      </c>
      <c r="C11" s="14" t="s">
        <v>110</v>
      </c>
      <c r="D11" t="s">
        <v>155</v>
      </c>
      <c r="E11" s="25" t="s">
        <v>931</v>
      </c>
      <c r="F11" t="s">
        <v>155</v>
      </c>
      <c r="G11" s="25" t="s">
        <v>932</v>
      </c>
      <c r="H11" s="15" t="s">
        <v>44</v>
      </c>
      <c r="I11"/>
      <c r="J11"/>
      <c r="K11"/>
      <c r="L11"/>
      <c r="M11"/>
      <c r="N11"/>
      <c r="O11"/>
      <c r="P11"/>
      <c r="Q11"/>
      <c r="R11"/>
      <c r="S11"/>
      <c r="T11"/>
      <c r="U11">
        <v>260</v>
      </c>
      <c r="V11" s="16">
        <v>76</v>
      </c>
      <c r="W11" t="s">
        <v>64</v>
      </c>
      <c r="X11" t="s">
        <v>64</v>
      </c>
      <c r="Y11" s="19" t="s">
        <v>330</v>
      </c>
      <c r="Z11" t="s">
        <v>314</v>
      </c>
      <c r="AA11" t="s">
        <v>314</v>
      </c>
      <c r="AB11" s="20" t="s">
        <v>340</v>
      </c>
      <c r="AC11" s="20" t="s">
        <v>402</v>
      </c>
      <c r="AD11" s="20" t="s">
        <v>340</v>
      </c>
      <c r="AE11" s="20">
        <v>463413</v>
      </c>
      <c r="AF11" s="20" t="s">
        <v>412</v>
      </c>
      <c r="AG11"/>
      <c r="AH11"/>
      <c r="AI11"/>
      <c r="AJ11" s="16" t="s">
        <v>142</v>
      </c>
      <c r="AK11"/>
      <c r="AL11" s="16">
        <v>3639</v>
      </c>
      <c r="AM11" s="16" t="s">
        <v>303</v>
      </c>
      <c r="AN11"/>
      <c r="AO11" s="23" t="s">
        <v>474</v>
      </c>
      <c r="AP11"/>
      <c r="AQ11"/>
      <c r="AR11" s="20" t="s">
        <v>488</v>
      </c>
      <c r="AS11" s="20" t="s">
        <v>603</v>
      </c>
      <c r="AT11" s="20" t="s">
        <v>603</v>
      </c>
      <c r="AU11" s="20" t="s">
        <v>604</v>
      </c>
      <c r="AV11" s="20" t="s">
        <v>605</v>
      </c>
      <c r="AW11" s="24">
        <f t="shared" si="0"/>
        <v>56</v>
      </c>
      <c r="AX11" s="20" t="s">
        <v>552</v>
      </c>
      <c r="AY11" s="20" t="s">
        <v>553</v>
      </c>
      <c r="AZ11" s="20" t="s">
        <v>554</v>
      </c>
      <c r="BA11" s="20" t="s">
        <v>570</v>
      </c>
      <c r="BB11" s="20"/>
      <c r="BC11" s="20" t="s">
        <v>595</v>
      </c>
      <c r="BD11" s="20" t="s">
        <v>596</v>
      </c>
      <c r="BE11" s="20"/>
      <c r="BF11" s="20"/>
      <c r="BG11" s="20"/>
      <c r="BH11" s="20" t="s">
        <v>597</v>
      </c>
      <c r="BI11" s="20"/>
      <c r="BJ11" s="20"/>
      <c r="BK11" s="20"/>
      <c r="BL11" s="20" t="s">
        <v>558</v>
      </c>
      <c r="BM11" s="20"/>
      <c r="BN11" s="20" t="s">
        <v>559</v>
      </c>
      <c r="BO11" s="20"/>
      <c r="BP11" s="20"/>
      <c r="BQ11" s="20" t="s">
        <v>606</v>
      </c>
      <c r="BR11" s="20"/>
      <c r="BS11" s="20"/>
      <c r="BT11" s="20"/>
      <c r="BU11" s="20"/>
      <c r="BV11" s="20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930</v>
      </c>
      <c r="DG11" s="1" t="s">
        <v>930</v>
      </c>
    </row>
    <row r="12" spans="1:111" ht="12" customHeight="1" x14ac:dyDescent="0.75">
      <c r="A12" s="14" t="s">
        <v>111</v>
      </c>
      <c r="B12" s="14" t="s">
        <v>0</v>
      </c>
      <c r="C12" s="14" t="s">
        <v>110</v>
      </c>
      <c r="D12" t="s">
        <v>155</v>
      </c>
      <c r="E12" s="25" t="s">
        <v>931</v>
      </c>
      <c r="F12" t="s">
        <v>155</v>
      </c>
      <c r="G12" s="25" t="s">
        <v>932</v>
      </c>
      <c r="H12" s="15" t="s">
        <v>44</v>
      </c>
      <c r="I12"/>
      <c r="J12"/>
      <c r="K12"/>
      <c r="L12"/>
      <c r="M12"/>
      <c r="N12"/>
      <c r="O12"/>
      <c r="P12"/>
      <c r="Q12"/>
      <c r="R12"/>
      <c r="S12"/>
      <c r="T12"/>
      <c r="U12">
        <v>261</v>
      </c>
      <c r="V12" s="16">
        <v>77</v>
      </c>
      <c r="W12" t="s">
        <v>64</v>
      </c>
      <c r="X12" t="s">
        <v>64</v>
      </c>
      <c r="Y12" s="19" t="s">
        <v>330</v>
      </c>
      <c r="Z12" t="s">
        <v>261</v>
      </c>
      <c r="AA12" t="s">
        <v>261</v>
      </c>
      <c r="AB12" s="20" t="s">
        <v>341</v>
      </c>
      <c r="AC12" s="20" t="s">
        <v>402</v>
      </c>
      <c r="AD12" s="20" t="s">
        <v>341</v>
      </c>
      <c r="AE12" s="20">
        <v>463414</v>
      </c>
      <c r="AF12" s="20" t="s">
        <v>413</v>
      </c>
      <c r="AG12"/>
      <c r="AH12"/>
      <c r="AI12"/>
      <c r="AJ12" s="16" t="s">
        <v>177</v>
      </c>
      <c r="AK12"/>
      <c r="AL12" s="16">
        <v>3639</v>
      </c>
      <c r="AM12" s="16" t="s">
        <v>121</v>
      </c>
      <c r="AN12"/>
      <c r="AO12" s="23" t="s">
        <v>474</v>
      </c>
      <c r="AP12"/>
      <c r="AQ12"/>
      <c r="AR12" s="20" t="s">
        <v>489</v>
      </c>
      <c r="AS12" s="20" t="s">
        <v>607</v>
      </c>
      <c r="AT12" s="20" t="s">
        <v>607</v>
      </c>
      <c r="AU12" s="20" t="s">
        <v>608</v>
      </c>
      <c r="AV12" s="20" t="s">
        <v>609</v>
      </c>
      <c r="AW12" s="24">
        <f t="shared" si="0"/>
        <v>58</v>
      </c>
      <c r="AX12" s="20" t="s">
        <v>552</v>
      </c>
      <c r="AY12" s="20" t="s">
        <v>553</v>
      </c>
      <c r="AZ12" s="20" t="s">
        <v>554</v>
      </c>
      <c r="BA12" s="20" t="s">
        <v>610</v>
      </c>
      <c r="BB12" s="20"/>
      <c r="BC12" s="20" t="s">
        <v>595</v>
      </c>
      <c r="BD12" s="20" t="s">
        <v>596</v>
      </c>
      <c r="BE12" s="20"/>
      <c r="BF12" s="20"/>
      <c r="BG12" s="20"/>
      <c r="BH12" s="20" t="s">
        <v>597</v>
      </c>
      <c r="BI12" s="20"/>
      <c r="BJ12" s="20"/>
      <c r="BK12" s="20"/>
      <c r="BL12" s="20" t="s">
        <v>558</v>
      </c>
      <c r="BM12" s="20"/>
      <c r="BN12" s="20" t="s">
        <v>559</v>
      </c>
      <c r="BO12" s="20"/>
      <c r="BP12" s="20"/>
      <c r="BQ12" s="20" t="s">
        <v>611</v>
      </c>
      <c r="BR12" s="20"/>
      <c r="BS12" s="20"/>
      <c r="BT12" s="20"/>
      <c r="BU12" s="20"/>
      <c r="BV12" s="20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930</v>
      </c>
      <c r="DG12" s="1" t="s">
        <v>930</v>
      </c>
    </row>
    <row r="13" spans="1:111" ht="12" customHeight="1" x14ac:dyDescent="0.75">
      <c r="A13" s="14" t="s">
        <v>111</v>
      </c>
      <c r="B13" s="14" t="s">
        <v>0</v>
      </c>
      <c r="C13" s="14" t="s">
        <v>110</v>
      </c>
      <c r="D13" t="s">
        <v>155</v>
      </c>
      <c r="E13" s="25" t="s">
        <v>931</v>
      </c>
      <c r="F13" t="s">
        <v>155</v>
      </c>
      <c r="G13" s="25" t="s">
        <v>932</v>
      </c>
      <c r="H13" s="15" t="s">
        <v>44</v>
      </c>
      <c r="I13"/>
      <c r="J13"/>
      <c r="K13"/>
      <c r="L13"/>
      <c r="M13"/>
      <c r="N13"/>
      <c r="O13"/>
      <c r="P13"/>
      <c r="Q13"/>
      <c r="R13"/>
      <c r="S13"/>
      <c r="T13"/>
      <c r="U13">
        <v>262</v>
      </c>
      <c r="V13" s="16">
        <v>78</v>
      </c>
      <c r="W13" t="s">
        <v>64</v>
      </c>
      <c r="X13" t="s">
        <v>64</v>
      </c>
      <c r="Y13" s="19" t="s">
        <v>330</v>
      </c>
      <c r="Z13" t="s">
        <v>311</v>
      </c>
      <c r="AA13" t="s">
        <v>311</v>
      </c>
      <c r="AB13" s="20" t="s">
        <v>342</v>
      </c>
      <c r="AC13" s="20" t="s">
        <v>402</v>
      </c>
      <c r="AD13" s="20" t="s">
        <v>342</v>
      </c>
      <c r="AE13" s="20">
        <v>463415</v>
      </c>
      <c r="AF13" s="20" t="s">
        <v>414</v>
      </c>
      <c r="AG13"/>
      <c r="AH13"/>
      <c r="AI13"/>
      <c r="AJ13" s="16" t="s">
        <v>66</v>
      </c>
      <c r="AK13"/>
      <c r="AL13" s="16">
        <v>3639</v>
      </c>
      <c r="AM13" s="16" t="s">
        <v>164</v>
      </c>
      <c r="AN13"/>
      <c r="AO13" s="23" t="s">
        <v>474</v>
      </c>
      <c r="AP13"/>
      <c r="AQ13"/>
      <c r="AR13" s="20" t="s">
        <v>490</v>
      </c>
      <c r="AS13" s="20" t="s">
        <v>612</v>
      </c>
      <c r="AT13" s="20" t="s">
        <v>612</v>
      </c>
      <c r="AU13" s="20" t="s">
        <v>613</v>
      </c>
      <c r="AV13" s="20" t="s">
        <v>614</v>
      </c>
      <c r="AW13" s="24">
        <f t="shared" si="0"/>
        <v>58</v>
      </c>
      <c r="AX13" s="20" t="s">
        <v>552</v>
      </c>
      <c r="AY13" s="20" t="s">
        <v>553</v>
      </c>
      <c r="AZ13" s="20" t="s">
        <v>554</v>
      </c>
      <c r="BA13" s="20" t="s">
        <v>555</v>
      </c>
      <c r="BB13" s="20"/>
      <c r="BC13" s="20" t="s">
        <v>595</v>
      </c>
      <c r="BD13" s="20" t="s">
        <v>596</v>
      </c>
      <c r="BE13" s="20"/>
      <c r="BF13" s="20"/>
      <c r="BG13" s="20"/>
      <c r="BH13" s="20" t="s">
        <v>597</v>
      </c>
      <c r="BI13" s="20"/>
      <c r="BJ13" s="20"/>
      <c r="BK13" s="20"/>
      <c r="BL13" s="20" t="s">
        <v>558</v>
      </c>
      <c r="BM13" s="20"/>
      <c r="BN13" s="20" t="s">
        <v>559</v>
      </c>
      <c r="BO13" s="20"/>
      <c r="BP13" s="20"/>
      <c r="BQ13" s="20" t="s">
        <v>615</v>
      </c>
      <c r="BR13" s="20"/>
      <c r="BS13" s="20"/>
      <c r="BT13" s="20"/>
      <c r="BU13" s="20"/>
      <c r="BV13" s="20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930</v>
      </c>
      <c r="DG13" s="1" t="s">
        <v>930</v>
      </c>
    </row>
    <row r="14" spans="1:111" ht="12" customHeight="1" x14ac:dyDescent="0.75">
      <c r="A14" s="14" t="s">
        <v>111</v>
      </c>
      <c r="B14" s="14" t="s">
        <v>0</v>
      </c>
      <c r="C14" s="14" t="s">
        <v>110</v>
      </c>
      <c r="D14" t="s">
        <v>155</v>
      </c>
      <c r="E14" s="25" t="s">
        <v>931</v>
      </c>
      <c r="F14" t="s">
        <v>155</v>
      </c>
      <c r="G14" s="25" t="s">
        <v>932</v>
      </c>
      <c r="H14" s="15" t="s">
        <v>44</v>
      </c>
      <c r="I14"/>
      <c r="J14"/>
      <c r="K14"/>
      <c r="L14"/>
      <c r="M14"/>
      <c r="N14"/>
      <c r="O14"/>
      <c r="P14"/>
      <c r="Q14"/>
      <c r="R14"/>
      <c r="S14"/>
      <c r="T14"/>
      <c r="U14">
        <v>263</v>
      </c>
      <c r="V14" s="16">
        <v>79</v>
      </c>
      <c r="W14" t="s">
        <v>64</v>
      </c>
      <c r="X14" t="s">
        <v>64</v>
      </c>
      <c r="Y14" s="19" t="s">
        <v>330</v>
      </c>
      <c r="Z14" t="s">
        <v>24</v>
      </c>
      <c r="AA14" t="s">
        <v>24</v>
      </c>
      <c r="AB14" s="20" t="s">
        <v>343</v>
      </c>
      <c r="AC14" s="20" t="s">
        <v>402</v>
      </c>
      <c r="AD14" s="20" t="s">
        <v>343</v>
      </c>
      <c r="AE14" s="20">
        <v>463416</v>
      </c>
      <c r="AF14" s="20" t="s">
        <v>415</v>
      </c>
      <c r="AG14"/>
      <c r="AH14"/>
      <c r="AI14"/>
      <c r="AJ14" s="16" t="s">
        <v>114</v>
      </c>
      <c r="AK14"/>
      <c r="AL14" s="16">
        <v>3639</v>
      </c>
      <c r="AM14" s="16" t="s">
        <v>76</v>
      </c>
      <c r="AN14"/>
      <c r="AO14" s="23" t="s">
        <v>474</v>
      </c>
      <c r="AP14"/>
      <c r="AQ14"/>
      <c r="AR14" s="20" t="s">
        <v>491</v>
      </c>
      <c r="AS14" s="20" t="s">
        <v>616</v>
      </c>
      <c r="AT14" s="20" t="s">
        <v>616</v>
      </c>
      <c r="AU14" s="20" t="s">
        <v>617</v>
      </c>
      <c r="AV14" s="20" t="s">
        <v>618</v>
      </c>
      <c r="AW14" s="24">
        <f t="shared" si="0"/>
        <v>58</v>
      </c>
      <c r="AX14" s="20" t="s">
        <v>552</v>
      </c>
      <c r="AY14" s="20" t="s">
        <v>553</v>
      </c>
      <c r="AZ14" s="20" t="s">
        <v>554</v>
      </c>
      <c r="BA14" s="20" t="s">
        <v>585</v>
      </c>
      <c r="BB14" s="20"/>
      <c r="BC14" s="20" t="s">
        <v>595</v>
      </c>
      <c r="BD14" s="20" t="s">
        <v>596</v>
      </c>
      <c r="BE14" s="20"/>
      <c r="BF14" s="20"/>
      <c r="BG14" s="20"/>
      <c r="BH14" s="20" t="s">
        <v>597</v>
      </c>
      <c r="BI14" s="20"/>
      <c r="BJ14" s="20"/>
      <c r="BK14" s="20"/>
      <c r="BL14" s="20" t="s">
        <v>558</v>
      </c>
      <c r="BM14" s="20"/>
      <c r="BN14" s="20" t="s">
        <v>559</v>
      </c>
      <c r="BO14" s="20"/>
      <c r="BP14" s="20"/>
      <c r="BQ14" s="20" t="s">
        <v>619</v>
      </c>
      <c r="BR14" s="20"/>
      <c r="BS14" s="20"/>
      <c r="BT14" s="20"/>
      <c r="BU14" s="20"/>
      <c r="BV14" s="20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930</v>
      </c>
      <c r="DG14" s="1" t="s">
        <v>930</v>
      </c>
    </row>
    <row r="15" spans="1:111" ht="12" customHeight="1" x14ac:dyDescent="0.75">
      <c r="A15" s="14" t="s">
        <v>111</v>
      </c>
      <c r="B15" s="14" t="s">
        <v>0</v>
      </c>
      <c r="C15" s="14" t="s">
        <v>110</v>
      </c>
      <c r="D15" t="s">
        <v>155</v>
      </c>
      <c r="E15" s="25" t="s">
        <v>931</v>
      </c>
      <c r="F15" t="s">
        <v>155</v>
      </c>
      <c r="G15" s="25" t="s">
        <v>932</v>
      </c>
      <c r="H15" s="15" t="s">
        <v>44</v>
      </c>
      <c r="I15"/>
      <c r="J15"/>
      <c r="K15"/>
      <c r="L15"/>
      <c r="M15"/>
      <c r="N15"/>
      <c r="O15"/>
      <c r="P15"/>
      <c r="Q15"/>
      <c r="R15"/>
      <c r="S15"/>
      <c r="T15"/>
      <c r="U15">
        <v>264</v>
      </c>
      <c r="V15" s="16">
        <v>80</v>
      </c>
      <c r="W15" t="s">
        <v>64</v>
      </c>
      <c r="X15" t="s">
        <v>64</v>
      </c>
      <c r="Y15" s="19" t="s">
        <v>330</v>
      </c>
      <c r="Z15" t="s">
        <v>185</v>
      </c>
      <c r="AA15" t="s">
        <v>185</v>
      </c>
      <c r="AB15" s="20" t="s">
        <v>344</v>
      </c>
      <c r="AC15" s="20" t="s">
        <v>402</v>
      </c>
      <c r="AD15" s="20" t="s">
        <v>344</v>
      </c>
      <c r="AE15" s="20">
        <v>463417</v>
      </c>
      <c r="AF15" s="20" t="s">
        <v>416</v>
      </c>
      <c r="AG15"/>
      <c r="AH15"/>
      <c r="AI15"/>
      <c r="AJ15" s="16" t="s">
        <v>319</v>
      </c>
      <c r="AK15"/>
      <c r="AL15" s="16">
        <v>3639</v>
      </c>
      <c r="AM15" s="16" t="s">
        <v>33</v>
      </c>
      <c r="AN15"/>
      <c r="AO15" s="23" t="s">
        <v>474</v>
      </c>
      <c r="AP15"/>
      <c r="AQ15"/>
      <c r="AR15" s="20" t="s">
        <v>492</v>
      </c>
      <c r="AS15" s="20" t="s">
        <v>620</v>
      </c>
      <c r="AT15" s="20" t="s">
        <v>620</v>
      </c>
      <c r="AU15" s="20" t="s">
        <v>621</v>
      </c>
      <c r="AV15" s="20" t="s">
        <v>622</v>
      </c>
      <c r="AW15" s="24">
        <f t="shared" si="0"/>
        <v>58</v>
      </c>
      <c r="AX15" s="20" t="s">
        <v>552</v>
      </c>
      <c r="AY15" s="20" t="s">
        <v>553</v>
      </c>
      <c r="AZ15" s="20" t="s">
        <v>554</v>
      </c>
      <c r="BA15" s="20" t="s">
        <v>590</v>
      </c>
      <c r="BB15" s="20"/>
      <c r="BC15" s="20" t="s">
        <v>595</v>
      </c>
      <c r="BD15" s="20" t="s">
        <v>596</v>
      </c>
      <c r="BE15" s="20"/>
      <c r="BF15" s="20"/>
      <c r="BG15" s="20"/>
      <c r="BH15" s="20" t="s">
        <v>597</v>
      </c>
      <c r="BI15" s="20"/>
      <c r="BJ15" s="20"/>
      <c r="BK15" s="20"/>
      <c r="BL15" s="20" t="s">
        <v>558</v>
      </c>
      <c r="BM15" s="20"/>
      <c r="BN15" s="20" t="s">
        <v>559</v>
      </c>
      <c r="BO15" s="20"/>
      <c r="BP15" s="20"/>
      <c r="BQ15" s="20" t="s">
        <v>623</v>
      </c>
      <c r="BR15" s="20"/>
      <c r="BS15" s="20"/>
      <c r="BT15" s="20"/>
      <c r="BU15" s="20"/>
      <c r="BV15" s="20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930</v>
      </c>
      <c r="DG15" s="1" t="s">
        <v>930</v>
      </c>
    </row>
    <row r="16" spans="1:111" ht="12" customHeight="1" x14ac:dyDescent="0.75">
      <c r="A16" s="14" t="s">
        <v>111</v>
      </c>
      <c r="B16" s="14" t="s">
        <v>0</v>
      </c>
      <c r="C16" s="14" t="s">
        <v>110</v>
      </c>
      <c r="D16" t="s">
        <v>155</v>
      </c>
      <c r="E16" s="25" t="s">
        <v>931</v>
      </c>
      <c r="F16" t="s">
        <v>155</v>
      </c>
      <c r="G16" s="25" t="s">
        <v>932</v>
      </c>
      <c r="H16" s="15" t="s">
        <v>44</v>
      </c>
      <c r="I16"/>
      <c r="J16"/>
      <c r="K16"/>
      <c r="L16"/>
      <c r="M16"/>
      <c r="N16"/>
      <c r="O16"/>
      <c r="P16"/>
      <c r="Q16"/>
      <c r="R16"/>
      <c r="S16"/>
      <c r="T16"/>
      <c r="U16">
        <v>265</v>
      </c>
      <c r="V16" s="16">
        <v>81</v>
      </c>
      <c r="W16" t="s">
        <v>64</v>
      </c>
      <c r="X16" t="s">
        <v>64</v>
      </c>
      <c r="Y16" s="19" t="s">
        <v>330</v>
      </c>
      <c r="Z16" t="s">
        <v>49</v>
      </c>
      <c r="AA16" t="s">
        <v>49</v>
      </c>
      <c r="AB16" s="20" t="s">
        <v>345</v>
      </c>
      <c r="AC16" s="20" t="s">
        <v>402</v>
      </c>
      <c r="AD16" s="20" t="s">
        <v>345</v>
      </c>
      <c r="AE16" s="20">
        <v>463418</v>
      </c>
      <c r="AF16" s="20" t="s">
        <v>417</v>
      </c>
      <c r="AG16"/>
      <c r="AH16"/>
      <c r="AI16"/>
      <c r="AJ16" s="16" t="s">
        <v>151</v>
      </c>
      <c r="AK16"/>
      <c r="AL16" s="16">
        <v>3639</v>
      </c>
      <c r="AM16" s="16" t="s">
        <v>6</v>
      </c>
      <c r="AN16"/>
      <c r="AO16" s="23" t="s">
        <v>474</v>
      </c>
      <c r="AP16"/>
      <c r="AQ16"/>
      <c r="AR16" s="20" t="s">
        <v>493</v>
      </c>
      <c r="AS16" s="20" t="s">
        <v>624</v>
      </c>
      <c r="AT16" s="20" t="s">
        <v>624</v>
      </c>
      <c r="AU16" s="20" t="s">
        <v>625</v>
      </c>
      <c r="AV16" s="20" t="s">
        <v>626</v>
      </c>
      <c r="AW16" s="24">
        <f t="shared" si="0"/>
        <v>58</v>
      </c>
      <c r="AX16" s="20" t="s">
        <v>552</v>
      </c>
      <c r="AY16" s="20" t="s">
        <v>553</v>
      </c>
      <c r="AZ16" s="20" t="s">
        <v>554</v>
      </c>
      <c r="BA16" s="20" t="s">
        <v>575</v>
      </c>
      <c r="BB16" s="20"/>
      <c r="BC16" s="20" t="s">
        <v>595</v>
      </c>
      <c r="BD16" s="20" t="s">
        <v>596</v>
      </c>
      <c r="BE16" s="20"/>
      <c r="BF16" s="20"/>
      <c r="BG16" s="20"/>
      <c r="BH16" s="20" t="s">
        <v>627</v>
      </c>
      <c r="BI16" s="20"/>
      <c r="BJ16" s="20"/>
      <c r="BK16" s="20"/>
      <c r="BL16" s="20" t="s">
        <v>558</v>
      </c>
      <c r="BM16" s="20"/>
      <c r="BN16" s="20" t="s">
        <v>559</v>
      </c>
      <c r="BO16" s="20"/>
      <c r="BP16" s="20"/>
      <c r="BQ16" s="20" t="s">
        <v>628</v>
      </c>
      <c r="BR16" s="20"/>
      <c r="BS16" s="20"/>
      <c r="BT16" s="20"/>
      <c r="BU16" s="20"/>
      <c r="BV16" s="20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930</v>
      </c>
      <c r="DG16" s="1" t="s">
        <v>930</v>
      </c>
    </row>
    <row r="17" spans="1:111" ht="12" customHeight="1" x14ac:dyDescent="0.75">
      <c r="A17" s="14" t="s">
        <v>111</v>
      </c>
      <c r="B17" s="14" t="s">
        <v>0</v>
      </c>
      <c r="C17" s="14" t="s">
        <v>110</v>
      </c>
      <c r="D17" t="s">
        <v>155</v>
      </c>
      <c r="E17" s="25" t="s">
        <v>931</v>
      </c>
      <c r="F17" t="s">
        <v>155</v>
      </c>
      <c r="G17" s="25" t="s">
        <v>932</v>
      </c>
      <c r="H17" s="15" t="s">
        <v>44</v>
      </c>
      <c r="I17"/>
      <c r="J17"/>
      <c r="K17"/>
      <c r="L17"/>
      <c r="M17"/>
      <c r="N17"/>
      <c r="O17"/>
      <c r="P17"/>
      <c r="Q17"/>
      <c r="R17"/>
      <c r="S17"/>
      <c r="T17"/>
      <c r="U17">
        <v>266</v>
      </c>
      <c r="V17" s="16">
        <v>82</v>
      </c>
      <c r="W17" t="s">
        <v>64</v>
      </c>
      <c r="X17" t="s">
        <v>64</v>
      </c>
      <c r="Y17" s="19" t="s">
        <v>330</v>
      </c>
      <c r="Z17" t="s">
        <v>308</v>
      </c>
      <c r="AA17" t="s">
        <v>308</v>
      </c>
      <c r="AB17" s="20" t="s">
        <v>346</v>
      </c>
      <c r="AC17" s="20" t="s">
        <v>402</v>
      </c>
      <c r="AD17" s="20" t="s">
        <v>346</v>
      </c>
      <c r="AE17" s="20">
        <v>463420</v>
      </c>
      <c r="AF17" s="20" t="s">
        <v>418</v>
      </c>
      <c r="AG17"/>
      <c r="AH17"/>
      <c r="AI17"/>
      <c r="AJ17" s="16" t="s">
        <v>257</v>
      </c>
      <c r="AK17"/>
      <c r="AL17" s="16">
        <v>3639</v>
      </c>
      <c r="AM17" s="16" t="s">
        <v>11</v>
      </c>
      <c r="AN17"/>
      <c r="AO17" s="23" t="s">
        <v>474</v>
      </c>
      <c r="AP17"/>
      <c r="AQ17"/>
      <c r="AR17" s="20" t="s">
        <v>494</v>
      </c>
      <c r="AS17" s="20" t="s">
        <v>629</v>
      </c>
      <c r="AT17" s="20" t="s">
        <v>629</v>
      </c>
      <c r="AU17" s="20" t="s">
        <v>630</v>
      </c>
      <c r="AV17" s="20" t="s">
        <v>631</v>
      </c>
      <c r="AW17" s="24">
        <f t="shared" si="0"/>
        <v>59</v>
      </c>
      <c r="AX17" s="20" t="s">
        <v>552</v>
      </c>
      <c r="AY17" s="20" t="s">
        <v>553</v>
      </c>
      <c r="AZ17" s="20" t="s">
        <v>554</v>
      </c>
      <c r="BA17" s="20" t="s">
        <v>570</v>
      </c>
      <c r="BB17" s="20"/>
      <c r="BC17" s="20" t="s">
        <v>595</v>
      </c>
      <c r="BD17" s="20" t="s">
        <v>596</v>
      </c>
      <c r="BE17" s="20"/>
      <c r="BF17" s="20"/>
      <c r="BG17" s="20"/>
      <c r="BH17" s="20" t="s">
        <v>627</v>
      </c>
      <c r="BI17" s="20"/>
      <c r="BJ17" s="20"/>
      <c r="BK17" s="20"/>
      <c r="BL17" s="20" t="s">
        <v>558</v>
      </c>
      <c r="BM17" s="20"/>
      <c r="BN17" s="20" t="s">
        <v>559</v>
      </c>
      <c r="BO17" s="20"/>
      <c r="BP17" s="20"/>
      <c r="BQ17" s="20" t="s">
        <v>632</v>
      </c>
      <c r="BR17" s="20"/>
      <c r="BS17" s="20"/>
      <c r="BT17" s="20"/>
      <c r="BU17" s="20"/>
      <c r="BV17" s="20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930</v>
      </c>
      <c r="DG17" s="1" t="s">
        <v>930</v>
      </c>
    </row>
    <row r="18" spans="1:111" ht="12" customHeight="1" x14ac:dyDescent="0.75">
      <c r="A18" s="14" t="s">
        <v>111</v>
      </c>
      <c r="B18" s="14" t="s">
        <v>0</v>
      </c>
      <c r="C18" s="14" t="s">
        <v>110</v>
      </c>
      <c r="D18" t="s">
        <v>155</v>
      </c>
      <c r="E18" s="25" t="s">
        <v>931</v>
      </c>
      <c r="F18" t="s">
        <v>155</v>
      </c>
      <c r="G18" s="25" t="s">
        <v>932</v>
      </c>
      <c r="H18" s="15" t="s">
        <v>44</v>
      </c>
      <c r="I18"/>
      <c r="J18"/>
      <c r="K18"/>
      <c r="L18"/>
      <c r="M18"/>
      <c r="N18"/>
      <c r="O18"/>
      <c r="P18"/>
      <c r="Q18"/>
      <c r="R18"/>
      <c r="S18"/>
      <c r="T18"/>
      <c r="U18">
        <v>267</v>
      </c>
      <c r="V18" s="16">
        <v>83</v>
      </c>
      <c r="W18" t="s">
        <v>64</v>
      </c>
      <c r="X18" t="s">
        <v>64</v>
      </c>
      <c r="Y18" s="19" t="s">
        <v>330</v>
      </c>
      <c r="Z18" t="s">
        <v>20</v>
      </c>
      <c r="AA18" t="s">
        <v>20</v>
      </c>
      <c r="AB18" t="s">
        <v>347</v>
      </c>
      <c r="AC18" t="s">
        <v>402</v>
      </c>
      <c r="AD18" t="s">
        <v>347</v>
      </c>
      <c r="AE18">
        <v>501530</v>
      </c>
      <c r="AF18" t="s">
        <v>419</v>
      </c>
      <c r="AG18"/>
      <c r="AH18"/>
      <c r="AI18"/>
      <c r="AJ18" s="16" t="s">
        <v>174</v>
      </c>
      <c r="AK18"/>
      <c r="AL18" s="16">
        <v>3639</v>
      </c>
      <c r="AM18" s="16" t="s">
        <v>255</v>
      </c>
      <c r="AN18"/>
      <c r="AO18" s="23" t="s">
        <v>475</v>
      </c>
      <c r="AP18"/>
      <c r="AQ18"/>
      <c r="AR18" t="s">
        <v>495</v>
      </c>
      <c r="AS18" t="s">
        <v>633</v>
      </c>
      <c r="AT18" t="s">
        <v>633</v>
      </c>
      <c r="AU18" t="s">
        <v>634</v>
      </c>
      <c r="AV18" t="s">
        <v>634</v>
      </c>
      <c r="AW18" s="24">
        <f t="shared" si="0"/>
        <v>49</v>
      </c>
      <c r="AX18" t="s">
        <v>635</v>
      </c>
      <c r="AY18" t="s">
        <v>636</v>
      </c>
      <c r="AZ18" t="s">
        <v>637</v>
      </c>
      <c r="BA18"/>
      <c r="BB18"/>
      <c r="BC18" t="s">
        <v>638</v>
      </c>
      <c r="BD18"/>
      <c r="BE18"/>
      <c r="BF18"/>
      <c r="BG18"/>
      <c r="BH18"/>
      <c r="BI18"/>
      <c r="BJ18"/>
      <c r="BK18"/>
      <c r="BL18" t="s">
        <v>558</v>
      </c>
      <c r="BM18" t="s">
        <v>639</v>
      </c>
      <c r="BN18" t="s">
        <v>559</v>
      </c>
      <c r="BO18"/>
      <c r="BP18" t="s">
        <v>640</v>
      </c>
      <c r="BQ18" t="s">
        <v>641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930</v>
      </c>
      <c r="DG18" s="1" t="s">
        <v>930</v>
      </c>
    </row>
    <row r="19" spans="1:111" ht="12" customHeight="1" x14ac:dyDescent="0.75">
      <c r="A19" s="14" t="s">
        <v>111</v>
      </c>
      <c r="B19" s="14" t="s">
        <v>0</v>
      </c>
      <c r="C19" s="14" t="s">
        <v>110</v>
      </c>
      <c r="D19" t="s">
        <v>155</v>
      </c>
      <c r="E19" s="25" t="s">
        <v>931</v>
      </c>
      <c r="F19" t="s">
        <v>155</v>
      </c>
      <c r="G19" s="25" t="s">
        <v>932</v>
      </c>
      <c r="H19" s="15" t="s">
        <v>44</v>
      </c>
      <c r="I19"/>
      <c r="J19"/>
      <c r="K19"/>
      <c r="L19"/>
      <c r="M19"/>
      <c r="N19"/>
      <c r="O19"/>
      <c r="P19"/>
      <c r="Q19"/>
      <c r="R19"/>
      <c r="S19"/>
      <c r="T19"/>
      <c r="U19">
        <v>268</v>
      </c>
      <c r="V19" s="16">
        <v>84</v>
      </c>
      <c r="W19" t="s">
        <v>64</v>
      </c>
      <c r="X19" t="s">
        <v>64</v>
      </c>
      <c r="Y19" s="19" t="s">
        <v>330</v>
      </c>
      <c r="Z19" t="s">
        <v>256</v>
      </c>
      <c r="AA19" t="s">
        <v>256</v>
      </c>
      <c r="AB19" t="s">
        <v>348</v>
      </c>
      <c r="AC19" t="s">
        <v>402</v>
      </c>
      <c r="AD19" t="s">
        <v>348</v>
      </c>
      <c r="AE19">
        <v>501532</v>
      </c>
      <c r="AF19" t="s">
        <v>420</v>
      </c>
      <c r="AG19"/>
      <c r="AH19"/>
      <c r="AI19"/>
      <c r="AJ19" s="16" t="s">
        <v>135</v>
      </c>
      <c r="AK19"/>
      <c r="AL19" s="16">
        <v>3639</v>
      </c>
      <c r="AM19" s="16" t="s">
        <v>212</v>
      </c>
      <c r="AN19"/>
      <c r="AO19" s="23" t="s">
        <v>475</v>
      </c>
      <c r="AP19"/>
      <c r="AQ19"/>
      <c r="AR19" t="s">
        <v>496</v>
      </c>
      <c r="AS19" t="s">
        <v>642</v>
      </c>
      <c r="AT19" t="s">
        <v>642</v>
      </c>
      <c r="AU19" t="s">
        <v>643</v>
      </c>
      <c r="AV19" t="s">
        <v>643</v>
      </c>
      <c r="AW19" s="24">
        <f t="shared" si="0"/>
        <v>49</v>
      </c>
      <c r="AX19" t="s">
        <v>635</v>
      </c>
      <c r="AY19" t="s">
        <v>636</v>
      </c>
      <c r="AZ19" t="s">
        <v>637</v>
      </c>
      <c r="BA19"/>
      <c r="BB19"/>
      <c r="BC19" t="s">
        <v>644</v>
      </c>
      <c r="BD19"/>
      <c r="BE19"/>
      <c r="BF19"/>
      <c r="BG19"/>
      <c r="BH19"/>
      <c r="BI19"/>
      <c r="BJ19"/>
      <c r="BK19"/>
      <c r="BL19" t="s">
        <v>558</v>
      </c>
      <c r="BM19" t="s">
        <v>639</v>
      </c>
      <c r="BN19" t="s">
        <v>559</v>
      </c>
      <c r="BO19"/>
      <c r="BP19" t="s">
        <v>645</v>
      </c>
      <c r="BQ19" t="s">
        <v>646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930</v>
      </c>
      <c r="DG19" s="1" t="s">
        <v>930</v>
      </c>
    </row>
    <row r="20" spans="1:111" ht="12" customHeight="1" x14ac:dyDescent="0.75">
      <c r="A20" s="14" t="s">
        <v>111</v>
      </c>
      <c r="B20" s="14" t="s">
        <v>0</v>
      </c>
      <c r="C20" s="14" t="s">
        <v>110</v>
      </c>
      <c r="D20" t="s">
        <v>155</v>
      </c>
      <c r="E20" s="25" t="s">
        <v>931</v>
      </c>
      <c r="F20" t="s">
        <v>155</v>
      </c>
      <c r="G20" s="25" t="s">
        <v>932</v>
      </c>
      <c r="H20" s="15" t="s">
        <v>44</v>
      </c>
      <c r="I20"/>
      <c r="J20"/>
      <c r="K20"/>
      <c r="L20"/>
      <c r="M20"/>
      <c r="N20"/>
      <c r="O20"/>
      <c r="P20"/>
      <c r="Q20"/>
      <c r="R20"/>
      <c r="S20"/>
      <c r="T20"/>
      <c r="U20">
        <v>269</v>
      </c>
      <c r="V20" s="16">
        <v>85</v>
      </c>
      <c r="W20" t="s">
        <v>64</v>
      </c>
      <c r="X20" t="s">
        <v>64</v>
      </c>
      <c r="Y20" s="19" t="s">
        <v>330</v>
      </c>
      <c r="Z20" t="s">
        <v>102</v>
      </c>
      <c r="AA20" t="s">
        <v>102</v>
      </c>
      <c r="AB20" t="s">
        <v>349</v>
      </c>
      <c r="AC20" t="s">
        <v>402</v>
      </c>
      <c r="AD20" t="s">
        <v>349</v>
      </c>
      <c r="AE20">
        <v>501533</v>
      </c>
      <c r="AF20" t="s">
        <v>421</v>
      </c>
      <c r="AG20"/>
      <c r="AH20"/>
      <c r="AI20"/>
      <c r="AJ20" s="16" t="s">
        <v>86</v>
      </c>
      <c r="AK20"/>
      <c r="AL20" s="16">
        <v>3639</v>
      </c>
      <c r="AM20" s="16" t="s">
        <v>123</v>
      </c>
      <c r="AN20"/>
      <c r="AO20" s="23" t="s">
        <v>475</v>
      </c>
      <c r="AP20"/>
      <c r="AQ20"/>
      <c r="AR20" t="s">
        <v>497</v>
      </c>
      <c r="AS20" t="s">
        <v>647</v>
      </c>
      <c r="AT20" t="s">
        <v>647</v>
      </c>
      <c r="AU20" t="s">
        <v>648</v>
      </c>
      <c r="AV20" t="s">
        <v>648</v>
      </c>
      <c r="AW20" s="24">
        <f t="shared" si="0"/>
        <v>49</v>
      </c>
      <c r="AX20" t="s">
        <v>635</v>
      </c>
      <c r="AY20" t="s">
        <v>636</v>
      </c>
      <c r="AZ20" t="s">
        <v>637</v>
      </c>
      <c r="BA20"/>
      <c r="BB20"/>
      <c r="BC20" t="s">
        <v>649</v>
      </c>
      <c r="BD20"/>
      <c r="BE20"/>
      <c r="BF20"/>
      <c r="BG20"/>
      <c r="BH20"/>
      <c r="BI20"/>
      <c r="BJ20"/>
      <c r="BK20"/>
      <c r="BL20" t="s">
        <v>558</v>
      </c>
      <c r="BM20" t="s">
        <v>639</v>
      </c>
      <c r="BN20" t="s">
        <v>559</v>
      </c>
      <c r="BO20"/>
      <c r="BP20" t="s">
        <v>650</v>
      </c>
      <c r="BQ20" t="s">
        <v>651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930</v>
      </c>
      <c r="DG20" s="1" t="s">
        <v>930</v>
      </c>
    </row>
    <row r="21" spans="1:111" ht="12" customHeight="1" x14ac:dyDescent="0.75">
      <c r="A21" s="14" t="s">
        <v>111</v>
      </c>
      <c r="B21" s="14" t="s">
        <v>0</v>
      </c>
      <c r="C21" s="14" t="s">
        <v>110</v>
      </c>
      <c r="D21" t="s">
        <v>155</v>
      </c>
      <c r="E21" s="25" t="s">
        <v>931</v>
      </c>
      <c r="F21" t="s">
        <v>155</v>
      </c>
      <c r="G21" s="25" t="s">
        <v>932</v>
      </c>
      <c r="H21" s="15" t="s">
        <v>44</v>
      </c>
      <c r="I21"/>
      <c r="J21"/>
      <c r="K21"/>
      <c r="L21"/>
      <c r="M21"/>
      <c r="N21"/>
      <c r="O21"/>
      <c r="P21"/>
      <c r="Q21"/>
      <c r="R21"/>
      <c r="S21"/>
      <c r="T21"/>
      <c r="U21">
        <v>270</v>
      </c>
      <c r="V21" s="16">
        <v>86</v>
      </c>
      <c r="W21" t="s">
        <v>64</v>
      </c>
      <c r="X21" t="s">
        <v>64</v>
      </c>
      <c r="Y21" s="19" t="s">
        <v>330</v>
      </c>
      <c r="Z21" t="s">
        <v>57</v>
      </c>
      <c r="AA21" t="s">
        <v>57</v>
      </c>
      <c r="AB21" t="s">
        <v>350</v>
      </c>
      <c r="AC21" t="s">
        <v>402</v>
      </c>
      <c r="AD21" t="s">
        <v>350</v>
      </c>
      <c r="AE21">
        <v>501534</v>
      </c>
      <c r="AF21" t="s">
        <v>422</v>
      </c>
      <c r="AG21"/>
      <c r="AH21"/>
      <c r="AI21"/>
      <c r="AJ21" s="16" t="s">
        <v>30</v>
      </c>
      <c r="AK21"/>
      <c r="AL21" s="16">
        <v>3639</v>
      </c>
      <c r="AM21" s="16" t="s">
        <v>305</v>
      </c>
      <c r="AN21"/>
      <c r="AO21" s="23" t="s">
        <v>475</v>
      </c>
      <c r="AP21"/>
      <c r="AQ21"/>
      <c r="AR21" t="s">
        <v>498</v>
      </c>
      <c r="AS21" t="s">
        <v>652</v>
      </c>
      <c r="AT21" t="s">
        <v>652</v>
      </c>
      <c r="AU21" t="s">
        <v>653</v>
      </c>
      <c r="AV21" t="s">
        <v>653</v>
      </c>
      <c r="AW21" s="24">
        <f t="shared" si="0"/>
        <v>53</v>
      </c>
      <c r="AX21" t="s">
        <v>635</v>
      </c>
      <c r="AY21" t="s">
        <v>636</v>
      </c>
      <c r="AZ21" t="s">
        <v>637</v>
      </c>
      <c r="BA21"/>
      <c r="BB21"/>
      <c r="BC21" t="s">
        <v>654</v>
      </c>
      <c r="BD21"/>
      <c r="BE21"/>
      <c r="BF21"/>
      <c r="BG21"/>
      <c r="BH21"/>
      <c r="BI21"/>
      <c r="BJ21"/>
      <c r="BK21"/>
      <c r="BL21" t="s">
        <v>558</v>
      </c>
      <c r="BM21" t="s">
        <v>639</v>
      </c>
      <c r="BN21" t="s">
        <v>559</v>
      </c>
      <c r="BO21"/>
      <c r="BP21" t="s">
        <v>655</v>
      </c>
      <c r="BQ21" t="s">
        <v>656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930</v>
      </c>
      <c r="DG21" s="1" t="s">
        <v>930</v>
      </c>
    </row>
    <row r="22" spans="1:111" ht="12" customHeight="1" x14ac:dyDescent="0.75">
      <c r="A22" s="14" t="s">
        <v>111</v>
      </c>
      <c r="B22" s="14" t="s">
        <v>0</v>
      </c>
      <c r="C22" s="14" t="s">
        <v>110</v>
      </c>
      <c r="D22" t="s">
        <v>155</v>
      </c>
      <c r="E22" s="25" t="s">
        <v>931</v>
      </c>
      <c r="F22" t="s">
        <v>155</v>
      </c>
      <c r="G22" s="25" t="s">
        <v>932</v>
      </c>
      <c r="H22" s="15" t="s">
        <v>44</v>
      </c>
      <c r="I22"/>
      <c r="J22"/>
      <c r="K22"/>
      <c r="L22"/>
      <c r="M22"/>
      <c r="N22"/>
      <c r="O22"/>
      <c r="P22"/>
      <c r="Q22"/>
      <c r="R22"/>
      <c r="S22"/>
      <c r="T22"/>
      <c r="U22">
        <v>271</v>
      </c>
      <c r="V22" s="16">
        <v>87</v>
      </c>
      <c r="W22" t="s">
        <v>64</v>
      </c>
      <c r="X22" t="s">
        <v>64</v>
      </c>
      <c r="Y22" s="19" t="s">
        <v>330</v>
      </c>
      <c r="Z22" t="s">
        <v>273</v>
      </c>
      <c r="AA22" t="s">
        <v>273</v>
      </c>
      <c r="AB22" t="s">
        <v>351</v>
      </c>
      <c r="AC22" t="s">
        <v>402</v>
      </c>
      <c r="AD22" t="s">
        <v>351</v>
      </c>
      <c r="AE22">
        <v>504647</v>
      </c>
      <c r="AF22" t="s">
        <v>423</v>
      </c>
      <c r="AG22"/>
      <c r="AH22"/>
      <c r="AI22"/>
      <c r="AJ22" s="16" t="s">
        <v>130</v>
      </c>
      <c r="AK22"/>
      <c r="AL22" s="16">
        <v>3639</v>
      </c>
      <c r="AM22" s="16" t="s">
        <v>222</v>
      </c>
      <c r="AN22"/>
      <c r="AO22" s="23" t="s">
        <v>476</v>
      </c>
      <c r="AP22"/>
      <c r="AQ22"/>
      <c r="AR22" t="s">
        <v>130</v>
      </c>
      <c r="AS22" t="s">
        <v>657</v>
      </c>
      <c r="AT22" t="s">
        <v>657</v>
      </c>
      <c r="AU22" t="s">
        <v>658</v>
      </c>
      <c r="AV22" t="s">
        <v>658</v>
      </c>
      <c r="AW22" s="24">
        <f t="shared" si="0"/>
        <v>56</v>
      </c>
      <c r="AX22" t="s">
        <v>659</v>
      </c>
      <c r="AY22" t="s">
        <v>660</v>
      </c>
      <c r="AZ22" t="s">
        <v>661</v>
      </c>
      <c r="BA22"/>
      <c r="BB22"/>
      <c r="BC22" t="s">
        <v>662</v>
      </c>
      <c r="BD22"/>
      <c r="BE22"/>
      <c r="BF22"/>
      <c r="BG22" t="s">
        <v>663</v>
      </c>
      <c r="BH22"/>
      <c r="BI22"/>
      <c r="BJ22"/>
      <c r="BK22"/>
      <c r="BL22"/>
      <c r="BM22" t="s">
        <v>664</v>
      </c>
      <c r="BN22"/>
      <c r="BO22"/>
      <c r="BP22"/>
      <c r="BQ22" t="s">
        <v>665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930</v>
      </c>
      <c r="DG22" s="1" t="s">
        <v>930</v>
      </c>
    </row>
    <row r="23" spans="1:111" ht="12" customHeight="1" x14ac:dyDescent="0.75">
      <c r="A23" s="14" t="s">
        <v>111</v>
      </c>
      <c r="B23" s="14" t="s">
        <v>0</v>
      </c>
      <c r="C23" s="14" t="s">
        <v>110</v>
      </c>
      <c r="D23" t="s">
        <v>155</v>
      </c>
      <c r="E23" s="25" t="s">
        <v>931</v>
      </c>
      <c r="F23" t="s">
        <v>155</v>
      </c>
      <c r="G23" s="25" t="s">
        <v>932</v>
      </c>
      <c r="H23" s="15" t="s">
        <v>44</v>
      </c>
      <c r="I23"/>
      <c r="J23"/>
      <c r="K23"/>
      <c r="L23"/>
      <c r="M23"/>
      <c r="N23"/>
      <c r="O23"/>
      <c r="P23"/>
      <c r="Q23"/>
      <c r="R23"/>
      <c r="S23"/>
      <c r="T23"/>
      <c r="U23">
        <v>272</v>
      </c>
      <c r="V23" s="16">
        <v>88</v>
      </c>
      <c r="W23" t="s">
        <v>64</v>
      </c>
      <c r="X23" t="s">
        <v>64</v>
      </c>
      <c r="Y23" s="19" t="s">
        <v>330</v>
      </c>
      <c r="Z23" t="s">
        <v>297</v>
      </c>
      <c r="AA23" t="s">
        <v>297</v>
      </c>
      <c r="AB23" t="s">
        <v>352</v>
      </c>
      <c r="AC23" t="s">
        <v>402</v>
      </c>
      <c r="AD23" t="s">
        <v>352</v>
      </c>
      <c r="AE23">
        <v>505580</v>
      </c>
      <c r="AF23" t="s">
        <v>424</v>
      </c>
      <c r="AG23"/>
      <c r="AH23"/>
      <c r="AI23"/>
      <c r="AJ23" s="16" t="s">
        <v>233</v>
      </c>
      <c r="AK23"/>
      <c r="AL23" s="16">
        <v>3639</v>
      </c>
      <c r="AM23" s="16" t="s">
        <v>167</v>
      </c>
      <c r="AN23"/>
      <c r="AO23" s="23" t="s">
        <v>475</v>
      </c>
      <c r="AP23"/>
      <c r="AQ23"/>
      <c r="AR23" t="s">
        <v>499</v>
      </c>
      <c r="AS23" t="s">
        <v>666</v>
      </c>
      <c r="AT23" t="s">
        <v>666</v>
      </c>
      <c r="AU23" t="s">
        <v>667</v>
      </c>
      <c r="AV23" t="s">
        <v>668</v>
      </c>
      <c r="AW23" s="24">
        <f t="shared" si="0"/>
        <v>55</v>
      </c>
      <c r="AX23" t="s">
        <v>635</v>
      </c>
      <c r="AY23" t="s">
        <v>636</v>
      </c>
      <c r="AZ23" t="s">
        <v>669</v>
      </c>
      <c r="BA23"/>
      <c r="BB23"/>
      <c r="BC23" t="s">
        <v>670</v>
      </c>
      <c r="BD23"/>
      <c r="BE23"/>
      <c r="BF23"/>
      <c r="BG23"/>
      <c r="BH23"/>
      <c r="BI23" t="s">
        <v>671</v>
      </c>
      <c r="BJ23"/>
      <c r="BK23"/>
      <c r="BL23" t="s">
        <v>558</v>
      </c>
      <c r="BM23" t="s">
        <v>664</v>
      </c>
      <c r="BN23" t="s">
        <v>559</v>
      </c>
      <c r="BO23"/>
      <c r="BP23" t="s">
        <v>672</v>
      </c>
      <c r="BQ23" t="s">
        <v>673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930</v>
      </c>
      <c r="DG23" s="1" t="s">
        <v>930</v>
      </c>
    </row>
    <row r="24" spans="1:111" ht="12" customHeight="1" x14ac:dyDescent="0.75">
      <c r="A24" s="14" t="s">
        <v>111</v>
      </c>
      <c r="B24" s="14" t="s">
        <v>0</v>
      </c>
      <c r="C24" s="14" t="s">
        <v>110</v>
      </c>
      <c r="D24" t="s">
        <v>155</v>
      </c>
      <c r="E24" s="25" t="s">
        <v>931</v>
      </c>
      <c r="F24" t="s">
        <v>155</v>
      </c>
      <c r="G24" s="25" t="s">
        <v>932</v>
      </c>
      <c r="H24" s="15" t="s">
        <v>44</v>
      </c>
      <c r="I24"/>
      <c r="J24"/>
      <c r="K24"/>
      <c r="L24"/>
      <c r="M24"/>
      <c r="N24"/>
      <c r="O24"/>
      <c r="P24"/>
      <c r="Q24"/>
      <c r="R24"/>
      <c r="S24"/>
      <c r="T24"/>
      <c r="U24">
        <v>273</v>
      </c>
      <c r="V24" s="16">
        <v>89</v>
      </c>
      <c r="W24" t="s">
        <v>64</v>
      </c>
      <c r="X24" t="s">
        <v>64</v>
      </c>
      <c r="Y24" s="19" t="s">
        <v>330</v>
      </c>
      <c r="Z24" t="s">
        <v>248</v>
      </c>
      <c r="AA24" t="s">
        <v>248</v>
      </c>
      <c r="AB24" t="s">
        <v>353</v>
      </c>
      <c r="AC24" t="s">
        <v>402</v>
      </c>
      <c r="AD24" t="s">
        <v>353</v>
      </c>
      <c r="AE24">
        <v>505581</v>
      </c>
      <c r="AF24" t="s">
        <v>425</v>
      </c>
      <c r="AG24"/>
      <c r="AH24"/>
      <c r="AI24"/>
      <c r="AJ24" s="16" t="s">
        <v>101</v>
      </c>
      <c r="AK24"/>
      <c r="AL24" s="16">
        <v>3639</v>
      </c>
      <c r="AM24" s="16" t="s">
        <v>79</v>
      </c>
      <c r="AN24"/>
      <c r="AO24" s="23" t="s">
        <v>475</v>
      </c>
      <c r="AP24"/>
      <c r="AQ24"/>
      <c r="AR24" t="s">
        <v>500</v>
      </c>
      <c r="AS24" t="s">
        <v>674</v>
      </c>
      <c r="AT24" t="s">
        <v>674</v>
      </c>
      <c r="AU24" t="s">
        <v>675</v>
      </c>
      <c r="AV24" t="s">
        <v>676</v>
      </c>
      <c r="AW24" s="24">
        <f t="shared" si="0"/>
        <v>55</v>
      </c>
      <c r="AX24" t="s">
        <v>635</v>
      </c>
      <c r="AY24" t="s">
        <v>636</v>
      </c>
      <c r="AZ24" t="s">
        <v>669</v>
      </c>
      <c r="BA24"/>
      <c r="BB24"/>
      <c r="BC24" t="s">
        <v>677</v>
      </c>
      <c r="BD24"/>
      <c r="BE24"/>
      <c r="BF24"/>
      <c r="BG24"/>
      <c r="BH24"/>
      <c r="BI24" t="s">
        <v>671</v>
      </c>
      <c r="BJ24"/>
      <c r="BK24"/>
      <c r="BL24" t="s">
        <v>558</v>
      </c>
      <c r="BM24" t="s">
        <v>664</v>
      </c>
      <c r="BN24" t="s">
        <v>559</v>
      </c>
      <c r="BO24"/>
      <c r="BP24" t="s">
        <v>678</v>
      </c>
      <c r="BQ24" t="s">
        <v>679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930</v>
      </c>
      <c r="DG24" s="1" t="s">
        <v>930</v>
      </c>
    </row>
    <row r="25" spans="1:111" ht="12" customHeight="1" x14ac:dyDescent="0.75">
      <c r="A25" s="14" t="s">
        <v>111</v>
      </c>
      <c r="B25" s="14" t="s">
        <v>0</v>
      </c>
      <c r="C25" s="14" t="s">
        <v>110</v>
      </c>
      <c r="D25" t="s">
        <v>155</v>
      </c>
      <c r="E25" s="25" t="s">
        <v>931</v>
      </c>
      <c r="F25" t="s">
        <v>155</v>
      </c>
      <c r="G25" s="25" t="s">
        <v>932</v>
      </c>
      <c r="H25" s="15" t="s">
        <v>44</v>
      </c>
      <c r="I25"/>
      <c r="J25"/>
      <c r="K25"/>
      <c r="L25"/>
      <c r="M25"/>
      <c r="N25"/>
      <c r="O25"/>
      <c r="P25"/>
      <c r="Q25"/>
      <c r="R25"/>
      <c r="S25"/>
      <c r="T25"/>
      <c r="U25">
        <v>274</v>
      </c>
      <c r="V25" s="16">
        <v>90</v>
      </c>
      <c r="W25" t="s">
        <v>64</v>
      </c>
      <c r="X25" t="s">
        <v>64</v>
      </c>
      <c r="Y25" s="19" t="s">
        <v>330</v>
      </c>
      <c r="Z25" t="s">
        <v>205</v>
      </c>
      <c r="AA25" t="s">
        <v>205</v>
      </c>
      <c r="AB25" t="s">
        <v>354</v>
      </c>
      <c r="AC25" t="s">
        <v>402</v>
      </c>
      <c r="AD25" t="s">
        <v>354</v>
      </c>
      <c r="AE25">
        <v>505582</v>
      </c>
      <c r="AF25" t="s">
        <v>426</v>
      </c>
      <c r="AG25"/>
      <c r="AH25"/>
      <c r="AI25"/>
      <c r="AJ25" s="16" t="s">
        <v>99</v>
      </c>
      <c r="AK25"/>
      <c r="AL25" s="16">
        <v>3639</v>
      </c>
      <c r="AM25" s="16" t="s">
        <v>36</v>
      </c>
      <c r="AN25"/>
      <c r="AO25" s="23" t="s">
        <v>475</v>
      </c>
      <c r="AP25"/>
      <c r="AQ25"/>
      <c r="AR25" t="s">
        <v>501</v>
      </c>
      <c r="AS25" t="s">
        <v>680</v>
      </c>
      <c r="AT25" t="s">
        <v>680</v>
      </c>
      <c r="AU25" t="s">
        <v>681</v>
      </c>
      <c r="AV25" t="s">
        <v>682</v>
      </c>
      <c r="AW25" s="24">
        <f t="shared" si="0"/>
        <v>55</v>
      </c>
      <c r="AX25" t="s">
        <v>635</v>
      </c>
      <c r="AY25" t="s">
        <v>636</v>
      </c>
      <c r="AZ25" t="s">
        <v>669</v>
      </c>
      <c r="BA25"/>
      <c r="BB25"/>
      <c r="BC25" t="s">
        <v>683</v>
      </c>
      <c r="BD25"/>
      <c r="BE25"/>
      <c r="BF25"/>
      <c r="BG25"/>
      <c r="BH25"/>
      <c r="BI25" t="s">
        <v>671</v>
      </c>
      <c r="BJ25"/>
      <c r="BK25"/>
      <c r="BL25" t="s">
        <v>558</v>
      </c>
      <c r="BM25" t="s">
        <v>664</v>
      </c>
      <c r="BN25" t="s">
        <v>559</v>
      </c>
      <c r="BO25"/>
      <c r="BP25"/>
      <c r="BQ25" t="s">
        <v>684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930</v>
      </c>
      <c r="DG25" s="1" t="s">
        <v>930</v>
      </c>
    </row>
    <row r="26" spans="1:111" ht="12" customHeight="1" x14ac:dyDescent="0.75">
      <c r="A26" s="14" t="s">
        <v>111</v>
      </c>
      <c r="B26" s="14" t="s">
        <v>0</v>
      </c>
      <c r="C26" s="14" t="s">
        <v>110</v>
      </c>
      <c r="D26" t="s">
        <v>155</v>
      </c>
      <c r="E26" s="25" t="s">
        <v>931</v>
      </c>
      <c r="F26" t="s">
        <v>155</v>
      </c>
      <c r="G26" s="25" t="s">
        <v>932</v>
      </c>
      <c r="H26" s="15" t="s">
        <v>44</v>
      </c>
      <c r="I26"/>
      <c r="J26"/>
      <c r="K26"/>
      <c r="L26"/>
      <c r="M26"/>
      <c r="N26"/>
      <c r="O26"/>
      <c r="P26"/>
      <c r="Q26"/>
      <c r="R26"/>
      <c r="S26"/>
      <c r="T26"/>
      <c r="U26">
        <v>275</v>
      </c>
      <c r="V26" s="16">
        <v>91</v>
      </c>
      <c r="W26" t="s">
        <v>64</v>
      </c>
      <c r="X26" t="s">
        <v>64</v>
      </c>
      <c r="Y26" s="19" t="s">
        <v>330</v>
      </c>
      <c r="Z26" t="s">
        <v>52</v>
      </c>
      <c r="AA26" t="s">
        <v>52</v>
      </c>
      <c r="AB26" t="s">
        <v>355</v>
      </c>
      <c r="AC26" t="s">
        <v>402</v>
      </c>
      <c r="AD26" t="s">
        <v>355</v>
      </c>
      <c r="AE26">
        <v>505583</v>
      </c>
      <c r="AF26" t="s">
        <v>427</v>
      </c>
      <c r="AG26"/>
      <c r="AH26"/>
      <c r="AI26"/>
      <c r="AJ26" s="16" t="s">
        <v>28</v>
      </c>
      <c r="AK26"/>
      <c r="AL26" s="16">
        <v>3639</v>
      </c>
      <c r="AM26" s="16" t="s">
        <v>9</v>
      </c>
      <c r="AN26"/>
      <c r="AO26" s="23" t="s">
        <v>475</v>
      </c>
      <c r="AP26"/>
      <c r="AQ26"/>
      <c r="AR26" t="s">
        <v>502</v>
      </c>
      <c r="AS26" t="s">
        <v>685</v>
      </c>
      <c r="AT26" t="s">
        <v>685</v>
      </c>
      <c r="AU26" t="s">
        <v>686</v>
      </c>
      <c r="AV26" t="s">
        <v>687</v>
      </c>
      <c r="AW26" s="24">
        <f t="shared" si="0"/>
        <v>55</v>
      </c>
      <c r="AX26" t="s">
        <v>635</v>
      </c>
      <c r="AY26" t="s">
        <v>636</v>
      </c>
      <c r="AZ26" t="s">
        <v>669</v>
      </c>
      <c r="BA26"/>
      <c r="BB26"/>
      <c r="BC26" t="s">
        <v>688</v>
      </c>
      <c r="BD26"/>
      <c r="BE26"/>
      <c r="BF26"/>
      <c r="BG26"/>
      <c r="BH26"/>
      <c r="BI26" t="s">
        <v>671</v>
      </c>
      <c r="BJ26"/>
      <c r="BK26"/>
      <c r="BL26" t="s">
        <v>558</v>
      </c>
      <c r="BM26" t="s">
        <v>664</v>
      </c>
      <c r="BN26" t="s">
        <v>559</v>
      </c>
      <c r="BO26"/>
      <c r="BP26" t="s">
        <v>689</v>
      </c>
      <c r="BQ26" t="s">
        <v>690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930</v>
      </c>
      <c r="DG26" s="1" t="s">
        <v>930</v>
      </c>
    </row>
    <row r="27" spans="1:111" ht="12" customHeight="1" x14ac:dyDescent="0.75">
      <c r="A27" s="14" t="s">
        <v>111</v>
      </c>
      <c r="B27" s="14" t="s">
        <v>0</v>
      </c>
      <c r="C27" s="14" t="s">
        <v>110</v>
      </c>
      <c r="D27" t="s">
        <v>155</v>
      </c>
      <c r="E27" s="25" t="s">
        <v>931</v>
      </c>
      <c r="F27" t="s">
        <v>155</v>
      </c>
      <c r="G27" s="25" t="s">
        <v>932</v>
      </c>
      <c r="H27" s="15" t="s">
        <v>44</v>
      </c>
      <c r="I27"/>
      <c r="J27"/>
      <c r="K27"/>
      <c r="L27"/>
      <c r="M27"/>
      <c r="N27"/>
      <c r="O27"/>
      <c r="P27"/>
      <c r="Q27"/>
      <c r="R27"/>
      <c r="S27"/>
      <c r="T27"/>
      <c r="U27">
        <v>276</v>
      </c>
      <c r="V27" s="16">
        <v>92</v>
      </c>
      <c r="W27" t="s">
        <v>64</v>
      </c>
      <c r="X27" t="s">
        <v>64</v>
      </c>
      <c r="Y27" s="19" t="s">
        <v>330</v>
      </c>
      <c r="Z27" t="s">
        <v>12</v>
      </c>
      <c r="AA27" t="s">
        <v>12</v>
      </c>
      <c r="AB27" t="s">
        <v>356</v>
      </c>
      <c r="AC27" t="s">
        <v>402</v>
      </c>
      <c r="AD27" t="s">
        <v>356</v>
      </c>
      <c r="AE27">
        <v>505584</v>
      </c>
      <c r="AF27" t="s">
        <v>428</v>
      </c>
      <c r="AG27"/>
      <c r="AH27"/>
      <c r="AI27"/>
      <c r="AJ27" s="16" t="s">
        <v>40</v>
      </c>
      <c r="AK27"/>
      <c r="AL27" s="16">
        <v>3639</v>
      </c>
      <c r="AM27" s="16" t="s">
        <v>291</v>
      </c>
      <c r="AN27"/>
      <c r="AO27" s="23" t="s">
        <v>475</v>
      </c>
      <c r="AP27"/>
      <c r="AQ27"/>
      <c r="AR27" t="s">
        <v>503</v>
      </c>
      <c r="AS27" t="s">
        <v>691</v>
      </c>
      <c r="AT27" t="s">
        <v>691</v>
      </c>
      <c r="AU27" t="s">
        <v>692</v>
      </c>
      <c r="AV27" t="s">
        <v>693</v>
      </c>
      <c r="AW27" s="24">
        <f t="shared" si="0"/>
        <v>55</v>
      </c>
      <c r="AX27" t="s">
        <v>635</v>
      </c>
      <c r="AY27" t="s">
        <v>636</v>
      </c>
      <c r="AZ27" t="s">
        <v>669</v>
      </c>
      <c r="BA27"/>
      <c r="BB27"/>
      <c r="BC27" t="s">
        <v>694</v>
      </c>
      <c r="BD27"/>
      <c r="BE27"/>
      <c r="BF27"/>
      <c r="BG27"/>
      <c r="BH27"/>
      <c r="BI27" t="s">
        <v>671</v>
      </c>
      <c r="BJ27"/>
      <c r="BK27"/>
      <c r="BL27" t="s">
        <v>558</v>
      </c>
      <c r="BM27" t="s">
        <v>664</v>
      </c>
      <c r="BN27" t="s">
        <v>559</v>
      </c>
      <c r="BO27"/>
      <c r="BP27"/>
      <c r="BQ27" t="s">
        <v>695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930</v>
      </c>
      <c r="DG27" s="1" t="s">
        <v>930</v>
      </c>
    </row>
    <row r="28" spans="1:111" ht="12" customHeight="1" x14ac:dyDescent="0.75">
      <c r="A28" s="14" t="s">
        <v>111</v>
      </c>
      <c r="B28" s="14" t="s">
        <v>0</v>
      </c>
      <c r="C28" s="14" t="s">
        <v>110</v>
      </c>
      <c r="D28" t="s">
        <v>155</v>
      </c>
      <c r="E28" s="25" t="s">
        <v>931</v>
      </c>
      <c r="F28" t="s">
        <v>155</v>
      </c>
      <c r="G28" s="25" t="s">
        <v>932</v>
      </c>
      <c r="H28" s="15" t="s">
        <v>44</v>
      </c>
      <c r="I28"/>
      <c r="J28"/>
      <c r="K28"/>
      <c r="L28"/>
      <c r="M28"/>
      <c r="N28"/>
      <c r="O28"/>
      <c r="P28"/>
      <c r="Q28"/>
      <c r="R28"/>
      <c r="S28"/>
      <c r="T28"/>
      <c r="U28">
        <v>277</v>
      </c>
      <c r="V28" s="16">
        <v>93</v>
      </c>
      <c r="W28" t="s">
        <v>64</v>
      </c>
      <c r="X28" t="s">
        <v>64</v>
      </c>
      <c r="Y28" s="19" t="s">
        <v>330</v>
      </c>
      <c r="Z28" t="s">
        <v>294</v>
      </c>
      <c r="AA28" t="s">
        <v>294</v>
      </c>
      <c r="AB28" t="s">
        <v>357</v>
      </c>
      <c r="AC28" t="s">
        <v>402</v>
      </c>
      <c r="AD28" t="s">
        <v>357</v>
      </c>
      <c r="AE28">
        <v>505585</v>
      </c>
      <c r="AF28" t="s">
        <v>429</v>
      </c>
      <c r="AG28"/>
      <c r="AH28"/>
      <c r="AI28"/>
      <c r="AJ28" s="16" t="s">
        <v>103</v>
      </c>
      <c r="AK28"/>
      <c r="AL28" s="16">
        <v>3639</v>
      </c>
      <c r="AM28" s="16" t="s">
        <v>254</v>
      </c>
      <c r="AN28"/>
      <c r="AO28" s="23" t="s">
        <v>475</v>
      </c>
      <c r="AP28"/>
      <c r="AQ28"/>
      <c r="AR28" t="s">
        <v>504</v>
      </c>
      <c r="AS28" t="s">
        <v>696</v>
      </c>
      <c r="AT28" t="s">
        <v>696</v>
      </c>
      <c r="AU28" t="s">
        <v>697</v>
      </c>
      <c r="AV28" t="s">
        <v>698</v>
      </c>
      <c r="AW28" s="24">
        <f t="shared" si="0"/>
        <v>55</v>
      </c>
      <c r="AX28" t="s">
        <v>635</v>
      </c>
      <c r="AY28" t="s">
        <v>636</v>
      </c>
      <c r="AZ28" t="s">
        <v>669</v>
      </c>
      <c r="BA28"/>
      <c r="BB28"/>
      <c r="BC28" t="s">
        <v>699</v>
      </c>
      <c r="BD28"/>
      <c r="BE28"/>
      <c r="BF28"/>
      <c r="BG28"/>
      <c r="BH28"/>
      <c r="BI28" t="s">
        <v>671</v>
      </c>
      <c r="BJ28"/>
      <c r="BK28"/>
      <c r="BL28" t="s">
        <v>558</v>
      </c>
      <c r="BM28" t="s">
        <v>664</v>
      </c>
      <c r="BN28" t="s">
        <v>559</v>
      </c>
      <c r="BO28"/>
      <c r="BP28" t="s">
        <v>700</v>
      </c>
      <c r="BQ28" t="s">
        <v>701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930</v>
      </c>
      <c r="DG28" s="1" t="s">
        <v>930</v>
      </c>
    </row>
    <row r="29" spans="1:111" ht="12" customHeight="1" x14ac:dyDescent="0.75">
      <c r="A29" s="14" t="s">
        <v>111</v>
      </c>
      <c r="B29" s="14" t="s">
        <v>0</v>
      </c>
      <c r="C29" s="14" t="s">
        <v>110</v>
      </c>
      <c r="D29" t="s">
        <v>155</v>
      </c>
      <c r="E29" s="25" t="s">
        <v>931</v>
      </c>
      <c r="F29" t="s">
        <v>155</v>
      </c>
      <c r="G29" s="25" t="s">
        <v>932</v>
      </c>
      <c r="H29" s="15" t="s">
        <v>44</v>
      </c>
      <c r="I29"/>
      <c r="J29"/>
      <c r="K29"/>
      <c r="L29"/>
      <c r="M29"/>
      <c r="N29"/>
      <c r="O29"/>
      <c r="P29"/>
      <c r="Q29"/>
      <c r="R29"/>
      <c r="S29"/>
      <c r="T29"/>
      <c r="U29">
        <v>278</v>
      </c>
      <c r="V29" s="16">
        <v>94</v>
      </c>
      <c r="W29" t="s">
        <v>64</v>
      </c>
      <c r="X29" t="s">
        <v>64</v>
      </c>
      <c r="Y29" s="19" t="s">
        <v>330</v>
      </c>
      <c r="Z29" t="s">
        <v>241</v>
      </c>
      <c r="AA29" t="s">
        <v>241</v>
      </c>
      <c r="AB29" t="s">
        <v>358</v>
      </c>
      <c r="AC29" t="s">
        <v>402</v>
      </c>
      <c r="AD29" t="s">
        <v>358</v>
      </c>
      <c r="AE29">
        <v>505586</v>
      </c>
      <c r="AF29" t="s">
        <v>430</v>
      </c>
      <c r="AG29"/>
      <c r="AH29"/>
      <c r="AI29"/>
      <c r="AJ29" s="16" t="s">
        <v>132</v>
      </c>
      <c r="AK29"/>
      <c r="AL29" s="16">
        <v>3639</v>
      </c>
      <c r="AM29" s="16" t="s">
        <v>211</v>
      </c>
      <c r="AN29"/>
      <c r="AO29" s="23" t="s">
        <v>475</v>
      </c>
      <c r="AP29"/>
      <c r="AQ29"/>
      <c r="AR29" t="s">
        <v>505</v>
      </c>
      <c r="AS29" t="s">
        <v>702</v>
      </c>
      <c r="AT29" t="s">
        <v>702</v>
      </c>
      <c r="AU29" t="s">
        <v>703</v>
      </c>
      <c r="AV29" t="s">
        <v>704</v>
      </c>
      <c r="AW29" s="24">
        <f t="shared" si="0"/>
        <v>55</v>
      </c>
      <c r="AX29" t="s">
        <v>635</v>
      </c>
      <c r="AY29" t="s">
        <v>636</v>
      </c>
      <c r="AZ29" t="s">
        <v>669</v>
      </c>
      <c r="BA29"/>
      <c r="BB29"/>
      <c r="BC29" t="s">
        <v>705</v>
      </c>
      <c r="BD29"/>
      <c r="BE29"/>
      <c r="BF29"/>
      <c r="BG29"/>
      <c r="BH29"/>
      <c r="BI29" t="s">
        <v>671</v>
      </c>
      <c r="BJ29"/>
      <c r="BK29"/>
      <c r="BL29" t="s">
        <v>558</v>
      </c>
      <c r="BM29" t="s">
        <v>664</v>
      </c>
      <c r="BN29" t="s">
        <v>559</v>
      </c>
      <c r="BO29"/>
      <c r="BP29"/>
      <c r="BQ29" t="s">
        <v>706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930</v>
      </c>
      <c r="DG29" s="1" t="s">
        <v>930</v>
      </c>
    </row>
    <row r="30" spans="1:111" ht="12" customHeight="1" x14ac:dyDescent="0.75">
      <c r="A30" s="14" t="s">
        <v>111</v>
      </c>
      <c r="B30" s="14" t="s">
        <v>0</v>
      </c>
      <c r="C30" s="14" t="s">
        <v>110</v>
      </c>
      <c r="D30" t="s">
        <v>155</v>
      </c>
      <c r="E30" s="25" t="s">
        <v>931</v>
      </c>
      <c r="F30" t="s">
        <v>155</v>
      </c>
      <c r="G30" s="25" t="s">
        <v>932</v>
      </c>
      <c r="H30" s="15" t="s">
        <v>44</v>
      </c>
      <c r="I30"/>
      <c r="J30"/>
      <c r="K30"/>
      <c r="L30"/>
      <c r="M30"/>
      <c r="N30"/>
      <c r="O30"/>
      <c r="P30"/>
      <c r="Q30"/>
      <c r="R30"/>
      <c r="S30"/>
      <c r="T30"/>
      <c r="U30">
        <v>279</v>
      </c>
      <c r="V30" s="16">
        <v>95</v>
      </c>
      <c r="W30" t="s">
        <v>64</v>
      </c>
      <c r="X30" t="s">
        <v>64</v>
      </c>
      <c r="Y30" s="19" t="s">
        <v>330</v>
      </c>
      <c r="Z30" t="s">
        <v>93</v>
      </c>
      <c r="AA30" t="s">
        <v>93</v>
      </c>
      <c r="AB30" t="s">
        <v>359</v>
      </c>
      <c r="AC30" t="s">
        <v>402</v>
      </c>
      <c r="AD30" t="s">
        <v>359</v>
      </c>
      <c r="AE30">
        <v>505587</v>
      </c>
      <c r="AF30" t="s">
        <v>431</v>
      </c>
      <c r="AG30"/>
      <c r="AH30"/>
      <c r="AI30"/>
      <c r="AJ30" s="16" t="s">
        <v>149</v>
      </c>
      <c r="AK30"/>
      <c r="AL30" s="16">
        <v>3639</v>
      </c>
      <c r="AM30" s="16" t="s">
        <v>122</v>
      </c>
      <c r="AN30"/>
      <c r="AO30" s="23" t="s">
        <v>475</v>
      </c>
      <c r="AP30"/>
      <c r="AQ30"/>
      <c r="AR30" t="s">
        <v>506</v>
      </c>
      <c r="AS30" t="s">
        <v>707</v>
      </c>
      <c r="AT30" t="s">
        <v>707</v>
      </c>
      <c r="AU30" t="s">
        <v>708</v>
      </c>
      <c r="AV30" t="s">
        <v>709</v>
      </c>
      <c r="AW30" s="24">
        <f t="shared" si="0"/>
        <v>55</v>
      </c>
      <c r="AX30" t="s">
        <v>635</v>
      </c>
      <c r="AY30" t="s">
        <v>636</v>
      </c>
      <c r="AZ30" t="s">
        <v>669</v>
      </c>
      <c r="BA30"/>
      <c r="BB30"/>
      <c r="BC30" t="s">
        <v>710</v>
      </c>
      <c r="BD30"/>
      <c r="BE30"/>
      <c r="BF30"/>
      <c r="BG30"/>
      <c r="BH30"/>
      <c r="BI30" t="s">
        <v>671</v>
      </c>
      <c r="BJ30"/>
      <c r="BK30"/>
      <c r="BL30" t="s">
        <v>558</v>
      </c>
      <c r="BM30" t="s">
        <v>664</v>
      </c>
      <c r="BN30" t="s">
        <v>559</v>
      </c>
      <c r="BO30"/>
      <c r="BP30" t="s">
        <v>711</v>
      </c>
      <c r="BQ30" t="s">
        <v>712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930</v>
      </c>
      <c r="DG30" s="1" t="s">
        <v>930</v>
      </c>
    </row>
    <row r="31" spans="1:111" ht="12" customHeight="1" x14ac:dyDescent="0.75">
      <c r="A31" s="14" t="s">
        <v>111</v>
      </c>
      <c r="B31" s="14" t="s">
        <v>0</v>
      </c>
      <c r="C31" s="14" t="s">
        <v>110</v>
      </c>
      <c r="D31" t="s">
        <v>155</v>
      </c>
      <c r="E31" s="25" t="s">
        <v>931</v>
      </c>
      <c r="F31" t="s">
        <v>155</v>
      </c>
      <c r="G31" s="25" t="s">
        <v>932</v>
      </c>
      <c r="H31" s="15" t="s">
        <v>44</v>
      </c>
      <c r="I31"/>
      <c r="J31"/>
      <c r="K31"/>
      <c r="L31"/>
      <c r="M31"/>
      <c r="N31"/>
      <c r="O31"/>
      <c r="P31"/>
      <c r="Q31"/>
      <c r="R31"/>
      <c r="S31"/>
      <c r="T31"/>
      <c r="U31">
        <v>280</v>
      </c>
      <c r="V31" s="16">
        <v>96</v>
      </c>
      <c r="W31" t="s">
        <v>64</v>
      </c>
      <c r="X31" t="s">
        <v>64</v>
      </c>
      <c r="Y31" s="19" t="s">
        <v>330</v>
      </c>
      <c r="Z31" t="s">
        <v>247</v>
      </c>
      <c r="AA31" t="s">
        <v>247</v>
      </c>
      <c r="AB31" t="s">
        <v>360</v>
      </c>
      <c r="AC31" t="s">
        <v>402</v>
      </c>
      <c r="AD31" t="s">
        <v>360</v>
      </c>
      <c r="AE31">
        <v>505588</v>
      </c>
      <c r="AF31" t="s">
        <v>432</v>
      </c>
      <c r="AG31"/>
      <c r="AH31"/>
      <c r="AI31"/>
      <c r="AJ31" s="16" t="s">
        <v>63</v>
      </c>
      <c r="AK31"/>
      <c r="AL31" s="16">
        <v>3639</v>
      </c>
      <c r="AM31" s="16" t="s">
        <v>304</v>
      </c>
      <c r="AN31"/>
      <c r="AO31" s="23" t="s">
        <v>475</v>
      </c>
      <c r="AP31"/>
      <c r="AQ31"/>
      <c r="AR31" t="s">
        <v>507</v>
      </c>
      <c r="AS31" t="s">
        <v>713</v>
      </c>
      <c r="AT31" t="s">
        <v>713</v>
      </c>
      <c r="AU31" t="s">
        <v>714</v>
      </c>
      <c r="AV31" t="s">
        <v>715</v>
      </c>
      <c r="AW31" s="24">
        <f t="shared" si="0"/>
        <v>55</v>
      </c>
      <c r="AX31" t="s">
        <v>635</v>
      </c>
      <c r="AY31" t="s">
        <v>636</v>
      </c>
      <c r="AZ31" t="s">
        <v>669</v>
      </c>
      <c r="BA31"/>
      <c r="BB31"/>
      <c r="BC31" t="s">
        <v>716</v>
      </c>
      <c r="BD31"/>
      <c r="BE31"/>
      <c r="BF31"/>
      <c r="BG31"/>
      <c r="BH31"/>
      <c r="BI31" t="s">
        <v>671</v>
      </c>
      <c r="BJ31"/>
      <c r="BK31"/>
      <c r="BL31" t="s">
        <v>558</v>
      </c>
      <c r="BM31" t="s">
        <v>664</v>
      </c>
      <c r="BN31" t="s">
        <v>559</v>
      </c>
      <c r="BO31"/>
      <c r="BP31"/>
      <c r="BQ31" t="s">
        <v>717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930</v>
      </c>
      <c r="DG31" s="1" t="s">
        <v>930</v>
      </c>
    </row>
    <row r="32" spans="1:111" ht="12" customHeight="1" x14ac:dyDescent="0.75">
      <c r="A32" s="14" t="s">
        <v>111</v>
      </c>
      <c r="B32" s="14" t="s">
        <v>0</v>
      </c>
      <c r="C32" s="14" t="s">
        <v>110</v>
      </c>
      <c r="D32" t="s">
        <v>155</v>
      </c>
      <c r="E32" s="25" t="s">
        <v>931</v>
      </c>
      <c r="F32" t="s">
        <v>155</v>
      </c>
      <c r="G32" s="25" t="s">
        <v>932</v>
      </c>
      <c r="H32" s="15" t="s">
        <v>44</v>
      </c>
      <c r="I32"/>
      <c r="J32"/>
      <c r="K32"/>
      <c r="L32"/>
      <c r="M32"/>
      <c r="N32"/>
      <c r="O32"/>
      <c r="P32"/>
      <c r="Q32"/>
      <c r="R32"/>
      <c r="S32"/>
      <c r="T32"/>
      <c r="U32">
        <v>281</v>
      </c>
      <c r="V32" s="16">
        <v>97</v>
      </c>
      <c r="W32" t="s">
        <v>64</v>
      </c>
      <c r="X32" t="s">
        <v>64</v>
      </c>
      <c r="Y32" s="19" t="s">
        <v>330</v>
      </c>
      <c r="Z32" t="s">
        <v>1</v>
      </c>
      <c r="AA32" t="s">
        <v>1</v>
      </c>
      <c r="AB32" t="s">
        <v>361</v>
      </c>
      <c r="AC32" t="s">
        <v>402</v>
      </c>
      <c r="AD32" t="s">
        <v>361</v>
      </c>
      <c r="AE32">
        <v>505589</v>
      </c>
      <c r="AF32" t="s">
        <v>433</v>
      </c>
      <c r="AG32"/>
      <c r="AH32"/>
      <c r="AI32"/>
      <c r="AJ32" s="16" t="s">
        <v>226</v>
      </c>
      <c r="AK32"/>
      <c r="AL32" s="16">
        <v>3639</v>
      </c>
      <c r="AM32" s="16" t="s">
        <v>221</v>
      </c>
      <c r="AN32"/>
      <c r="AO32" s="23" t="s">
        <v>475</v>
      </c>
      <c r="AP32"/>
      <c r="AQ32"/>
      <c r="AR32" t="s">
        <v>508</v>
      </c>
      <c r="AS32" t="s">
        <v>718</v>
      </c>
      <c r="AT32" t="s">
        <v>718</v>
      </c>
      <c r="AU32" t="s">
        <v>719</v>
      </c>
      <c r="AV32" t="s">
        <v>720</v>
      </c>
      <c r="AW32" s="24">
        <f t="shared" si="0"/>
        <v>55</v>
      </c>
      <c r="AX32" t="s">
        <v>635</v>
      </c>
      <c r="AY32" t="s">
        <v>636</v>
      </c>
      <c r="AZ32" t="s">
        <v>669</v>
      </c>
      <c r="BA32"/>
      <c r="BB32"/>
      <c r="BC32" t="s">
        <v>721</v>
      </c>
      <c r="BD32"/>
      <c r="BE32"/>
      <c r="BF32"/>
      <c r="BG32"/>
      <c r="BH32"/>
      <c r="BI32" t="s">
        <v>671</v>
      </c>
      <c r="BJ32"/>
      <c r="BK32"/>
      <c r="BL32" t="s">
        <v>558</v>
      </c>
      <c r="BM32" t="s">
        <v>664</v>
      </c>
      <c r="BN32" t="s">
        <v>559</v>
      </c>
      <c r="BO32"/>
      <c r="BP32" t="s">
        <v>722</v>
      </c>
      <c r="BQ32" t="s">
        <v>723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930</v>
      </c>
      <c r="DG32" s="1" t="s">
        <v>930</v>
      </c>
    </row>
    <row r="33" spans="1:111" ht="12" customHeight="1" x14ac:dyDescent="0.75">
      <c r="A33" s="14" t="s">
        <v>111</v>
      </c>
      <c r="B33" s="14" t="s">
        <v>0</v>
      </c>
      <c r="C33" s="14" t="s">
        <v>110</v>
      </c>
      <c r="D33" t="s">
        <v>155</v>
      </c>
      <c r="E33" s="25" t="s">
        <v>931</v>
      </c>
      <c r="F33" t="s">
        <v>155</v>
      </c>
      <c r="G33" s="25" t="s">
        <v>932</v>
      </c>
      <c r="H33" s="15" t="s">
        <v>44</v>
      </c>
      <c r="I33"/>
      <c r="J33"/>
      <c r="K33"/>
      <c r="L33"/>
      <c r="M33"/>
      <c r="N33"/>
      <c r="O33"/>
      <c r="P33"/>
      <c r="Q33"/>
      <c r="R33"/>
      <c r="S33"/>
      <c r="T33"/>
      <c r="U33">
        <v>282</v>
      </c>
      <c r="V33" s="16">
        <v>98</v>
      </c>
      <c r="W33" t="s">
        <v>64</v>
      </c>
      <c r="X33" t="s">
        <v>64</v>
      </c>
      <c r="Y33" s="19" t="s">
        <v>330</v>
      </c>
      <c r="Z33" t="s">
        <v>328</v>
      </c>
      <c r="AA33" t="s">
        <v>328</v>
      </c>
      <c r="AB33" s="20" t="s">
        <v>362</v>
      </c>
      <c r="AC33" s="20" t="s">
        <v>402</v>
      </c>
      <c r="AD33" s="20" t="s">
        <v>362</v>
      </c>
      <c r="AE33" s="20">
        <v>510607</v>
      </c>
      <c r="AF33" s="20" t="s">
        <v>434</v>
      </c>
      <c r="AG33"/>
      <c r="AH33"/>
      <c r="AI33"/>
      <c r="AJ33" s="16" t="s">
        <v>276</v>
      </c>
      <c r="AK33"/>
      <c r="AL33" s="16">
        <v>3639</v>
      </c>
      <c r="AM33" s="16" t="s">
        <v>98</v>
      </c>
      <c r="AN33"/>
      <c r="AO33" s="23" t="s">
        <v>477</v>
      </c>
      <c r="AP33"/>
      <c r="AQ33"/>
      <c r="AR33" s="20" t="s">
        <v>509</v>
      </c>
      <c r="AS33" s="20" t="s">
        <v>724</v>
      </c>
      <c r="AT33" s="20" t="s">
        <v>724</v>
      </c>
      <c r="AU33" s="20" t="s">
        <v>725</v>
      </c>
      <c r="AV33" s="20" t="s">
        <v>725</v>
      </c>
      <c r="AW33" s="24">
        <f t="shared" si="0"/>
        <v>56</v>
      </c>
      <c r="AX33" s="20" t="s">
        <v>726</v>
      </c>
      <c r="AY33" s="20" t="s">
        <v>553</v>
      </c>
      <c r="AZ33" s="20" t="s">
        <v>727</v>
      </c>
      <c r="BA33" s="20" t="s">
        <v>575</v>
      </c>
      <c r="BB33" s="20"/>
      <c r="BC33" s="20" t="s">
        <v>728</v>
      </c>
      <c r="BD33" s="20"/>
      <c r="BE33" s="20"/>
      <c r="BF33" s="20"/>
      <c r="BG33" s="20" t="s">
        <v>729</v>
      </c>
      <c r="BH33" s="20" t="s">
        <v>730</v>
      </c>
      <c r="BI33" s="20"/>
      <c r="BJ33" s="20"/>
      <c r="BK33" s="20"/>
      <c r="BL33" s="20" t="s">
        <v>558</v>
      </c>
      <c r="BM33" s="20"/>
      <c r="BN33" s="20" t="s">
        <v>559</v>
      </c>
      <c r="BO33" s="20"/>
      <c r="BP33" s="20" t="s">
        <v>731</v>
      </c>
      <c r="BQ33" s="20" t="s">
        <v>732</v>
      </c>
      <c r="BR33" s="20"/>
      <c r="BS33" s="20"/>
      <c r="BT33" s="20"/>
      <c r="BU33" s="20"/>
      <c r="BV33" s="20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930</v>
      </c>
      <c r="DG33" s="1" t="s">
        <v>930</v>
      </c>
    </row>
    <row r="34" spans="1:111" ht="12" customHeight="1" x14ac:dyDescent="0.75">
      <c r="A34" s="14" t="s">
        <v>111</v>
      </c>
      <c r="B34" s="14" t="s">
        <v>0</v>
      </c>
      <c r="C34" s="14" t="s">
        <v>110</v>
      </c>
      <c r="D34" t="s">
        <v>155</v>
      </c>
      <c r="E34" s="25" t="s">
        <v>931</v>
      </c>
      <c r="F34" t="s">
        <v>155</v>
      </c>
      <c r="G34" s="25" t="s">
        <v>932</v>
      </c>
      <c r="H34" s="15" t="s">
        <v>44</v>
      </c>
      <c r="I34"/>
      <c r="J34"/>
      <c r="K34"/>
      <c r="L34"/>
      <c r="M34"/>
      <c r="N34"/>
      <c r="O34"/>
      <c r="P34"/>
      <c r="Q34"/>
      <c r="R34"/>
      <c r="S34"/>
      <c r="T34"/>
      <c r="U34">
        <v>283</v>
      </c>
      <c r="V34" s="16">
        <v>99</v>
      </c>
      <c r="W34" t="s">
        <v>64</v>
      </c>
      <c r="X34" t="s">
        <v>64</v>
      </c>
      <c r="Y34" s="19" t="s">
        <v>330</v>
      </c>
      <c r="Z34" t="s">
        <v>163</v>
      </c>
      <c r="AA34" t="s">
        <v>163</v>
      </c>
      <c r="AB34" s="20" t="s">
        <v>363</v>
      </c>
      <c r="AC34" s="20" t="s">
        <v>402</v>
      </c>
      <c r="AD34" s="20" t="s">
        <v>363</v>
      </c>
      <c r="AE34" s="20">
        <v>510609</v>
      </c>
      <c r="AF34" s="20" t="s">
        <v>435</v>
      </c>
      <c r="AG34"/>
      <c r="AH34"/>
      <c r="AI34"/>
      <c r="AJ34" s="16" t="s">
        <v>43</v>
      </c>
      <c r="AK34"/>
      <c r="AL34" s="16">
        <v>3639</v>
      </c>
      <c r="AM34" s="16" t="s">
        <v>78</v>
      </c>
      <c r="AN34"/>
      <c r="AO34" s="23" t="s">
        <v>477</v>
      </c>
      <c r="AP34"/>
      <c r="AQ34"/>
      <c r="AR34" s="20" t="s">
        <v>510</v>
      </c>
      <c r="AS34" s="20" t="s">
        <v>733</v>
      </c>
      <c r="AT34" s="20" t="s">
        <v>733</v>
      </c>
      <c r="AU34" s="20" t="s">
        <v>734</v>
      </c>
      <c r="AV34" s="20" t="s">
        <v>734</v>
      </c>
      <c r="AW34" s="24">
        <f t="shared" si="0"/>
        <v>56</v>
      </c>
      <c r="AX34" s="20" t="s">
        <v>726</v>
      </c>
      <c r="AY34" s="20" t="s">
        <v>553</v>
      </c>
      <c r="AZ34" s="20" t="s">
        <v>727</v>
      </c>
      <c r="BA34" s="20" t="s">
        <v>564</v>
      </c>
      <c r="BB34" s="20"/>
      <c r="BC34" s="20" t="s">
        <v>728</v>
      </c>
      <c r="BD34" s="20"/>
      <c r="BE34" s="20"/>
      <c r="BF34" s="20"/>
      <c r="BG34" s="20" t="s">
        <v>729</v>
      </c>
      <c r="BH34" s="20" t="s">
        <v>730</v>
      </c>
      <c r="BI34" s="20"/>
      <c r="BJ34" s="20"/>
      <c r="BK34" s="20"/>
      <c r="BL34" s="20" t="s">
        <v>558</v>
      </c>
      <c r="BM34" s="20"/>
      <c r="BN34" s="20" t="s">
        <v>559</v>
      </c>
      <c r="BO34" s="20"/>
      <c r="BP34" s="20" t="s">
        <v>731</v>
      </c>
      <c r="BQ34" s="20" t="s">
        <v>735</v>
      </c>
      <c r="BR34" s="20"/>
      <c r="BS34" s="20"/>
      <c r="BT34" s="20"/>
      <c r="BU34" s="20"/>
      <c r="BV34" s="20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930</v>
      </c>
      <c r="DG34" s="1" t="s">
        <v>930</v>
      </c>
    </row>
    <row r="35" spans="1:111" ht="12" customHeight="1" x14ac:dyDescent="0.75">
      <c r="A35" s="14" t="s">
        <v>111</v>
      </c>
      <c r="B35" s="14" t="s">
        <v>0</v>
      </c>
      <c r="C35" s="14" t="s">
        <v>110</v>
      </c>
      <c r="D35" t="s">
        <v>155</v>
      </c>
      <c r="E35" s="25" t="s">
        <v>931</v>
      </c>
      <c r="F35" t="s">
        <v>155</v>
      </c>
      <c r="G35" s="25" t="s">
        <v>932</v>
      </c>
      <c r="H35" s="15" t="s">
        <v>44</v>
      </c>
      <c r="I35"/>
      <c r="J35"/>
      <c r="K35"/>
      <c r="L35"/>
      <c r="M35"/>
      <c r="N35"/>
      <c r="O35"/>
      <c r="P35"/>
      <c r="Q35"/>
      <c r="R35"/>
      <c r="S35"/>
      <c r="T35"/>
      <c r="U35">
        <v>284</v>
      </c>
      <c r="V35" s="16">
        <v>100</v>
      </c>
      <c r="W35" t="s">
        <v>64</v>
      </c>
      <c r="X35" t="s">
        <v>64</v>
      </c>
      <c r="Y35" s="19" t="s">
        <v>330</v>
      </c>
      <c r="Z35" t="s">
        <v>106</v>
      </c>
      <c r="AA35" t="s">
        <v>106</v>
      </c>
      <c r="AB35" s="20" t="s">
        <v>364</v>
      </c>
      <c r="AC35" s="20" t="s">
        <v>402</v>
      </c>
      <c r="AD35" s="20" t="s">
        <v>364</v>
      </c>
      <c r="AE35" s="20">
        <v>510610</v>
      </c>
      <c r="AF35" s="20" t="s">
        <v>436</v>
      </c>
      <c r="AG35"/>
      <c r="AH35"/>
      <c r="AI35"/>
      <c r="AJ35" s="16" t="s">
        <v>97</v>
      </c>
      <c r="AK35"/>
      <c r="AL35" s="16">
        <v>3639</v>
      </c>
      <c r="AM35" s="16" t="s">
        <v>35</v>
      </c>
      <c r="AN35"/>
      <c r="AO35" s="23" t="s">
        <v>477</v>
      </c>
      <c r="AP35"/>
      <c r="AQ35"/>
      <c r="AR35" s="20" t="s">
        <v>511</v>
      </c>
      <c r="AS35" s="20" t="s">
        <v>736</v>
      </c>
      <c r="AT35" s="20" t="s">
        <v>736</v>
      </c>
      <c r="AU35" s="20" t="s">
        <v>737</v>
      </c>
      <c r="AV35" s="20" t="s">
        <v>737</v>
      </c>
      <c r="AW35" s="24">
        <f t="shared" si="0"/>
        <v>57</v>
      </c>
      <c r="AX35" s="20" t="s">
        <v>726</v>
      </c>
      <c r="AY35" s="20" t="s">
        <v>553</v>
      </c>
      <c r="AZ35" s="20" t="s">
        <v>727</v>
      </c>
      <c r="BA35" s="20" t="s">
        <v>738</v>
      </c>
      <c r="BB35" s="20"/>
      <c r="BC35" s="20" t="s">
        <v>728</v>
      </c>
      <c r="BD35" s="20"/>
      <c r="BE35" s="20"/>
      <c r="BF35" s="20"/>
      <c r="BG35" s="20" t="s">
        <v>729</v>
      </c>
      <c r="BH35" s="20" t="s">
        <v>730</v>
      </c>
      <c r="BI35" s="20"/>
      <c r="BJ35" s="20"/>
      <c r="BK35" s="20"/>
      <c r="BL35" s="20" t="s">
        <v>558</v>
      </c>
      <c r="BM35" s="20"/>
      <c r="BN35" s="20" t="s">
        <v>559</v>
      </c>
      <c r="BO35" s="20"/>
      <c r="BP35" s="20" t="s">
        <v>731</v>
      </c>
      <c r="BQ35" s="20" t="s">
        <v>739</v>
      </c>
      <c r="BR35" s="20"/>
      <c r="BS35" s="20"/>
      <c r="BT35" s="20"/>
      <c r="BU35" s="20"/>
      <c r="BV35" s="20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930</v>
      </c>
      <c r="DG35" s="1" t="s">
        <v>930</v>
      </c>
    </row>
    <row r="36" spans="1:111" ht="12" customHeight="1" x14ac:dyDescent="0.75">
      <c r="A36" s="14" t="s">
        <v>111</v>
      </c>
      <c r="B36" s="14" t="s">
        <v>0</v>
      </c>
      <c r="C36" s="14" t="s">
        <v>110</v>
      </c>
      <c r="D36" t="s">
        <v>155</v>
      </c>
      <c r="E36" s="25" t="s">
        <v>931</v>
      </c>
      <c r="F36" t="s">
        <v>155</v>
      </c>
      <c r="G36" s="25" t="s">
        <v>932</v>
      </c>
      <c r="H36" s="15" t="s">
        <v>44</v>
      </c>
      <c r="I36"/>
      <c r="J36"/>
      <c r="K36"/>
      <c r="L36"/>
      <c r="M36"/>
      <c r="N36"/>
      <c r="O36"/>
      <c r="P36"/>
      <c r="Q36"/>
      <c r="R36"/>
      <c r="S36"/>
      <c r="T36"/>
      <c r="U36">
        <v>285</v>
      </c>
      <c r="V36" s="16">
        <v>101</v>
      </c>
      <c r="W36" t="s">
        <v>64</v>
      </c>
      <c r="X36" t="s">
        <v>64</v>
      </c>
      <c r="Y36" s="19" t="s">
        <v>330</v>
      </c>
      <c r="Z36" t="s">
        <v>82</v>
      </c>
      <c r="AA36" t="s">
        <v>82</v>
      </c>
      <c r="AB36" s="20" t="s">
        <v>365</v>
      </c>
      <c r="AC36" s="20" t="s">
        <v>402</v>
      </c>
      <c r="AD36" s="20" t="s">
        <v>365</v>
      </c>
      <c r="AE36" s="20">
        <v>510611</v>
      </c>
      <c r="AF36" s="20" t="s">
        <v>437</v>
      </c>
      <c r="AG36"/>
      <c r="AH36"/>
      <c r="AI36"/>
      <c r="AJ36" s="16" t="s">
        <v>264</v>
      </c>
      <c r="AK36"/>
      <c r="AL36" s="16">
        <v>3639</v>
      </c>
      <c r="AM36" s="16" t="s">
        <v>306</v>
      </c>
      <c r="AN36"/>
      <c r="AO36" s="23" t="s">
        <v>477</v>
      </c>
      <c r="AP36"/>
      <c r="AQ36"/>
      <c r="AR36" s="20" t="s">
        <v>512</v>
      </c>
      <c r="AS36" s="20" t="s">
        <v>740</v>
      </c>
      <c r="AT36" s="20" t="s">
        <v>740</v>
      </c>
      <c r="AU36" s="20" t="s">
        <v>741</v>
      </c>
      <c r="AV36" s="20" t="s">
        <v>741</v>
      </c>
      <c r="AW36" s="24">
        <f t="shared" si="0"/>
        <v>57</v>
      </c>
      <c r="AX36" s="20" t="s">
        <v>726</v>
      </c>
      <c r="AY36" s="20" t="s">
        <v>553</v>
      </c>
      <c r="AZ36" s="20" t="s">
        <v>727</v>
      </c>
      <c r="BA36" s="20" t="s">
        <v>570</v>
      </c>
      <c r="BB36" s="20"/>
      <c r="BC36" s="20" t="s">
        <v>728</v>
      </c>
      <c r="BD36" s="20"/>
      <c r="BE36" s="20"/>
      <c r="BF36" s="20"/>
      <c r="BG36" s="20" t="s">
        <v>729</v>
      </c>
      <c r="BH36" s="20" t="s">
        <v>730</v>
      </c>
      <c r="BI36" s="20"/>
      <c r="BJ36" s="20"/>
      <c r="BK36" s="20"/>
      <c r="BL36" s="20" t="s">
        <v>558</v>
      </c>
      <c r="BM36" s="20"/>
      <c r="BN36" s="20" t="s">
        <v>559</v>
      </c>
      <c r="BO36" s="20"/>
      <c r="BP36" s="20" t="s">
        <v>731</v>
      </c>
      <c r="BQ36" s="20" t="s">
        <v>742</v>
      </c>
      <c r="BR36" s="20"/>
      <c r="BS36" s="20"/>
      <c r="BT36" s="20"/>
      <c r="BU36" s="20"/>
      <c r="BV36" s="20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930</v>
      </c>
      <c r="DG36" s="1" t="s">
        <v>930</v>
      </c>
    </row>
    <row r="37" spans="1:111" ht="12" customHeight="1" x14ac:dyDescent="0.75">
      <c r="A37" s="14" t="s">
        <v>111</v>
      </c>
      <c r="B37" s="14" t="s">
        <v>0</v>
      </c>
      <c r="C37" s="14" t="s">
        <v>110</v>
      </c>
      <c r="D37" t="s">
        <v>155</v>
      </c>
      <c r="E37" s="25" t="s">
        <v>931</v>
      </c>
      <c r="F37" t="s">
        <v>155</v>
      </c>
      <c r="G37" s="25" t="s">
        <v>932</v>
      </c>
      <c r="H37" s="15" t="s">
        <v>44</v>
      </c>
      <c r="I37"/>
      <c r="J37"/>
      <c r="K37"/>
      <c r="L37"/>
      <c r="M37"/>
      <c r="N37"/>
      <c r="O37"/>
      <c r="P37"/>
      <c r="Q37"/>
      <c r="R37"/>
      <c r="S37"/>
      <c r="T37"/>
      <c r="U37">
        <v>286</v>
      </c>
      <c r="V37" s="16">
        <v>102</v>
      </c>
      <c r="W37" t="s">
        <v>64</v>
      </c>
      <c r="X37" t="s">
        <v>64</v>
      </c>
      <c r="Y37" s="19" t="s">
        <v>330</v>
      </c>
      <c r="Z37" t="s">
        <v>91</v>
      </c>
      <c r="AA37" t="s">
        <v>91</v>
      </c>
      <c r="AB37" t="s">
        <v>366</v>
      </c>
      <c r="AC37" t="s">
        <v>402</v>
      </c>
      <c r="AD37" t="s">
        <v>366</v>
      </c>
      <c r="AE37">
        <v>531084</v>
      </c>
      <c r="AF37" t="s">
        <v>438</v>
      </c>
      <c r="AG37"/>
      <c r="AH37"/>
      <c r="AI37"/>
      <c r="AJ37" s="16" t="s">
        <v>259</v>
      </c>
      <c r="AK37"/>
      <c r="AL37" s="16">
        <v>3639</v>
      </c>
      <c r="AM37" s="16" t="s">
        <v>201</v>
      </c>
      <c r="AN37"/>
      <c r="AO37" s="23" t="s">
        <v>478</v>
      </c>
      <c r="AP37"/>
      <c r="AQ37"/>
      <c r="AR37" t="s">
        <v>513</v>
      </c>
      <c r="AS37" t="s">
        <v>743</v>
      </c>
      <c r="AT37" t="s">
        <v>743</v>
      </c>
      <c r="AU37" t="s">
        <v>744</v>
      </c>
      <c r="AV37" t="s">
        <v>744</v>
      </c>
      <c r="AW37" s="24">
        <f t="shared" si="0"/>
        <v>54</v>
      </c>
      <c r="AX37" t="s">
        <v>745</v>
      </c>
      <c r="AY37" t="s">
        <v>553</v>
      </c>
      <c r="AZ37" t="s">
        <v>746</v>
      </c>
      <c r="BA37"/>
      <c r="BB37"/>
      <c r="BC37" t="s">
        <v>747</v>
      </c>
      <c r="BD37"/>
      <c r="BE37"/>
      <c r="BF37"/>
      <c r="BG37"/>
      <c r="BH37" t="s">
        <v>748</v>
      </c>
      <c r="BI37"/>
      <c r="BJ37"/>
      <c r="BK37"/>
      <c r="BL37" t="s">
        <v>558</v>
      </c>
      <c r="BM37"/>
      <c r="BN37" t="s">
        <v>559</v>
      </c>
      <c r="BO37"/>
      <c r="BP37" t="s">
        <v>749</v>
      </c>
      <c r="BQ37" t="s">
        <v>750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930</v>
      </c>
      <c r="DG37" s="1" t="s">
        <v>930</v>
      </c>
    </row>
    <row r="38" spans="1:111" ht="12" customHeight="1" x14ac:dyDescent="0.75">
      <c r="A38" s="14" t="s">
        <v>111</v>
      </c>
      <c r="B38" s="14" t="s">
        <v>0</v>
      </c>
      <c r="C38" s="14" t="s">
        <v>110</v>
      </c>
      <c r="D38" t="s">
        <v>155</v>
      </c>
      <c r="E38" s="25" t="s">
        <v>931</v>
      </c>
      <c r="F38" t="s">
        <v>155</v>
      </c>
      <c r="G38" s="25" t="s">
        <v>932</v>
      </c>
      <c r="H38" s="15" t="s">
        <v>44</v>
      </c>
      <c r="I38"/>
      <c r="J38"/>
      <c r="K38"/>
      <c r="L38"/>
      <c r="M38"/>
      <c r="N38"/>
      <c r="O38"/>
      <c r="P38"/>
      <c r="Q38"/>
      <c r="R38"/>
      <c r="S38"/>
      <c r="T38"/>
      <c r="U38">
        <v>287</v>
      </c>
      <c r="V38" s="16">
        <v>103</v>
      </c>
      <c r="W38" t="s">
        <v>64</v>
      </c>
      <c r="X38" t="s">
        <v>64</v>
      </c>
      <c r="Y38" s="19" t="s">
        <v>330</v>
      </c>
      <c r="Z38" t="s">
        <v>188</v>
      </c>
      <c r="AA38" t="s">
        <v>188</v>
      </c>
      <c r="AB38" t="s">
        <v>367</v>
      </c>
      <c r="AC38" t="s">
        <v>402</v>
      </c>
      <c r="AD38" t="s">
        <v>367</v>
      </c>
      <c r="AE38">
        <v>531085</v>
      </c>
      <c r="AF38" t="s">
        <v>439</v>
      </c>
      <c r="AG38"/>
      <c r="AH38"/>
      <c r="AI38"/>
      <c r="AJ38" s="16" t="s">
        <v>224</v>
      </c>
      <c r="AK38"/>
      <c r="AL38" s="16">
        <v>3639</v>
      </c>
      <c r="AM38" s="16" t="s">
        <v>250</v>
      </c>
      <c r="AN38"/>
      <c r="AO38" s="23" t="s">
        <v>478</v>
      </c>
      <c r="AP38"/>
      <c r="AQ38"/>
      <c r="AR38" t="s">
        <v>514</v>
      </c>
      <c r="AS38" t="s">
        <v>751</v>
      </c>
      <c r="AT38" t="s">
        <v>751</v>
      </c>
      <c r="AU38" t="s">
        <v>752</v>
      </c>
      <c r="AV38" t="s">
        <v>752</v>
      </c>
      <c r="AW38" s="24">
        <f t="shared" si="0"/>
        <v>50</v>
      </c>
      <c r="AX38" t="s">
        <v>745</v>
      </c>
      <c r="AY38" t="s">
        <v>553</v>
      </c>
      <c r="AZ38" t="s">
        <v>746</v>
      </c>
      <c r="BA38"/>
      <c r="BB38"/>
      <c r="BC38" t="s">
        <v>747</v>
      </c>
      <c r="BD38"/>
      <c r="BE38"/>
      <c r="BF38"/>
      <c r="BG38"/>
      <c r="BH38" t="s">
        <v>753</v>
      </c>
      <c r="BI38"/>
      <c r="BJ38"/>
      <c r="BK38"/>
      <c r="BL38" t="s">
        <v>558</v>
      </c>
      <c r="BM38"/>
      <c r="BN38" t="s">
        <v>559</v>
      </c>
      <c r="BO38"/>
      <c r="BP38"/>
      <c r="BQ38" t="s">
        <v>754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930</v>
      </c>
      <c r="DG38" s="1" t="s">
        <v>930</v>
      </c>
    </row>
    <row r="39" spans="1:111" ht="12" customHeight="1" x14ac:dyDescent="0.75">
      <c r="A39" s="14" t="s">
        <v>111</v>
      </c>
      <c r="B39" s="14" t="s">
        <v>0</v>
      </c>
      <c r="C39" s="14" t="s">
        <v>110</v>
      </c>
      <c r="D39" t="s">
        <v>155</v>
      </c>
      <c r="E39" s="25" t="s">
        <v>931</v>
      </c>
      <c r="F39" t="s">
        <v>155</v>
      </c>
      <c r="G39" s="25" t="s">
        <v>932</v>
      </c>
      <c r="H39" s="15" t="s">
        <v>44</v>
      </c>
      <c r="I39"/>
      <c r="J39"/>
      <c r="K39"/>
      <c r="L39"/>
      <c r="M39"/>
      <c r="N39"/>
      <c r="O39"/>
      <c r="P39"/>
      <c r="Q39"/>
      <c r="R39"/>
      <c r="S39"/>
      <c r="T39"/>
      <c r="U39">
        <v>288</v>
      </c>
      <c r="V39" s="16">
        <v>104</v>
      </c>
      <c r="W39" t="s">
        <v>64</v>
      </c>
      <c r="X39" t="s">
        <v>64</v>
      </c>
      <c r="Y39" s="19" t="s">
        <v>330</v>
      </c>
      <c r="Z39" t="s">
        <v>285</v>
      </c>
      <c r="AA39" t="s">
        <v>285</v>
      </c>
      <c r="AB39" t="s">
        <v>368</v>
      </c>
      <c r="AC39" t="s">
        <v>402</v>
      </c>
      <c r="AD39" t="s">
        <v>368</v>
      </c>
      <c r="AE39">
        <v>531118</v>
      </c>
      <c r="AF39" t="s">
        <v>440</v>
      </c>
      <c r="AG39"/>
      <c r="AH39"/>
      <c r="AI39"/>
      <c r="AJ39" s="16" t="s">
        <v>51</v>
      </c>
      <c r="AK39"/>
      <c r="AL39" s="16">
        <v>3639</v>
      </c>
      <c r="AM39" s="16" t="s">
        <v>207</v>
      </c>
      <c r="AN39"/>
      <c r="AO39" s="23" t="s">
        <v>478</v>
      </c>
      <c r="AP39"/>
      <c r="AQ39"/>
      <c r="AR39" t="s">
        <v>515</v>
      </c>
      <c r="AS39" t="s">
        <v>755</v>
      </c>
      <c r="AT39" t="s">
        <v>755</v>
      </c>
      <c r="AU39" t="s">
        <v>756</v>
      </c>
      <c r="AV39" t="s">
        <v>756</v>
      </c>
      <c r="AW39" s="24">
        <f t="shared" si="0"/>
        <v>50</v>
      </c>
      <c r="AX39" t="s">
        <v>745</v>
      </c>
      <c r="AY39" t="s">
        <v>553</v>
      </c>
      <c r="AZ39" t="s">
        <v>757</v>
      </c>
      <c r="BA39"/>
      <c r="BB39"/>
      <c r="BC39" t="s">
        <v>747</v>
      </c>
      <c r="BD39"/>
      <c r="BE39"/>
      <c r="BF39"/>
      <c r="BG39"/>
      <c r="BH39" t="s">
        <v>758</v>
      </c>
      <c r="BI39"/>
      <c r="BJ39"/>
      <c r="BK39"/>
      <c r="BL39" t="s">
        <v>558</v>
      </c>
      <c r="BM39"/>
      <c r="BN39" t="s">
        <v>559</v>
      </c>
      <c r="BO39"/>
      <c r="BP39"/>
      <c r="BQ39" t="s">
        <v>759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930</v>
      </c>
      <c r="DG39" s="1" t="s">
        <v>930</v>
      </c>
    </row>
    <row r="40" spans="1:111" ht="12" customHeight="1" x14ac:dyDescent="0.75">
      <c r="A40" s="14" t="s">
        <v>111</v>
      </c>
      <c r="B40" s="14" t="s">
        <v>0</v>
      </c>
      <c r="C40" s="14" t="s">
        <v>110</v>
      </c>
      <c r="D40" t="s">
        <v>155</v>
      </c>
      <c r="E40" s="25" t="s">
        <v>931</v>
      </c>
      <c r="F40" t="s">
        <v>155</v>
      </c>
      <c r="G40" s="25" t="s">
        <v>932</v>
      </c>
      <c r="H40" s="15" t="s">
        <v>44</v>
      </c>
      <c r="I40"/>
      <c r="J40"/>
      <c r="K40"/>
      <c r="L40"/>
      <c r="M40"/>
      <c r="N40"/>
      <c r="O40"/>
      <c r="P40"/>
      <c r="Q40"/>
      <c r="R40"/>
      <c r="S40"/>
      <c r="T40"/>
      <c r="U40">
        <v>289</v>
      </c>
      <c r="V40" s="16">
        <v>105</v>
      </c>
      <c r="W40" t="s">
        <v>64</v>
      </c>
      <c r="X40" t="s">
        <v>64</v>
      </c>
      <c r="Y40" s="19" t="s">
        <v>330</v>
      </c>
      <c r="Z40" t="s">
        <v>116</v>
      </c>
      <c r="AA40" t="s">
        <v>116</v>
      </c>
      <c r="AB40" t="s">
        <v>369</v>
      </c>
      <c r="AC40" t="s">
        <v>402</v>
      </c>
      <c r="AD40" t="s">
        <v>369</v>
      </c>
      <c r="AE40">
        <v>531133</v>
      </c>
      <c r="AF40" t="s">
        <v>441</v>
      </c>
      <c r="AG40"/>
      <c r="AH40"/>
      <c r="AI40"/>
      <c r="AJ40" s="16" t="s">
        <v>59</v>
      </c>
      <c r="AK40"/>
      <c r="AL40" s="16">
        <v>3639</v>
      </c>
      <c r="AM40" s="16" t="s">
        <v>118</v>
      </c>
      <c r="AN40"/>
      <c r="AO40" s="23" t="s">
        <v>478</v>
      </c>
      <c r="AP40"/>
      <c r="AQ40"/>
      <c r="AR40" s="17" t="s">
        <v>516</v>
      </c>
      <c r="AS40" t="s">
        <v>760</v>
      </c>
      <c r="AT40" t="s">
        <v>760</v>
      </c>
      <c r="AU40" t="s">
        <v>761</v>
      </c>
      <c r="AV40" t="s">
        <v>761</v>
      </c>
      <c r="AW40" s="24">
        <f t="shared" si="0"/>
        <v>45</v>
      </c>
      <c r="AX40" t="s">
        <v>745</v>
      </c>
      <c r="AY40" t="s">
        <v>553</v>
      </c>
      <c r="AZ40" t="s">
        <v>757</v>
      </c>
      <c r="BA40"/>
      <c r="BB40"/>
      <c r="BC40" t="s">
        <v>747</v>
      </c>
      <c r="BD40"/>
      <c r="BE40"/>
      <c r="BF40"/>
      <c r="BG40"/>
      <c r="BH40" s="17" t="s">
        <v>762</v>
      </c>
      <c r="BI40"/>
      <c r="BJ40"/>
      <c r="BK40"/>
      <c r="BL40" t="s">
        <v>558</v>
      </c>
      <c r="BM40"/>
      <c r="BN40" t="s">
        <v>559</v>
      </c>
      <c r="BO40"/>
      <c r="BP40"/>
      <c r="BQ40" t="s">
        <v>763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930</v>
      </c>
      <c r="DG40" s="1" t="s">
        <v>930</v>
      </c>
    </row>
    <row r="41" spans="1:111" ht="12" customHeight="1" x14ac:dyDescent="0.75">
      <c r="A41" s="14" t="s">
        <v>111</v>
      </c>
      <c r="B41" s="14" t="s">
        <v>0</v>
      </c>
      <c r="C41" s="14" t="s">
        <v>110</v>
      </c>
      <c r="D41" t="s">
        <v>155</v>
      </c>
      <c r="E41" s="25" t="s">
        <v>931</v>
      </c>
      <c r="F41" t="s">
        <v>155</v>
      </c>
      <c r="G41" s="25" t="s">
        <v>932</v>
      </c>
      <c r="H41" s="15" t="s">
        <v>44</v>
      </c>
      <c r="I41"/>
      <c r="J41"/>
      <c r="K41"/>
      <c r="L41"/>
      <c r="M41"/>
      <c r="N41"/>
      <c r="O41"/>
      <c r="P41"/>
      <c r="Q41"/>
      <c r="R41"/>
      <c r="S41"/>
      <c r="T41"/>
      <c r="U41">
        <v>290</v>
      </c>
      <c r="V41" s="16">
        <v>106</v>
      </c>
      <c r="W41" t="s">
        <v>64</v>
      </c>
      <c r="X41" t="s">
        <v>64</v>
      </c>
      <c r="Y41" s="19" t="s">
        <v>330</v>
      </c>
      <c r="Z41" t="s">
        <v>202</v>
      </c>
      <c r="AA41" t="s">
        <v>202</v>
      </c>
      <c r="AB41" t="s">
        <v>370</v>
      </c>
      <c r="AC41" t="s">
        <v>402</v>
      </c>
      <c r="AD41" t="s">
        <v>370</v>
      </c>
      <c r="AE41">
        <v>531190</v>
      </c>
      <c r="AF41" t="s">
        <v>442</v>
      </c>
      <c r="AG41"/>
      <c r="AH41"/>
      <c r="AI41"/>
      <c r="AJ41" s="16" t="s">
        <v>243</v>
      </c>
      <c r="AK41"/>
      <c r="AL41" s="16">
        <v>3639</v>
      </c>
      <c r="AM41" s="16" t="s">
        <v>300</v>
      </c>
      <c r="AN41"/>
      <c r="AO41" s="23" t="s">
        <v>478</v>
      </c>
      <c r="AP41"/>
      <c r="AQ41"/>
      <c r="AR41" t="s">
        <v>517</v>
      </c>
      <c r="AS41" t="s">
        <v>764</v>
      </c>
      <c r="AT41" t="s">
        <v>764</v>
      </c>
      <c r="AU41" t="s">
        <v>765</v>
      </c>
      <c r="AV41" t="s">
        <v>766</v>
      </c>
      <c r="AW41" s="24">
        <f t="shared" si="0"/>
        <v>57</v>
      </c>
      <c r="AX41" t="s">
        <v>745</v>
      </c>
      <c r="AY41" t="s">
        <v>553</v>
      </c>
      <c r="AZ41" t="s">
        <v>767</v>
      </c>
      <c r="BA41" t="s">
        <v>768</v>
      </c>
      <c r="BB41"/>
      <c r="BC41"/>
      <c r="BD41" t="s">
        <v>769</v>
      </c>
      <c r="BE41"/>
      <c r="BF41"/>
      <c r="BG41" t="s">
        <v>770</v>
      </c>
      <c r="BH41" t="s">
        <v>771</v>
      </c>
      <c r="BI41"/>
      <c r="BJ41"/>
      <c r="BK41"/>
      <c r="BL41" t="s">
        <v>558</v>
      </c>
      <c r="BM41"/>
      <c r="BN41" t="s">
        <v>559</v>
      </c>
      <c r="BO41"/>
      <c r="BP41"/>
      <c r="BQ41" t="s">
        <v>772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930</v>
      </c>
      <c r="DG41" s="1" t="s">
        <v>930</v>
      </c>
    </row>
    <row r="42" spans="1:111" ht="12" customHeight="1" x14ac:dyDescent="0.75">
      <c r="A42" s="14" t="s">
        <v>111</v>
      </c>
      <c r="B42" s="14" t="s">
        <v>0</v>
      </c>
      <c r="C42" s="14" t="s">
        <v>110</v>
      </c>
      <c r="D42" t="s">
        <v>155</v>
      </c>
      <c r="E42" s="25" t="s">
        <v>931</v>
      </c>
      <c r="F42" t="s">
        <v>155</v>
      </c>
      <c r="G42" s="25" t="s">
        <v>932</v>
      </c>
      <c r="H42" s="15" t="s">
        <v>44</v>
      </c>
      <c r="I42"/>
      <c r="J42"/>
      <c r="K42"/>
      <c r="L42"/>
      <c r="M42"/>
      <c r="N42"/>
      <c r="O42"/>
      <c r="P42"/>
      <c r="Q42"/>
      <c r="R42"/>
      <c r="S42"/>
      <c r="T42"/>
      <c r="U42">
        <v>291</v>
      </c>
      <c r="V42" s="16">
        <v>107</v>
      </c>
      <c r="W42" t="s">
        <v>64</v>
      </c>
      <c r="X42" t="s">
        <v>64</v>
      </c>
      <c r="Y42" s="19" t="s">
        <v>330</v>
      </c>
      <c r="Z42" t="s">
        <v>158</v>
      </c>
      <c r="AA42" t="s">
        <v>158</v>
      </c>
      <c r="AB42" t="s">
        <v>371</v>
      </c>
      <c r="AC42" t="s">
        <v>402</v>
      </c>
      <c r="AD42" t="s">
        <v>371</v>
      </c>
      <c r="AE42">
        <v>531237</v>
      </c>
      <c r="AF42" t="s">
        <v>443</v>
      </c>
      <c r="AG42"/>
      <c r="AH42"/>
      <c r="AI42"/>
      <c r="AJ42" s="16" t="s">
        <v>72</v>
      </c>
      <c r="AK42"/>
      <c r="AL42" s="16">
        <v>3639</v>
      </c>
      <c r="AM42" s="16" t="s">
        <v>216</v>
      </c>
      <c r="AN42"/>
      <c r="AO42" s="23" t="s">
        <v>478</v>
      </c>
      <c r="AP42"/>
      <c r="AQ42"/>
      <c r="AR42" t="s">
        <v>518</v>
      </c>
      <c r="AS42" t="s">
        <v>773</v>
      </c>
      <c r="AT42" t="s">
        <v>773</v>
      </c>
      <c r="AU42" t="s">
        <v>774</v>
      </c>
      <c r="AV42" t="s">
        <v>775</v>
      </c>
      <c r="AW42" s="24">
        <f t="shared" si="0"/>
        <v>60</v>
      </c>
      <c r="AX42" t="s">
        <v>745</v>
      </c>
      <c r="AY42" t="s">
        <v>553</v>
      </c>
      <c r="AZ42" t="s">
        <v>776</v>
      </c>
      <c r="BA42"/>
      <c r="BB42"/>
      <c r="BC42" t="s">
        <v>777</v>
      </c>
      <c r="BD42" t="s">
        <v>778</v>
      </c>
      <c r="BE42"/>
      <c r="BF42"/>
      <c r="BG42" t="s">
        <v>770</v>
      </c>
      <c r="BH42" t="s">
        <v>779</v>
      </c>
      <c r="BI42"/>
      <c r="BJ42"/>
      <c r="BK42"/>
      <c r="BL42" t="s">
        <v>558</v>
      </c>
      <c r="BM42"/>
      <c r="BN42" t="s">
        <v>559</v>
      </c>
      <c r="BO42"/>
      <c r="BP42" t="s">
        <v>780</v>
      </c>
      <c r="BQ42" t="s">
        <v>781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930</v>
      </c>
      <c r="DG42" s="1" t="s">
        <v>930</v>
      </c>
    </row>
    <row r="43" spans="1:111" ht="12" customHeight="1" x14ac:dyDescent="0.75">
      <c r="A43" s="14" t="s">
        <v>111</v>
      </c>
      <c r="B43" s="14" t="s">
        <v>0</v>
      </c>
      <c r="C43" s="14" t="s">
        <v>110</v>
      </c>
      <c r="D43" t="s">
        <v>155</v>
      </c>
      <c r="E43" s="25" t="s">
        <v>931</v>
      </c>
      <c r="F43" t="s">
        <v>155</v>
      </c>
      <c r="G43" s="25" t="s">
        <v>932</v>
      </c>
      <c r="H43" s="15" t="s">
        <v>44</v>
      </c>
      <c r="I43"/>
      <c r="J43"/>
      <c r="K43"/>
      <c r="L43"/>
      <c r="M43"/>
      <c r="N43"/>
      <c r="O43"/>
      <c r="P43"/>
      <c r="Q43"/>
      <c r="R43"/>
      <c r="S43"/>
      <c r="T43"/>
      <c r="U43">
        <v>292</v>
      </c>
      <c r="V43" s="16">
        <v>108</v>
      </c>
      <c r="W43" t="s">
        <v>64</v>
      </c>
      <c r="X43" t="s">
        <v>64</v>
      </c>
      <c r="Y43" s="19" t="s">
        <v>330</v>
      </c>
      <c r="Z43" t="s">
        <v>321</v>
      </c>
      <c r="AA43" t="s">
        <v>321</v>
      </c>
      <c r="AB43" t="s">
        <v>372</v>
      </c>
      <c r="AC43" t="s">
        <v>402</v>
      </c>
      <c r="AD43" t="s">
        <v>372</v>
      </c>
      <c r="AE43">
        <v>531297</v>
      </c>
      <c r="AF43" t="s">
        <v>444</v>
      </c>
      <c r="AG43"/>
      <c r="AH43"/>
      <c r="AI43"/>
      <c r="AJ43" s="16" t="s">
        <v>105</v>
      </c>
      <c r="AK43"/>
      <c r="AL43" s="16">
        <v>3639</v>
      </c>
      <c r="AM43" s="16" t="s">
        <v>162</v>
      </c>
      <c r="AN43"/>
      <c r="AO43" s="23" t="s">
        <v>478</v>
      </c>
      <c r="AP43"/>
      <c r="AQ43"/>
      <c r="AR43" t="s">
        <v>519</v>
      </c>
      <c r="AS43" t="s">
        <v>782</v>
      </c>
      <c r="AT43" t="s">
        <v>782</v>
      </c>
      <c r="AU43" t="s">
        <v>783</v>
      </c>
      <c r="AV43" t="s">
        <v>784</v>
      </c>
      <c r="AW43" s="24">
        <f t="shared" si="0"/>
        <v>60</v>
      </c>
      <c r="AX43" t="s">
        <v>745</v>
      </c>
      <c r="AY43" t="s">
        <v>553</v>
      </c>
      <c r="AZ43" t="s">
        <v>776</v>
      </c>
      <c r="BA43"/>
      <c r="BB43"/>
      <c r="BC43" t="s">
        <v>785</v>
      </c>
      <c r="BD43" t="s">
        <v>778</v>
      </c>
      <c r="BE43"/>
      <c r="BF43"/>
      <c r="BG43" t="s">
        <v>770</v>
      </c>
      <c r="BH43" t="s">
        <v>779</v>
      </c>
      <c r="BI43"/>
      <c r="BJ43"/>
      <c r="BK43"/>
      <c r="BL43" t="s">
        <v>558</v>
      </c>
      <c r="BM43"/>
      <c r="BN43" t="s">
        <v>559</v>
      </c>
      <c r="BO43"/>
      <c r="BP43" t="s">
        <v>786</v>
      </c>
      <c r="BQ43" t="s">
        <v>787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930</v>
      </c>
      <c r="DG43" s="1" t="s">
        <v>930</v>
      </c>
    </row>
    <row r="44" spans="1:111" ht="12" customHeight="1" x14ac:dyDescent="0.75">
      <c r="A44" s="14" t="s">
        <v>111</v>
      </c>
      <c r="B44" s="14" t="s">
        <v>0</v>
      </c>
      <c r="C44" s="14" t="s">
        <v>110</v>
      </c>
      <c r="D44" t="s">
        <v>155</v>
      </c>
      <c r="E44" s="25" t="s">
        <v>931</v>
      </c>
      <c r="F44" t="s">
        <v>155</v>
      </c>
      <c r="G44" s="25" t="s">
        <v>932</v>
      </c>
      <c r="H44" s="15" t="s">
        <v>44</v>
      </c>
      <c r="I44"/>
      <c r="J44"/>
      <c r="K44"/>
      <c r="L44"/>
      <c r="M44"/>
      <c r="N44"/>
      <c r="O44"/>
      <c r="P44"/>
      <c r="Q44"/>
      <c r="R44"/>
      <c r="S44"/>
      <c r="T44"/>
      <c r="U44">
        <v>293</v>
      </c>
      <c r="V44" s="16">
        <v>109</v>
      </c>
      <c r="W44" t="s">
        <v>64</v>
      </c>
      <c r="X44" t="s">
        <v>64</v>
      </c>
      <c r="Y44" s="19" t="s">
        <v>330</v>
      </c>
      <c r="Z44" t="s">
        <v>3</v>
      </c>
      <c r="AA44" t="s">
        <v>3</v>
      </c>
      <c r="AB44" t="s">
        <v>373</v>
      </c>
      <c r="AC44" t="s">
        <v>402</v>
      </c>
      <c r="AD44" t="s">
        <v>373</v>
      </c>
      <c r="AE44">
        <v>531376</v>
      </c>
      <c r="AF44" t="s">
        <v>445</v>
      </c>
      <c r="AG44"/>
      <c r="AH44"/>
      <c r="AI44"/>
      <c r="AJ44" s="16" t="s">
        <v>325</v>
      </c>
      <c r="AK44"/>
      <c r="AL44" s="16">
        <v>3639</v>
      </c>
      <c r="AM44" s="16" t="s">
        <v>324</v>
      </c>
      <c r="AN44"/>
      <c r="AO44" s="23" t="s">
        <v>478</v>
      </c>
      <c r="AP44"/>
      <c r="AQ44"/>
      <c r="AR44" t="s">
        <v>520</v>
      </c>
      <c r="AS44" t="s">
        <v>788</v>
      </c>
      <c r="AT44" t="s">
        <v>788</v>
      </c>
      <c r="AU44" t="s">
        <v>789</v>
      </c>
      <c r="AV44" t="s">
        <v>789</v>
      </c>
      <c r="AW44" s="24">
        <f t="shared" si="0"/>
        <v>59</v>
      </c>
      <c r="AX44" t="s">
        <v>745</v>
      </c>
      <c r="AY44" t="s">
        <v>553</v>
      </c>
      <c r="AZ44" t="s">
        <v>790</v>
      </c>
      <c r="BA44" t="s">
        <v>791</v>
      </c>
      <c r="BB44"/>
      <c r="BC44" t="s">
        <v>792</v>
      </c>
      <c r="BD44"/>
      <c r="BE44"/>
      <c r="BF44"/>
      <c r="BG44"/>
      <c r="BH44" t="s">
        <v>793</v>
      </c>
      <c r="BI44"/>
      <c r="BJ44"/>
      <c r="BK44"/>
      <c r="BL44" t="s">
        <v>558</v>
      </c>
      <c r="BM44"/>
      <c r="BN44" t="s">
        <v>559</v>
      </c>
      <c r="BO44"/>
      <c r="BP44" t="s">
        <v>794</v>
      </c>
      <c r="BQ44" t="s">
        <v>795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930</v>
      </c>
      <c r="DG44" s="1" t="s">
        <v>930</v>
      </c>
    </row>
    <row r="45" spans="1:111" ht="12" customHeight="1" x14ac:dyDescent="0.75">
      <c r="A45" s="14" t="s">
        <v>111</v>
      </c>
      <c r="B45" s="14" t="s">
        <v>0</v>
      </c>
      <c r="C45" s="14" t="s">
        <v>110</v>
      </c>
      <c r="D45" t="s">
        <v>155</v>
      </c>
      <c r="E45" s="25" t="s">
        <v>931</v>
      </c>
      <c r="F45" t="s">
        <v>155</v>
      </c>
      <c r="G45" s="25" t="s">
        <v>932</v>
      </c>
      <c r="H45" s="15" t="s">
        <v>44</v>
      </c>
      <c r="I45"/>
      <c r="J45"/>
      <c r="K45"/>
      <c r="L45"/>
      <c r="M45"/>
      <c r="N45"/>
      <c r="O45"/>
      <c r="P45"/>
      <c r="Q45"/>
      <c r="R45"/>
      <c r="S45"/>
      <c r="T45"/>
      <c r="U45">
        <v>294</v>
      </c>
      <c r="V45" s="16">
        <v>110</v>
      </c>
      <c r="W45" t="s">
        <v>64</v>
      </c>
      <c r="X45" t="s">
        <v>64</v>
      </c>
      <c r="Y45" s="19" t="s">
        <v>330</v>
      </c>
      <c r="Z45" t="s">
        <v>267</v>
      </c>
      <c r="AA45" t="s">
        <v>267</v>
      </c>
      <c r="AB45" t="s">
        <v>374</v>
      </c>
      <c r="AC45" t="s">
        <v>402</v>
      </c>
      <c r="AD45" t="s">
        <v>374</v>
      </c>
      <c r="AE45">
        <v>531377</v>
      </c>
      <c r="AF45" t="s">
        <v>446</v>
      </c>
      <c r="AG45"/>
      <c r="AH45"/>
      <c r="AI45"/>
      <c r="AJ45" s="16" t="s">
        <v>213</v>
      </c>
      <c r="AK45"/>
      <c r="AL45" s="16">
        <v>3639</v>
      </c>
      <c r="AM45" s="16" t="s">
        <v>31</v>
      </c>
      <c r="AN45"/>
      <c r="AO45" s="23" t="s">
        <v>478</v>
      </c>
      <c r="AP45"/>
      <c r="AQ45"/>
      <c r="AR45" t="s">
        <v>521</v>
      </c>
      <c r="AS45" t="s">
        <v>796</v>
      </c>
      <c r="AT45" t="s">
        <v>796</v>
      </c>
      <c r="AU45" t="s">
        <v>797</v>
      </c>
      <c r="AV45" t="s">
        <v>797</v>
      </c>
      <c r="AW45" s="24">
        <f t="shared" si="0"/>
        <v>59</v>
      </c>
      <c r="AX45" t="s">
        <v>745</v>
      </c>
      <c r="AY45" t="s">
        <v>553</v>
      </c>
      <c r="AZ45" t="s">
        <v>790</v>
      </c>
      <c r="BA45" t="s">
        <v>798</v>
      </c>
      <c r="BB45"/>
      <c r="BC45" t="s">
        <v>792</v>
      </c>
      <c r="BD45"/>
      <c r="BE45"/>
      <c r="BF45"/>
      <c r="BG45"/>
      <c r="BH45" t="s">
        <v>793</v>
      </c>
      <c r="BI45"/>
      <c r="BJ45"/>
      <c r="BK45"/>
      <c r="BL45" t="s">
        <v>558</v>
      </c>
      <c r="BM45"/>
      <c r="BN45" t="s">
        <v>559</v>
      </c>
      <c r="BO45"/>
      <c r="BP45" t="s">
        <v>794</v>
      </c>
      <c r="BQ45" t="s">
        <v>799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930</v>
      </c>
      <c r="DG45" s="1" t="s">
        <v>930</v>
      </c>
    </row>
    <row r="46" spans="1:111" ht="12" customHeight="1" x14ac:dyDescent="0.75">
      <c r="A46" s="14" t="s">
        <v>111</v>
      </c>
      <c r="B46" s="14" t="s">
        <v>0</v>
      </c>
      <c r="C46" s="14" t="s">
        <v>110</v>
      </c>
      <c r="D46" t="s">
        <v>155</v>
      </c>
      <c r="E46" s="25" t="s">
        <v>931</v>
      </c>
      <c r="F46" t="s">
        <v>155</v>
      </c>
      <c r="G46" s="25" t="s">
        <v>932</v>
      </c>
      <c r="H46" s="15" t="s">
        <v>44</v>
      </c>
      <c r="I46"/>
      <c r="J46"/>
      <c r="K46"/>
      <c r="L46"/>
      <c r="M46"/>
      <c r="N46"/>
      <c r="O46"/>
      <c r="P46"/>
      <c r="Q46"/>
      <c r="R46"/>
      <c r="S46"/>
      <c r="T46"/>
      <c r="U46">
        <v>295</v>
      </c>
      <c r="V46" s="16">
        <v>111</v>
      </c>
      <c r="W46" t="s">
        <v>64</v>
      </c>
      <c r="X46" t="s">
        <v>64</v>
      </c>
      <c r="Y46" s="19" t="s">
        <v>330</v>
      </c>
      <c r="Z46" t="s">
        <v>129</v>
      </c>
      <c r="AA46" t="s">
        <v>129</v>
      </c>
      <c r="AB46" t="s">
        <v>375</v>
      </c>
      <c r="AC46" t="s">
        <v>402</v>
      </c>
      <c r="AD46" t="s">
        <v>375</v>
      </c>
      <c r="AE46">
        <v>531404</v>
      </c>
      <c r="AF46" t="s">
        <v>447</v>
      </c>
      <c r="AG46"/>
      <c r="AH46"/>
      <c r="AI46"/>
      <c r="AJ46" s="16" t="s">
        <v>152</v>
      </c>
      <c r="AK46"/>
      <c r="AL46" s="16">
        <v>3639</v>
      </c>
      <c r="AM46" s="16" t="s">
        <v>230</v>
      </c>
      <c r="AN46"/>
      <c r="AO46" s="23" t="s">
        <v>478</v>
      </c>
      <c r="AP46"/>
      <c r="AQ46"/>
      <c r="AR46" t="s">
        <v>522</v>
      </c>
      <c r="AS46" t="s">
        <v>800</v>
      </c>
      <c r="AT46" t="s">
        <v>800</v>
      </c>
      <c r="AU46" t="s">
        <v>801</v>
      </c>
      <c r="AV46" t="s">
        <v>802</v>
      </c>
      <c r="AW46" s="24">
        <f t="shared" si="0"/>
        <v>59</v>
      </c>
      <c r="AX46" t="s">
        <v>745</v>
      </c>
      <c r="AY46" t="s">
        <v>553</v>
      </c>
      <c r="AZ46" t="s">
        <v>790</v>
      </c>
      <c r="BA46" t="s">
        <v>803</v>
      </c>
      <c r="BB46"/>
      <c r="BC46" t="s">
        <v>777</v>
      </c>
      <c r="BD46"/>
      <c r="BE46"/>
      <c r="BF46"/>
      <c r="BG46" t="s">
        <v>804</v>
      </c>
      <c r="BH46" t="s">
        <v>805</v>
      </c>
      <c r="BI46"/>
      <c r="BJ46"/>
      <c r="BK46"/>
      <c r="BL46" t="s">
        <v>558</v>
      </c>
      <c r="BM46"/>
      <c r="BN46" t="s">
        <v>559</v>
      </c>
      <c r="BO46"/>
      <c r="BP46" t="s">
        <v>780</v>
      </c>
      <c r="BQ46" t="s">
        <v>806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930</v>
      </c>
      <c r="DG46" s="1" t="s">
        <v>930</v>
      </c>
    </row>
    <row r="47" spans="1:111" ht="12" customHeight="1" x14ac:dyDescent="0.75">
      <c r="A47" s="14" t="s">
        <v>111</v>
      </c>
      <c r="B47" s="14" t="s">
        <v>0</v>
      </c>
      <c r="C47" s="14" t="s">
        <v>110</v>
      </c>
      <c r="D47" t="s">
        <v>155</v>
      </c>
      <c r="E47" s="25" t="s">
        <v>931</v>
      </c>
      <c r="F47" t="s">
        <v>155</v>
      </c>
      <c r="G47" s="25" t="s">
        <v>932</v>
      </c>
      <c r="H47" s="15" t="s">
        <v>44</v>
      </c>
      <c r="I47"/>
      <c r="J47"/>
      <c r="K47"/>
      <c r="L47"/>
      <c r="M47"/>
      <c r="N47"/>
      <c r="O47"/>
      <c r="P47"/>
      <c r="Q47"/>
      <c r="R47"/>
      <c r="S47"/>
      <c r="T47"/>
      <c r="U47">
        <v>296</v>
      </c>
      <c r="V47" s="16">
        <v>112</v>
      </c>
      <c r="W47" t="s">
        <v>64</v>
      </c>
      <c r="X47" t="s">
        <v>64</v>
      </c>
      <c r="Y47" s="19" t="s">
        <v>330</v>
      </c>
      <c r="Z47" t="s">
        <v>39</v>
      </c>
      <c r="AA47" t="s">
        <v>39</v>
      </c>
      <c r="AB47" t="s">
        <v>376</v>
      </c>
      <c r="AC47" t="s">
        <v>402</v>
      </c>
      <c r="AD47" t="s">
        <v>376</v>
      </c>
      <c r="AE47">
        <v>531411</v>
      </c>
      <c r="AF47" t="s">
        <v>448</v>
      </c>
      <c r="AG47"/>
      <c r="AH47"/>
      <c r="AI47"/>
      <c r="AJ47" s="16" t="s">
        <v>258</v>
      </c>
      <c r="AK47"/>
      <c r="AL47" s="16">
        <v>3639</v>
      </c>
      <c r="AM47" s="16" t="s">
        <v>286</v>
      </c>
      <c r="AN47"/>
      <c r="AO47" s="23" t="s">
        <v>478</v>
      </c>
      <c r="AP47"/>
      <c r="AQ47"/>
      <c r="AR47" t="s">
        <v>523</v>
      </c>
      <c r="AS47" t="s">
        <v>807</v>
      </c>
      <c r="AT47" t="s">
        <v>807</v>
      </c>
      <c r="AU47" t="s">
        <v>808</v>
      </c>
      <c r="AV47" t="s">
        <v>809</v>
      </c>
      <c r="AW47" s="24">
        <f t="shared" si="0"/>
        <v>59</v>
      </c>
      <c r="AX47" t="s">
        <v>745</v>
      </c>
      <c r="AY47" t="s">
        <v>553</v>
      </c>
      <c r="AZ47" t="s">
        <v>790</v>
      </c>
      <c r="BA47" t="s">
        <v>810</v>
      </c>
      <c r="BB47"/>
      <c r="BC47" t="s">
        <v>777</v>
      </c>
      <c r="BD47"/>
      <c r="BE47"/>
      <c r="BF47"/>
      <c r="BG47" t="s">
        <v>804</v>
      </c>
      <c r="BH47" t="s">
        <v>811</v>
      </c>
      <c r="BI47"/>
      <c r="BJ47"/>
      <c r="BK47"/>
      <c r="BL47" t="s">
        <v>558</v>
      </c>
      <c r="BM47"/>
      <c r="BN47" t="s">
        <v>559</v>
      </c>
      <c r="BO47"/>
      <c r="BP47" t="s">
        <v>780</v>
      </c>
      <c r="BQ47" t="s">
        <v>812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930</v>
      </c>
      <c r="DG47" s="1" t="s">
        <v>930</v>
      </c>
    </row>
    <row r="48" spans="1:111" ht="12" customHeight="1" x14ac:dyDescent="0.75">
      <c r="A48" s="14" t="s">
        <v>111</v>
      </c>
      <c r="B48" s="14" t="s">
        <v>0</v>
      </c>
      <c r="C48" s="14" t="s">
        <v>110</v>
      </c>
      <c r="D48" t="s">
        <v>155</v>
      </c>
      <c r="E48" s="25" t="s">
        <v>931</v>
      </c>
      <c r="F48" t="s">
        <v>155</v>
      </c>
      <c r="G48" s="25" t="s">
        <v>932</v>
      </c>
      <c r="H48" s="15" t="s">
        <v>44</v>
      </c>
      <c r="I48"/>
      <c r="J48"/>
      <c r="K48"/>
      <c r="L48"/>
      <c r="M48"/>
      <c r="N48"/>
      <c r="O48"/>
      <c r="P48"/>
      <c r="Q48"/>
      <c r="R48"/>
      <c r="S48"/>
      <c r="T48"/>
      <c r="U48">
        <v>297</v>
      </c>
      <c r="V48" s="16">
        <v>113</v>
      </c>
      <c r="W48" t="s">
        <v>64</v>
      </c>
      <c r="X48" t="s">
        <v>64</v>
      </c>
      <c r="Y48" s="19" t="s">
        <v>330</v>
      </c>
      <c r="Z48" t="s">
        <v>227</v>
      </c>
      <c r="AA48" t="s">
        <v>227</v>
      </c>
      <c r="AB48" t="s">
        <v>377</v>
      </c>
      <c r="AC48" t="s">
        <v>402</v>
      </c>
      <c r="AD48" t="s">
        <v>377</v>
      </c>
      <c r="AE48">
        <v>531416</v>
      </c>
      <c r="AF48" t="s">
        <v>449</v>
      </c>
      <c r="AG48"/>
      <c r="AH48"/>
      <c r="AI48"/>
      <c r="AJ48" s="16" t="s">
        <v>327</v>
      </c>
      <c r="AK48"/>
      <c r="AL48" s="16">
        <v>3639</v>
      </c>
      <c r="AM48" s="16" t="s">
        <v>249</v>
      </c>
      <c r="AN48"/>
      <c r="AO48" s="23" t="s">
        <v>478</v>
      </c>
      <c r="AP48"/>
      <c r="AQ48"/>
      <c r="AR48" t="s">
        <v>524</v>
      </c>
      <c r="AS48" t="s">
        <v>813</v>
      </c>
      <c r="AT48" t="s">
        <v>813</v>
      </c>
      <c r="AU48" t="s">
        <v>814</v>
      </c>
      <c r="AV48" t="s">
        <v>815</v>
      </c>
      <c r="AW48" s="24">
        <f t="shared" si="0"/>
        <v>59</v>
      </c>
      <c r="AX48" t="s">
        <v>745</v>
      </c>
      <c r="AY48" t="s">
        <v>553</v>
      </c>
      <c r="AZ48" t="s">
        <v>790</v>
      </c>
      <c r="BA48" t="s">
        <v>803</v>
      </c>
      <c r="BB48"/>
      <c r="BC48" t="s">
        <v>816</v>
      </c>
      <c r="BD48"/>
      <c r="BE48"/>
      <c r="BF48"/>
      <c r="BG48" t="s">
        <v>804</v>
      </c>
      <c r="BH48" t="s">
        <v>805</v>
      </c>
      <c r="BI48"/>
      <c r="BJ48"/>
      <c r="BK48"/>
      <c r="BL48" t="s">
        <v>558</v>
      </c>
      <c r="BM48"/>
      <c r="BN48" t="s">
        <v>559</v>
      </c>
      <c r="BO48"/>
      <c r="BP48"/>
      <c r="BQ48" t="s">
        <v>817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930</v>
      </c>
      <c r="DG48" s="1" t="s">
        <v>930</v>
      </c>
    </row>
    <row r="49" spans="1:111" ht="12" customHeight="1" x14ac:dyDescent="0.75">
      <c r="A49" s="14" t="s">
        <v>111</v>
      </c>
      <c r="B49" s="14" t="s">
        <v>0</v>
      </c>
      <c r="C49" s="14" t="s">
        <v>110</v>
      </c>
      <c r="D49" t="s">
        <v>155</v>
      </c>
      <c r="E49" s="25" t="s">
        <v>931</v>
      </c>
      <c r="F49" t="s">
        <v>155</v>
      </c>
      <c r="G49" s="25" t="s">
        <v>932</v>
      </c>
      <c r="H49" s="15" t="s">
        <v>44</v>
      </c>
      <c r="I49"/>
      <c r="J49"/>
      <c r="K49"/>
      <c r="L49"/>
      <c r="M49"/>
      <c r="N49"/>
      <c r="O49"/>
      <c r="P49"/>
      <c r="Q49"/>
      <c r="R49"/>
      <c r="S49"/>
      <c r="T49"/>
      <c r="U49">
        <v>298</v>
      </c>
      <c r="V49" s="16">
        <v>114</v>
      </c>
      <c r="W49" t="s">
        <v>64</v>
      </c>
      <c r="X49" t="s">
        <v>64</v>
      </c>
      <c r="Y49" s="19" t="s">
        <v>330</v>
      </c>
      <c r="Z49" t="s">
        <v>169</v>
      </c>
      <c r="AA49" t="s">
        <v>169</v>
      </c>
      <c r="AB49" t="s">
        <v>378</v>
      </c>
      <c r="AC49" t="s">
        <v>402</v>
      </c>
      <c r="AD49" t="s">
        <v>378</v>
      </c>
      <c r="AE49">
        <v>531418</v>
      </c>
      <c r="AF49" t="s">
        <v>450</v>
      </c>
      <c r="AG49"/>
      <c r="AH49"/>
      <c r="AI49"/>
      <c r="AJ49" s="16" t="s">
        <v>263</v>
      </c>
      <c r="AK49"/>
      <c r="AL49" s="16">
        <v>3639</v>
      </c>
      <c r="AM49" s="16" t="s">
        <v>206</v>
      </c>
      <c r="AN49"/>
      <c r="AO49" s="23" t="s">
        <v>478</v>
      </c>
      <c r="AP49"/>
      <c r="AQ49"/>
      <c r="AR49" t="s">
        <v>525</v>
      </c>
      <c r="AS49" t="s">
        <v>818</v>
      </c>
      <c r="AT49" t="s">
        <v>818</v>
      </c>
      <c r="AU49" t="s">
        <v>819</v>
      </c>
      <c r="AV49" t="s">
        <v>820</v>
      </c>
      <c r="AW49" s="24">
        <f t="shared" si="0"/>
        <v>59</v>
      </c>
      <c r="AX49" t="s">
        <v>745</v>
      </c>
      <c r="AY49" t="s">
        <v>553</v>
      </c>
      <c r="AZ49" t="s">
        <v>790</v>
      </c>
      <c r="BA49" t="s">
        <v>821</v>
      </c>
      <c r="BB49"/>
      <c r="BC49" t="s">
        <v>816</v>
      </c>
      <c r="BD49"/>
      <c r="BE49"/>
      <c r="BF49"/>
      <c r="BG49" t="s">
        <v>804</v>
      </c>
      <c r="BH49" t="s">
        <v>811</v>
      </c>
      <c r="BI49"/>
      <c r="BJ49"/>
      <c r="BK49"/>
      <c r="BL49" t="s">
        <v>558</v>
      </c>
      <c r="BM49"/>
      <c r="BN49" t="s">
        <v>559</v>
      </c>
      <c r="BO49"/>
      <c r="BP49"/>
      <c r="BQ49" t="s">
        <v>822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930</v>
      </c>
      <c r="DG49" s="1" t="s">
        <v>930</v>
      </c>
    </row>
    <row r="50" spans="1:111" ht="12" customHeight="1" x14ac:dyDescent="0.75">
      <c r="A50" s="14" t="s">
        <v>111</v>
      </c>
      <c r="B50" s="14" t="s">
        <v>0</v>
      </c>
      <c r="C50" s="14" t="s">
        <v>110</v>
      </c>
      <c r="D50" t="s">
        <v>155</v>
      </c>
      <c r="E50" s="25" t="s">
        <v>931</v>
      </c>
      <c r="F50" t="s">
        <v>155</v>
      </c>
      <c r="G50" s="25" t="s">
        <v>932</v>
      </c>
      <c r="H50" s="15" t="s">
        <v>44</v>
      </c>
      <c r="I50"/>
      <c r="J50"/>
      <c r="K50"/>
      <c r="L50"/>
      <c r="M50"/>
      <c r="N50"/>
      <c r="O50"/>
      <c r="P50"/>
      <c r="Q50"/>
      <c r="R50"/>
      <c r="S50"/>
      <c r="T50"/>
      <c r="U50">
        <v>299</v>
      </c>
      <c r="V50" s="16">
        <v>115</v>
      </c>
      <c r="W50" t="s">
        <v>64</v>
      </c>
      <c r="X50" t="s">
        <v>64</v>
      </c>
      <c r="Y50" s="19" t="s">
        <v>330</v>
      </c>
      <c r="Z50" t="s">
        <v>21</v>
      </c>
      <c r="AA50" t="s">
        <v>21</v>
      </c>
      <c r="AB50" t="s">
        <v>379</v>
      </c>
      <c r="AC50" t="s">
        <v>402</v>
      </c>
      <c r="AD50" t="s">
        <v>379</v>
      </c>
      <c r="AE50">
        <v>531419</v>
      </c>
      <c r="AF50" t="s">
        <v>451</v>
      </c>
      <c r="AG50"/>
      <c r="AH50"/>
      <c r="AI50"/>
      <c r="AJ50" s="16" t="s">
        <v>172</v>
      </c>
      <c r="AK50"/>
      <c r="AL50" s="16">
        <v>3639</v>
      </c>
      <c r="AM50" s="16" t="s">
        <v>117</v>
      </c>
      <c r="AN50"/>
      <c r="AO50" s="23" t="s">
        <v>478</v>
      </c>
      <c r="AP50"/>
      <c r="AQ50"/>
      <c r="AR50" t="s">
        <v>526</v>
      </c>
      <c r="AS50" t="s">
        <v>823</v>
      </c>
      <c r="AT50" t="s">
        <v>823</v>
      </c>
      <c r="AU50" t="s">
        <v>824</v>
      </c>
      <c r="AV50" t="s">
        <v>825</v>
      </c>
      <c r="AW50" s="24">
        <f t="shared" si="0"/>
        <v>59</v>
      </c>
      <c r="AX50" t="s">
        <v>745</v>
      </c>
      <c r="AY50" t="s">
        <v>553</v>
      </c>
      <c r="AZ50" t="s">
        <v>790</v>
      </c>
      <c r="BA50" t="s">
        <v>821</v>
      </c>
      <c r="BB50"/>
      <c r="BC50" t="s">
        <v>816</v>
      </c>
      <c r="BD50"/>
      <c r="BE50"/>
      <c r="BF50"/>
      <c r="BG50" t="s">
        <v>804</v>
      </c>
      <c r="BH50" t="s">
        <v>805</v>
      </c>
      <c r="BI50"/>
      <c r="BJ50"/>
      <c r="BK50"/>
      <c r="BL50" t="s">
        <v>558</v>
      </c>
      <c r="BM50"/>
      <c r="BN50" t="s">
        <v>559</v>
      </c>
      <c r="BO50"/>
      <c r="BP50"/>
      <c r="BQ50" t="s">
        <v>826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930</v>
      </c>
      <c r="DG50" s="1" t="s">
        <v>930</v>
      </c>
    </row>
    <row r="51" spans="1:111" ht="12" customHeight="1" x14ac:dyDescent="0.75">
      <c r="A51" s="14" t="s">
        <v>111</v>
      </c>
      <c r="B51" s="14" t="s">
        <v>0</v>
      </c>
      <c r="C51" s="14" t="s">
        <v>110</v>
      </c>
      <c r="D51" t="s">
        <v>155</v>
      </c>
      <c r="E51" s="25" t="s">
        <v>931</v>
      </c>
      <c r="F51" t="s">
        <v>155</v>
      </c>
      <c r="G51" s="25" t="s">
        <v>932</v>
      </c>
      <c r="H51" s="15" t="s">
        <v>44</v>
      </c>
      <c r="I51"/>
      <c r="J51"/>
      <c r="K51"/>
      <c r="L51"/>
      <c r="M51"/>
      <c r="N51"/>
      <c r="O51"/>
      <c r="P51"/>
      <c r="Q51"/>
      <c r="R51"/>
      <c r="S51"/>
      <c r="T51"/>
      <c r="U51">
        <v>300</v>
      </c>
      <c r="V51" s="16">
        <v>116</v>
      </c>
      <c r="W51" t="s">
        <v>64</v>
      </c>
      <c r="X51" t="s">
        <v>64</v>
      </c>
      <c r="Y51" s="19" t="s">
        <v>330</v>
      </c>
      <c r="Z51" t="s">
        <v>179</v>
      </c>
      <c r="AA51" t="s">
        <v>179</v>
      </c>
      <c r="AB51" t="s">
        <v>380</v>
      </c>
      <c r="AC51" t="s">
        <v>402</v>
      </c>
      <c r="AD51" t="s">
        <v>380</v>
      </c>
      <c r="AE51">
        <v>531422</v>
      </c>
      <c r="AF51" t="s">
        <v>452</v>
      </c>
      <c r="AG51"/>
      <c r="AH51"/>
      <c r="AI51"/>
      <c r="AJ51" s="16" t="s">
        <v>170</v>
      </c>
      <c r="AK51"/>
      <c r="AL51" s="16">
        <v>3639</v>
      </c>
      <c r="AM51" s="16" t="s">
        <v>299</v>
      </c>
      <c r="AN51"/>
      <c r="AO51" s="23" t="s">
        <v>478</v>
      </c>
      <c r="AP51"/>
      <c r="AQ51"/>
      <c r="AR51" t="s">
        <v>527</v>
      </c>
      <c r="AS51" t="s">
        <v>827</v>
      </c>
      <c r="AT51" t="s">
        <v>827</v>
      </c>
      <c r="AU51" t="s">
        <v>828</v>
      </c>
      <c r="AV51" t="s">
        <v>829</v>
      </c>
      <c r="AW51" s="24">
        <f t="shared" si="0"/>
        <v>59</v>
      </c>
      <c r="AX51" t="s">
        <v>745</v>
      </c>
      <c r="AY51" t="s">
        <v>553</v>
      </c>
      <c r="AZ51" t="s">
        <v>790</v>
      </c>
      <c r="BA51" t="s">
        <v>830</v>
      </c>
      <c r="BB51"/>
      <c r="BC51" t="s">
        <v>816</v>
      </c>
      <c r="BD51"/>
      <c r="BE51"/>
      <c r="BF51"/>
      <c r="BG51" t="s">
        <v>804</v>
      </c>
      <c r="BH51" t="s">
        <v>805</v>
      </c>
      <c r="BI51"/>
      <c r="BJ51"/>
      <c r="BK51"/>
      <c r="BL51" t="s">
        <v>558</v>
      </c>
      <c r="BM51"/>
      <c r="BN51" t="s">
        <v>559</v>
      </c>
      <c r="BO51"/>
      <c r="BP51"/>
      <c r="BQ51" t="s">
        <v>831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930</v>
      </c>
      <c r="DG51" s="1" t="s">
        <v>930</v>
      </c>
    </row>
    <row r="52" spans="1:111" ht="12" customHeight="1" x14ac:dyDescent="0.75">
      <c r="A52" s="14" t="s">
        <v>111</v>
      </c>
      <c r="B52" s="14" t="s">
        <v>0</v>
      </c>
      <c r="C52" s="14" t="s">
        <v>110</v>
      </c>
      <c r="D52" t="s">
        <v>155</v>
      </c>
      <c r="E52" s="25" t="s">
        <v>931</v>
      </c>
      <c r="F52" t="s">
        <v>155</v>
      </c>
      <c r="G52" s="25" t="s">
        <v>932</v>
      </c>
      <c r="H52" s="15" t="s">
        <v>44</v>
      </c>
      <c r="I52"/>
      <c r="J52"/>
      <c r="K52"/>
      <c r="L52"/>
      <c r="M52"/>
      <c r="N52"/>
      <c r="O52"/>
      <c r="P52"/>
      <c r="Q52"/>
      <c r="R52"/>
      <c r="S52"/>
      <c r="T52"/>
      <c r="U52">
        <v>301</v>
      </c>
      <c r="V52" s="16">
        <v>117</v>
      </c>
      <c r="W52" t="s">
        <v>64</v>
      </c>
      <c r="X52" t="s">
        <v>64</v>
      </c>
      <c r="Y52" s="19" t="s">
        <v>330</v>
      </c>
      <c r="Z52" t="s">
        <v>128</v>
      </c>
      <c r="AA52" t="s">
        <v>128</v>
      </c>
      <c r="AB52" t="s">
        <v>381</v>
      </c>
      <c r="AC52" t="s">
        <v>402</v>
      </c>
      <c r="AD52" t="s">
        <v>381</v>
      </c>
      <c r="AE52">
        <v>531424</v>
      </c>
      <c r="AF52" t="s">
        <v>453</v>
      </c>
      <c r="AG52"/>
      <c r="AH52"/>
      <c r="AI52"/>
      <c r="AJ52" s="16" t="s">
        <v>180</v>
      </c>
      <c r="AK52"/>
      <c r="AL52" s="16">
        <v>3639</v>
      </c>
      <c r="AM52" s="16" t="s">
        <v>309</v>
      </c>
      <c r="AN52"/>
      <c r="AO52" s="23" t="s">
        <v>478</v>
      </c>
      <c r="AP52"/>
      <c r="AQ52"/>
      <c r="AR52" t="s">
        <v>528</v>
      </c>
      <c r="AS52" t="s">
        <v>832</v>
      </c>
      <c r="AT52" t="s">
        <v>832</v>
      </c>
      <c r="AU52" t="s">
        <v>833</v>
      </c>
      <c r="AV52" t="s">
        <v>834</v>
      </c>
      <c r="AW52" s="24">
        <f t="shared" si="0"/>
        <v>59</v>
      </c>
      <c r="AX52" t="s">
        <v>745</v>
      </c>
      <c r="AY52" t="s">
        <v>553</v>
      </c>
      <c r="AZ52" t="s">
        <v>790</v>
      </c>
      <c r="BA52" t="s">
        <v>835</v>
      </c>
      <c r="BB52"/>
      <c r="BC52" t="s">
        <v>816</v>
      </c>
      <c r="BD52"/>
      <c r="BE52"/>
      <c r="BF52"/>
      <c r="BG52" t="s">
        <v>804</v>
      </c>
      <c r="BH52" t="s">
        <v>811</v>
      </c>
      <c r="BI52"/>
      <c r="BJ52"/>
      <c r="BK52"/>
      <c r="BL52" t="s">
        <v>558</v>
      </c>
      <c r="BM52"/>
      <c r="BN52" t="s">
        <v>559</v>
      </c>
      <c r="BO52"/>
      <c r="BP52"/>
      <c r="BQ52" t="s">
        <v>836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930</v>
      </c>
      <c r="DG52" s="1" t="s">
        <v>930</v>
      </c>
    </row>
    <row r="53" spans="1:111" ht="12" customHeight="1" x14ac:dyDescent="0.75">
      <c r="A53" s="14" t="s">
        <v>111</v>
      </c>
      <c r="B53" s="14" t="s">
        <v>0</v>
      </c>
      <c r="C53" s="14" t="s">
        <v>110</v>
      </c>
      <c r="D53" t="s">
        <v>155</v>
      </c>
      <c r="E53" s="25" t="s">
        <v>931</v>
      </c>
      <c r="F53" t="s">
        <v>155</v>
      </c>
      <c r="G53" s="25" t="s">
        <v>932</v>
      </c>
      <c r="H53" s="15" t="s">
        <v>44</v>
      </c>
      <c r="I53"/>
      <c r="J53"/>
      <c r="K53"/>
      <c r="L53"/>
      <c r="M53"/>
      <c r="N53"/>
      <c r="O53"/>
      <c r="P53"/>
      <c r="Q53"/>
      <c r="R53"/>
      <c r="S53"/>
      <c r="T53"/>
      <c r="U53">
        <v>302</v>
      </c>
      <c r="V53" s="16">
        <v>118</v>
      </c>
      <c r="W53" t="s">
        <v>64</v>
      </c>
      <c r="X53" t="s">
        <v>64</v>
      </c>
      <c r="Y53" s="19" t="s">
        <v>330</v>
      </c>
      <c r="Z53" t="s">
        <v>80</v>
      </c>
      <c r="AA53" t="s">
        <v>80</v>
      </c>
      <c r="AB53" t="s">
        <v>382</v>
      </c>
      <c r="AC53" t="s">
        <v>402</v>
      </c>
      <c r="AD53" t="s">
        <v>382</v>
      </c>
      <c r="AE53">
        <v>531425</v>
      </c>
      <c r="AF53" t="s">
        <v>454</v>
      </c>
      <c r="AG53"/>
      <c r="AH53"/>
      <c r="AI53"/>
      <c r="AJ53" s="16" t="s">
        <v>265</v>
      </c>
      <c r="AK53"/>
      <c r="AL53" s="16">
        <v>3639</v>
      </c>
      <c r="AM53" s="16" t="s">
        <v>161</v>
      </c>
      <c r="AN53"/>
      <c r="AO53" s="23" t="s">
        <v>478</v>
      </c>
      <c r="AP53"/>
      <c r="AQ53"/>
      <c r="AR53" t="s">
        <v>529</v>
      </c>
      <c r="AS53" t="s">
        <v>837</v>
      </c>
      <c r="AT53" t="s">
        <v>837</v>
      </c>
      <c r="AU53" t="s">
        <v>838</v>
      </c>
      <c r="AV53" t="s">
        <v>839</v>
      </c>
      <c r="AW53" s="24">
        <f t="shared" si="0"/>
        <v>59</v>
      </c>
      <c r="AX53" t="s">
        <v>745</v>
      </c>
      <c r="AY53" t="s">
        <v>553</v>
      </c>
      <c r="AZ53" t="s">
        <v>790</v>
      </c>
      <c r="BA53" t="s">
        <v>835</v>
      </c>
      <c r="BB53"/>
      <c r="BC53" t="s">
        <v>816</v>
      </c>
      <c r="BD53"/>
      <c r="BE53"/>
      <c r="BF53"/>
      <c r="BG53" t="s">
        <v>804</v>
      </c>
      <c r="BH53" t="s">
        <v>805</v>
      </c>
      <c r="BI53"/>
      <c r="BJ53"/>
      <c r="BK53"/>
      <c r="BL53" t="s">
        <v>558</v>
      </c>
      <c r="BM53"/>
      <c r="BN53" t="s">
        <v>559</v>
      </c>
      <c r="BO53"/>
      <c r="BP53"/>
      <c r="BQ53" t="s">
        <v>840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930</v>
      </c>
      <c r="DG53" s="1" t="s">
        <v>930</v>
      </c>
    </row>
    <row r="54" spans="1:111" ht="12" customHeight="1" x14ac:dyDescent="0.75">
      <c r="A54" s="14" t="s">
        <v>111</v>
      </c>
      <c r="B54" s="14" t="s">
        <v>0</v>
      </c>
      <c r="C54" s="14" t="s">
        <v>110</v>
      </c>
      <c r="D54" t="s">
        <v>155</v>
      </c>
      <c r="E54" s="25" t="s">
        <v>931</v>
      </c>
      <c r="F54" t="s">
        <v>155</v>
      </c>
      <c r="G54" s="25" t="s">
        <v>932</v>
      </c>
      <c r="H54" s="15" t="s">
        <v>44</v>
      </c>
      <c r="I54"/>
      <c r="J54"/>
      <c r="K54"/>
      <c r="L54"/>
      <c r="M54"/>
      <c r="N54"/>
      <c r="O54"/>
      <c r="P54"/>
      <c r="Q54"/>
      <c r="R54"/>
      <c r="S54"/>
      <c r="T54"/>
      <c r="U54">
        <v>303</v>
      </c>
      <c r="V54" s="16">
        <v>119</v>
      </c>
      <c r="W54" t="s">
        <v>64</v>
      </c>
      <c r="X54" t="s">
        <v>64</v>
      </c>
      <c r="Y54" s="19" t="s">
        <v>330</v>
      </c>
      <c r="Z54" t="s">
        <v>83</v>
      </c>
      <c r="AA54" t="s">
        <v>83</v>
      </c>
      <c r="AB54" t="s">
        <v>383</v>
      </c>
      <c r="AC54" t="s">
        <v>402</v>
      </c>
      <c r="AD54" t="s">
        <v>383</v>
      </c>
      <c r="AE54">
        <v>531480</v>
      </c>
      <c r="AF54" t="s">
        <v>455</v>
      </c>
      <c r="AG54"/>
      <c r="AH54"/>
      <c r="AI54"/>
      <c r="AJ54" s="16" t="s">
        <v>159</v>
      </c>
      <c r="AK54"/>
      <c r="AL54" s="16">
        <v>3639</v>
      </c>
      <c r="AM54" s="16" t="s">
        <v>73</v>
      </c>
      <c r="AN54"/>
      <c r="AO54" s="23" t="s">
        <v>478</v>
      </c>
      <c r="AP54"/>
      <c r="AQ54"/>
      <c r="AR54" t="s">
        <v>530</v>
      </c>
      <c r="AS54" t="s">
        <v>841</v>
      </c>
      <c r="AT54" t="s">
        <v>841</v>
      </c>
      <c r="AU54" t="s">
        <v>842</v>
      </c>
      <c r="AV54" t="s">
        <v>843</v>
      </c>
      <c r="AW54" s="24">
        <f t="shared" si="0"/>
        <v>59</v>
      </c>
      <c r="AX54" t="s">
        <v>745</v>
      </c>
      <c r="AY54" t="s">
        <v>553</v>
      </c>
      <c r="AZ54" t="s">
        <v>790</v>
      </c>
      <c r="BA54" t="s">
        <v>844</v>
      </c>
      <c r="BB54"/>
      <c r="BC54" t="s">
        <v>816</v>
      </c>
      <c r="BD54"/>
      <c r="BE54"/>
      <c r="BF54"/>
      <c r="BG54" t="s">
        <v>804</v>
      </c>
      <c r="BH54" t="s">
        <v>811</v>
      </c>
      <c r="BI54"/>
      <c r="BJ54"/>
      <c r="BK54"/>
      <c r="BL54" t="s">
        <v>558</v>
      </c>
      <c r="BM54"/>
      <c r="BN54" t="s">
        <v>559</v>
      </c>
      <c r="BO54"/>
      <c r="BP54"/>
      <c r="BQ54" t="s">
        <v>845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930</v>
      </c>
      <c r="DG54" s="1" t="s">
        <v>930</v>
      </c>
    </row>
    <row r="55" spans="1:111" ht="12" customHeight="1" x14ac:dyDescent="0.75">
      <c r="A55" s="14" t="s">
        <v>111</v>
      </c>
      <c r="B55" s="14" t="s">
        <v>0</v>
      </c>
      <c r="C55" s="14" t="s">
        <v>110</v>
      </c>
      <c r="D55" t="s">
        <v>155</v>
      </c>
      <c r="E55" s="25" t="s">
        <v>931</v>
      </c>
      <c r="F55" t="s">
        <v>155</v>
      </c>
      <c r="G55" s="25" t="s">
        <v>932</v>
      </c>
      <c r="H55" s="15" t="s">
        <v>44</v>
      </c>
      <c r="I55"/>
      <c r="J55"/>
      <c r="K55"/>
      <c r="L55"/>
      <c r="M55"/>
      <c r="N55"/>
      <c r="O55"/>
      <c r="P55"/>
      <c r="Q55"/>
      <c r="R55"/>
      <c r="S55"/>
      <c r="T55"/>
      <c r="U55">
        <v>304</v>
      </c>
      <c r="V55" s="16">
        <v>120</v>
      </c>
      <c r="W55" t="s">
        <v>64</v>
      </c>
      <c r="X55" t="s">
        <v>64</v>
      </c>
      <c r="Y55" s="19" t="s">
        <v>330</v>
      </c>
      <c r="Z55" t="s">
        <v>176</v>
      </c>
      <c r="AA55" t="s">
        <v>176</v>
      </c>
      <c r="AB55" t="s">
        <v>384</v>
      </c>
      <c r="AC55" t="s">
        <v>402</v>
      </c>
      <c r="AD55" t="s">
        <v>384</v>
      </c>
      <c r="AE55">
        <v>531482</v>
      </c>
      <c r="AF55" t="s">
        <v>456</v>
      </c>
      <c r="AG55"/>
      <c r="AH55"/>
      <c r="AI55"/>
      <c r="AJ55" s="16" t="s">
        <v>107</v>
      </c>
      <c r="AK55"/>
      <c r="AL55" s="16">
        <v>3639</v>
      </c>
      <c r="AM55" s="16" t="s">
        <v>231</v>
      </c>
      <c r="AN55"/>
      <c r="AO55" s="23" t="s">
        <v>478</v>
      </c>
      <c r="AP55"/>
      <c r="AQ55"/>
      <c r="AR55" t="s">
        <v>531</v>
      </c>
      <c r="AS55" t="s">
        <v>846</v>
      </c>
      <c r="AT55" t="s">
        <v>846</v>
      </c>
      <c r="AU55" t="s">
        <v>847</v>
      </c>
      <c r="AV55" t="s">
        <v>848</v>
      </c>
      <c r="AW55" s="24">
        <f t="shared" si="0"/>
        <v>59</v>
      </c>
      <c r="AX55" t="s">
        <v>745</v>
      </c>
      <c r="AY55" t="s">
        <v>553</v>
      </c>
      <c r="AZ55" t="s">
        <v>790</v>
      </c>
      <c r="BA55" t="s">
        <v>844</v>
      </c>
      <c r="BB55"/>
      <c r="BC55" t="s">
        <v>849</v>
      </c>
      <c r="BD55"/>
      <c r="BE55"/>
      <c r="BF55"/>
      <c r="BG55" t="s">
        <v>804</v>
      </c>
      <c r="BH55" t="s">
        <v>811</v>
      </c>
      <c r="BI55"/>
      <c r="BJ55"/>
      <c r="BK55"/>
      <c r="BL55" t="s">
        <v>558</v>
      </c>
      <c r="BM55"/>
      <c r="BN55" t="s">
        <v>559</v>
      </c>
      <c r="BO55"/>
      <c r="BP55"/>
      <c r="BQ55" t="s">
        <v>850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930</v>
      </c>
      <c r="DG55" s="1" t="s">
        <v>930</v>
      </c>
    </row>
    <row r="56" spans="1:111" ht="12" customHeight="1" x14ac:dyDescent="0.75">
      <c r="A56" s="14" t="s">
        <v>111</v>
      </c>
      <c r="B56" s="14" t="s">
        <v>0</v>
      </c>
      <c r="C56" s="14" t="s">
        <v>110</v>
      </c>
      <c r="D56" t="s">
        <v>155</v>
      </c>
      <c r="E56" s="25" t="s">
        <v>931</v>
      </c>
      <c r="F56" t="s">
        <v>155</v>
      </c>
      <c r="G56" s="25" t="s">
        <v>932</v>
      </c>
      <c r="H56" s="15" t="s">
        <v>44</v>
      </c>
      <c r="I56"/>
      <c r="J56"/>
      <c r="K56"/>
      <c r="L56"/>
      <c r="M56"/>
      <c r="N56"/>
      <c r="O56"/>
      <c r="P56"/>
      <c r="Q56"/>
      <c r="R56"/>
      <c r="S56"/>
      <c r="T56"/>
      <c r="U56">
        <v>305</v>
      </c>
      <c r="V56" s="16">
        <v>121</v>
      </c>
      <c r="W56" t="s">
        <v>64</v>
      </c>
      <c r="X56" t="s">
        <v>64</v>
      </c>
      <c r="Y56" s="19" t="s">
        <v>330</v>
      </c>
      <c r="Z56" t="s">
        <v>127</v>
      </c>
      <c r="AA56" t="s">
        <v>127</v>
      </c>
      <c r="AB56" t="s">
        <v>385</v>
      </c>
      <c r="AC56" t="s">
        <v>402</v>
      </c>
      <c r="AD56" t="s">
        <v>385</v>
      </c>
      <c r="AE56">
        <v>531484</v>
      </c>
      <c r="AF56" t="s">
        <v>457</v>
      </c>
      <c r="AG56"/>
      <c r="AH56"/>
      <c r="AI56"/>
      <c r="AJ56" s="16" t="s">
        <v>53</v>
      </c>
      <c r="AK56"/>
      <c r="AL56" s="16">
        <v>3639</v>
      </c>
      <c r="AM56" s="16" t="s">
        <v>2</v>
      </c>
      <c r="AN56"/>
      <c r="AO56" s="23" t="s">
        <v>478</v>
      </c>
      <c r="AP56"/>
      <c r="AQ56"/>
      <c r="AR56" t="s">
        <v>532</v>
      </c>
      <c r="AS56" t="s">
        <v>851</v>
      </c>
      <c r="AT56" t="s">
        <v>851</v>
      </c>
      <c r="AU56" t="s">
        <v>852</v>
      </c>
      <c r="AV56" t="s">
        <v>853</v>
      </c>
      <c r="AW56" s="24">
        <f t="shared" si="0"/>
        <v>59</v>
      </c>
      <c r="AX56" t="s">
        <v>745</v>
      </c>
      <c r="AY56" t="s">
        <v>553</v>
      </c>
      <c r="AZ56" t="s">
        <v>790</v>
      </c>
      <c r="BA56" t="s">
        <v>854</v>
      </c>
      <c r="BB56"/>
      <c r="BC56" t="s">
        <v>849</v>
      </c>
      <c r="BD56"/>
      <c r="BE56"/>
      <c r="BF56"/>
      <c r="BG56" t="s">
        <v>804</v>
      </c>
      <c r="BH56" t="s">
        <v>811</v>
      </c>
      <c r="BI56"/>
      <c r="BJ56"/>
      <c r="BK56"/>
      <c r="BL56" t="s">
        <v>558</v>
      </c>
      <c r="BM56"/>
      <c r="BN56" t="s">
        <v>559</v>
      </c>
      <c r="BO56"/>
      <c r="BP56"/>
      <c r="BQ56" t="s">
        <v>855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930</v>
      </c>
      <c r="DG56" s="1" t="s">
        <v>930</v>
      </c>
    </row>
    <row r="57" spans="1:111" ht="12" customHeight="1" x14ac:dyDescent="0.75">
      <c r="A57" s="14" t="s">
        <v>111</v>
      </c>
      <c r="B57" s="14" t="s">
        <v>0</v>
      </c>
      <c r="C57" s="14" t="s">
        <v>110</v>
      </c>
      <c r="D57" t="s">
        <v>155</v>
      </c>
      <c r="E57" s="25" t="s">
        <v>931</v>
      </c>
      <c r="F57" t="s">
        <v>155</v>
      </c>
      <c r="G57" s="25" t="s">
        <v>932</v>
      </c>
      <c r="H57" s="15" t="s">
        <v>44</v>
      </c>
      <c r="I57"/>
      <c r="J57"/>
      <c r="K57"/>
      <c r="L57"/>
      <c r="M57"/>
      <c r="N57"/>
      <c r="O57"/>
      <c r="P57"/>
      <c r="Q57"/>
      <c r="R57"/>
      <c r="S57"/>
      <c r="T57"/>
      <c r="U57">
        <v>306</v>
      </c>
      <c r="V57" s="16">
        <v>122</v>
      </c>
      <c r="W57" t="s">
        <v>64</v>
      </c>
      <c r="X57" t="s">
        <v>64</v>
      </c>
      <c r="Y57" s="19" t="s">
        <v>330</v>
      </c>
      <c r="Z57" t="s">
        <v>245</v>
      </c>
      <c r="AA57" t="s">
        <v>245</v>
      </c>
      <c r="AB57" t="s">
        <v>386</v>
      </c>
      <c r="AC57" t="s">
        <v>402</v>
      </c>
      <c r="AD57" t="s">
        <v>386</v>
      </c>
      <c r="AE57">
        <v>531502</v>
      </c>
      <c r="AF57" t="s">
        <v>458</v>
      </c>
      <c r="AG57"/>
      <c r="AH57"/>
      <c r="AI57"/>
      <c r="AJ57" s="16" t="s">
        <v>175</v>
      </c>
      <c r="AK57"/>
      <c r="AL57" s="16">
        <v>3639</v>
      </c>
      <c r="AM57" s="16" t="s">
        <v>191</v>
      </c>
      <c r="AN57"/>
      <c r="AO57" s="23" t="s">
        <v>478</v>
      </c>
      <c r="AP57"/>
      <c r="AQ57"/>
      <c r="AR57" t="s">
        <v>533</v>
      </c>
      <c r="AS57" t="s">
        <v>856</v>
      </c>
      <c r="AT57" t="s">
        <v>856</v>
      </c>
      <c r="AU57" t="s">
        <v>857</v>
      </c>
      <c r="AV57" t="s">
        <v>858</v>
      </c>
      <c r="AW57" s="24">
        <f t="shared" si="0"/>
        <v>56</v>
      </c>
      <c r="AX57" t="s">
        <v>745</v>
      </c>
      <c r="AY57" t="s">
        <v>553</v>
      </c>
      <c r="AZ57" t="s">
        <v>790</v>
      </c>
      <c r="BA57" t="s">
        <v>859</v>
      </c>
      <c r="BB57"/>
      <c r="BC57" t="s">
        <v>860</v>
      </c>
      <c r="BD57"/>
      <c r="BE57"/>
      <c r="BF57"/>
      <c r="BG57" t="s">
        <v>861</v>
      </c>
      <c r="BH57" t="s">
        <v>862</v>
      </c>
      <c r="BI57"/>
      <c r="BJ57"/>
      <c r="BK57"/>
      <c r="BL57" t="s">
        <v>558</v>
      </c>
      <c r="BM57" t="s">
        <v>863</v>
      </c>
      <c r="BN57" t="s">
        <v>559</v>
      </c>
      <c r="BO57"/>
      <c r="BP57"/>
      <c r="BQ57" t="s">
        <v>864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930</v>
      </c>
      <c r="DG57" s="1" t="s">
        <v>930</v>
      </c>
    </row>
    <row r="58" spans="1:111" ht="12" customHeight="1" x14ac:dyDescent="0.75">
      <c r="A58" s="14" t="s">
        <v>111</v>
      </c>
      <c r="B58" s="14" t="s">
        <v>0</v>
      </c>
      <c r="C58" s="14" t="s">
        <v>110</v>
      </c>
      <c r="D58" t="s">
        <v>155</v>
      </c>
      <c r="E58" s="25" t="s">
        <v>931</v>
      </c>
      <c r="F58" t="s">
        <v>155</v>
      </c>
      <c r="G58" s="25" t="s">
        <v>932</v>
      </c>
      <c r="H58" s="15" t="s">
        <v>44</v>
      </c>
      <c r="I58"/>
      <c r="J58"/>
      <c r="K58"/>
      <c r="L58"/>
      <c r="M58"/>
      <c r="N58"/>
      <c r="O58"/>
      <c r="P58"/>
      <c r="Q58"/>
      <c r="R58"/>
      <c r="S58"/>
      <c r="T58"/>
      <c r="U58">
        <v>307</v>
      </c>
      <c r="V58" s="16">
        <v>123</v>
      </c>
      <c r="W58" t="s">
        <v>64</v>
      </c>
      <c r="X58" t="s">
        <v>64</v>
      </c>
      <c r="Y58" s="19" t="s">
        <v>330</v>
      </c>
      <c r="Z58" t="s">
        <v>194</v>
      </c>
      <c r="AA58" t="s">
        <v>194</v>
      </c>
      <c r="AB58" t="s">
        <v>387</v>
      </c>
      <c r="AC58" t="s">
        <v>402</v>
      </c>
      <c r="AD58" t="s">
        <v>387</v>
      </c>
      <c r="AE58">
        <v>531504</v>
      </c>
      <c r="AF58" t="s">
        <v>459</v>
      </c>
      <c r="AG58"/>
      <c r="AH58"/>
      <c r="AI58"/>
      <c r="AJ58" s="16" t="s">
        <v>26</v>
      </c>
      <c r="AK58"/>
      <c r="AL58" s="16">
        <v>3639</v>
      </c>
      <c r="AM58" s="16" t="s">
        <v>252</v>
      </c>
      <c r="AN58"/>
      <c r="AO58" s="23" t="s">
        <v>478</v>
      </c>
      <c r="AP58"/>
      <c r="AQ58"/>
      <c r="AR58" t="s">
        <v>534</v>
      </c>
      <c r="AS58" t="s">
        <v>865</v>
      </c>
      <c r="AT58" t="s">
        <v>865</v>
      </c>
      <c r="AU58" t="s">
        <v>866</v>
      </c>
      <c r="AV58" t="s">
        <v>867</v>
      </c>
      <c r="AW58" s="24">
        <f t="shared" si="0"/>
        <v>56</v>
      </c>
      <c r="AX58" t="s">
        <v>745</v>
      </c>
      <c r="AY58" t="s">
        <v>553</v>
      </c>
      <c r="AZ58" t="s">
        <v>790</v>
      </c>
      <c r="BA58" t="s">
        <v>803</v>
      </c>
      <c r="BB58"/>
      <c r="BC58" t="s">
        <v>860</v>
      </c>
      <c r="BD58"/>
      <c r="BE58"/>
      <c r="BF58"/>
      <c r="BG58" t="s">
        <v>861</v>
      </c>
      <c r="BH58" t="s">
        <v>868</v>
      </c>
      <c r="BI58"/>
      <c r="BJ58"/>
      <c r="BK58"/>
      <c r="BL58" t="s">
        <v>558</v>
      </c>
      <c r="BM58" t="s">
        <v>863</v>
      </c>
      <c r="BN58" t="s">
        <v>559</v>
      </c>
      <c r="BO58"/>
      <c r="BP58" t="s">
        <v>869</v>
      </c>
      <c r="BQ58" t="s">
        <v>870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930</v>
      </c>
      <c r="DG58" s="1" t="s">
        <v>930</v>
      </c>
    </row>
    <row r="59" spans="1:111" ht="12" customHeight="1" x14ac:dyDescent="0.75">
      <c r="A59" s="14" t="s">
        <v>111</v>
      </c>
      <c r="B59" s="14" t="s">
        <v>0</v>
      </c>
      <c r="C59" s="14" t="s">
        <v>110</v>
      </c>
      <c r="D59" t="s">
        <v>155</v>
      </c>
      <c r="E59" s="25" t="s">
        <v>931</v>
      </c>
      <c r="F59" t="s">
        <v>155</v>
      </c>
      <c r="G59" s="25" t="s">
        <v>932</v>
      </c>
      <c r="H59" s="15" t="s">
        <v>44</v>
      </c>
      <c r="I59"/>
      <c r="J59"/>
      <c r="K59"/>
      <c r="L59"/>
      <c r="M59"/>
      <c r="N59"/>
      <c r="O59"/>
      <c r="P59"/>
      <c r="Q59"/>
      <c r="R59"/>
      <c r="S59"/>
      <c r="T59"/>
      <c r="U59">
        <v>308</v>
      </c>
      <c r="V59" s="16">
        <v>124</v>
      </c>
      <c r="W59" t="s">
        <v>64</v>
      </c>
      <c r="X59" t="s">
        <v>64</v>
      </c>
      <c r="Y59" s="19" t="s">
        <v>330</v>
      </c>
      <c r="Z59" t="s">
        <v>238</v>
      </c>
      <c r="AA59" t="s">
        <v>238</v>
      </c>
      <c r="AB59" t="s">
        <v>388</v>
      </c>
      <c r="AC59" t="s">
        <v>402</v>
      </c>
      <c r="AD59" t="s">
        <v>388</v>
      </c>
      <c r="AE59">
        <v>531505</v>
      </c>
      <c r="AF59" t="s">
        <v>460</v>
      </c>
      <c r="AG59"/>
      <c r="AH59"/>
      <c r="AI59"/>
      <c r="AJ59" s="16" t="s">
        <v>145</v>
      </c>
      <c r="AK59"/>
      <c r="AL59" s="16">
        <v>3639</v>
      </c>
      <c r="AM59" s="16" t="s">
        <v>209</v>
      </c>
      <c r="AN59"/>
      <c r="AO59" s="23" t="s">
        <v>478</v>
      </c>
      <c r="AP59"/>
      <c r="AQ59"/>
      <c r="AR59" t="s">
        <v>535</v>
      </c>
      <c r="AS59" t="s">
        <v>871</v>
      </c>
      <c r="AT59" t="s">
        <v>871</v>
      </c>
      <c r="AU59" t="s">
        <v>872</v>
      </c>
      <c r="AV59" t="s">
        <v>873</v>
      </c>
      <c r="AW59" s="24">
        <f t="shared" si="0"/>
        <v>56</v>
      </c>
      <c r="AX59" t="s">
        <v>745</v>
      </c>
      <c r="AY59" t="s">
        <v>553</v>
      </c>
      <c r="AZ59" t="s">
        <v>790</v>
      </c>
      <c r="BA59" t="s">
        <v>803</v>
      </c>
      <c r="BB59"/>
      <c r="BC59" t="s">
        <v>860</v>
      </c>
      <c r="BD59"/>
      <c r="BE59"/>
      <c r="BF59"/>
      <c r="BG59" t="s">
        <v>861</v>
      </c>
      <c r="BH59" t="s">
        <v>862</v>
      </c>
      <c r="BI59"/>
      <c r="BJ59"/>
      <c r="BK59"/>
      <c r="BL59" t="s">
        <v>558</v>
      </c>
      <c r="BM59" t="s">
        <v>863</v>
      </c>
      <c r="BN59" t="s">
        <v>559</v>
      </c>
      <c r="BO59"/>
      <c r="BP59"/>
      <c r="BQ59" t="s">
        <v>874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930</v>
      </c>
      <c r="DG59" s="1" t="s">
        <v>930</v>
      </c>
    </row>
    <row r="60" spans="1:111" ht="12" customHeight="1" x14ac:dyDescent="0.75">
      <c r="A60" s="14" t="s">
        <v>111</v>
      </c>
      <c r="B60" s="14" t="s">
        <v>0</v>
      </c>
      <c r="C60" s="14" t="s">
        <v>110</v>
      </c>
      <c r="D60" t="s">
        <v>155</v>
      </c>
      <c r="E60" s="25" t="s">
        <v>931</v>
      </c>
      <c r="F60" t="s">
        <v>155</v>
      </c>
      <c r="G60" s="25" t="s">
        <v>932</v>
      </c>
      <c r="H60" s="15" t="s">
        <v>44</v>
      </c>
      <c r="I60"/>
      <c r="J60"/>
      <c r="K60"/>
      <c r="L60"/>
      <c r="M60"/>
      <c r="N60"/>
      <c r="O60"/>
      <c r="P60"/>
      <c r="Q60"/>
      <c r="R60"/>
      <c r="S60"/>
      <c r="T60"/>
      <c r="U60">
        <v>309</v>
      </c>
      <c r="V60" s="16">
        <v>125</v>
      </c>
      <c r="W60" t="s">
        <v>64</v>
      </c>
      <c r="X60" t="s">
        <v>64</v>
      </c>
      <c r="Y60" s="19" t="s">
        <v>330</v>
      </c>
      <c r="Z60" t="s">
        <v>7</v>
      </c>
      <c r="AA60" t="s">
        <v>7</v>
      </c>
      <c r="AB60" t="s">
        <v>389</v>
      </c>
      <c r="AC60" t="s">
        <v>402</v>
      </c>
      <c r="AD60" t="s">
        <v>389</v>
      </c>
      <c r="AE60">
        <v>531507</v>
      </c>
      <c r="AF60" t="s">
        <v>461</v>
      </c>
      <c r="AG60"/>
      <c r="AH60"/>
      <c r="AI60"/>
      <c r="AJ60" s="16" t="s">
        <v>187</v>
      </c>
      <c r="AK60"/>
      <c r="AL60" s="16">
        <v>3639</v>
      </c>
      <c r="AM60" s="16" t="s">
        <v>120</v>
      </c>
      <c r="AN60"/>
      <c r="AO60" s="23" t="s">
        <v>478</v>
      </c>
      <c r="AP60"/>
      <c r="AQ60"/>
      <c r="AR60" t="s">
        <v>536</v>
      </c>
      <c r="AS60" t="s">
        <v>875</v>
      </c>
      <c r="AT60" t="s">
        <v>875</v>
      </c>
      <c r="AU60" t="s">
        <v>876</v>
      </c>
      <c r="AV60" t="s">
        <v>877</v>
      </c>
      <c r="AW60" s="24">
        <f t="shared" si="0"/>
        <v>56</v>
      </c>
      <c r="AX60" t="s">
        <v>745</v>
      </c>
      <c r="AY60" t="s">
        <v>553</v>
      </c>
      <c r="AZ60" t="s">
        <v>790</v>
      </c>
      <c r="BA60" t="s">
        <v>821</v>
      </c>
      <c r="BB60"/>
      <c r="BC60" t="s">
        <v>860</v>
      </c>
      <c r="BD60"/>
      <c r="BE60"/>
      <c r="BF60"/>
      <c r="BG60" t="s">
        <v>861</v>
      </c>
      <c r="BH60" t="s">
        <v>868</v>
      </c>
      <c r="BI60"/>
      <c r="BJ60"/>
      <c r="BK60"/>
      <c r="BL60" t="s">
        <v>558</v>
      </c>
      <c r="BM60" t="s">
        <v>863</v>
      </c>
      <c r="BN60" t="s">
        <v>559</v>
      </c>
      <c r="BO60"/>
      <c r="BP60" t="s">
        <v>869</v>
      </c>
      <c r="BQ60" t="s">
        <v>878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930</v>
      </c>
      <c r="DG60" s="1" t="s">
        <v>930</v>
      </c>
    </row>
    <row r="61" spans="1:111" ht="12" customHeight="1" x14ac:dyDescent="0.75">
      <c r="A61" s="14" t="s">
        <v>111</v>
      </c>
      <c r="B61" s="14" t="s">
        <v>0</v>
      </c>
      <c r="C61" s="14" t="s">
        <v>110</v>
      </c>
      <c r="D61" t="s">
        <v>155</v>
      </c>
      <c r="E61" s="25" t="s">
        <v>931</v>
      </c>
      <c r="F61" t="s">
        <v>155</v>
      </c>
      <c r="G61" s="25" t="s">
        <v>932</v>
      </c>
      <c r="H61" s="15" t="s">
        <v>44</v>
      </c>
      <c r="I61"/>
      <c r="J61"/>
      <c r="K61"/>
      <c r="L61"/>
      <c r="M61"/>
      <c r="N61"/>
      <c r="O61"/>
      <c r="P61"/>
      <c r="Q61"/>
      <c r="R61"/>
      <c r="S61"/>
      <c r="T61"/>
      <c r="U61">
        <v>310</v>
      </c>
      <c r="V61" s="16">
        <v>126</v>
      </c>
      <c r="W61" t="s">
        <v>64</v>
      </c>
      <c r="X61" t="s">
        <v>64</v>
      </c>
      <c r="Y61" s="19" t="s">
        <v>330</v>
      </c>
      <c r="Z61" t="s">
        <v>136</v>
      </c>
      <c r="AA61" t="s">
        <v>136</v>
      </c>
      <c r="AB61" t="s">
        <v>390</v>
      </c>
      <c r="AC61" t="s">
        <v>402</v>
      </c>
      <c r="AD61" t="s">
        <v>390</v>
      </c>
      <c r="AE61">
        <v>531508</v>
      </c>
      <c r="AF61" t="s">
        <v>462</v>
      </c>
      <c r="AG61"/>
      <c r="AH61"/>
      <c r="AI61"/>
      <c r="AJ61" s="16" t="s">
        <v>124</v>
      </c>
      <c r="AK61"/>
      <c r="AL61" s="16">
        <v>3639</v>
      </c>
      <c r="AM61" s="16" t="s">
        <v>302</v>
      </c>
      <c r="AN61"/>
      <c r="AO61" s="23" t="s">
        <v>478</v>
      </c>
      <c r="AP61"/>
      <c r="AQ61"/>
      <c r="AR61" t="s">
        <v>537</v>
      </c>
      <c r="AS61" t="s">
        <v>879</v>
      </c>
      <c r="AT61" t="s">
        <v>879</v>
      </c>
      <c r="AU61" t="s">
        <v>880</v>
      </c>
      <c r="AV61" t="s">
        <v>881</v>
      </c>
      <c r="AW61" s="24">
        <f t="shared" si="0"/>
        <v>56</v>
      </c>
      <c r="AX61" t="s">
        <v>745</v>
      </c>
      <c r="AY61" t="s">
        <v>553</v>
      </c>
      <c r="AZ61" t="s">
        <v>790</v>
      </c>
      <c r="BA61" t="s">
        <v>821</v>
      </c>
      <c r="BB61"/>
      <c r="BC61" t="s">
        <v>860</v>
      </c>
      <c r="BD61"/>
      <c r="BE61"/>
      <c r="BF61"/>
      <c r="BG61" t="s">
        <v>861</v>
      </c>
      <c r="BH61" t="s">
        <v>862</v>
      </c>
      <c r="BI61"/>
      <c r="BJ61"/>
      <c r="BK61"/>
      <c r="BL61" t="s">
        <v>558</v>
      </c>
      <c r="BM61" t="s">
        <v>863</v>
      </c>
      <c r="BN61" t="s">
        <v>559</v>
      </c>
      <c r="BO61"/>
      <c r="BP61"/>
      <c r="BQ61" t="s">
        <v>882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930</v>
      </c>
      <c r="DG61" s="1" t="s">
        <v>930</v>
      </c>
    </row>
    <row r="62" spans="1:111" ht="12" customHeight="1" x14ac:dyDescent="0.75">
      <c r="A62" s="14" t="s">
        <v>111</v>
      </c>
      <c r="B62" s="14" t="s">
        <v>0</v>
      </c>
      <c r="C62" s="14" t="s">
        <v>110</v>
      </c>
      <c r="D62" t="s">
        <v>155</v>
      </c>
      <c r="E62" s="25" t="s">
        <v>931</v>
      </c>
      <c r="F62" t="s">
        <v>155</v>
      </c>
      <c r="G62" s="25" t="s">
        <v>932</v>
      </c>
      <c r="H62" s="15" t="s">
        <v>44</v>
      </c>
      <c r="I62"/>
      <c r="J62"/>
      <c r="K62"/>
      <c r="L62"/>
      <c r="M62"/>
      <c r="N62"/>
      <c r="O62"/>
      <c r="P62"/>
      <c r="Q62"/>
      <c r="R62"/>
      <c r="S62"/>
      <c r="T62"/>
      <c r="U62">
        <v>311</v>
      </c>
      <c r="V62" s="16">
        <v>127</v>
      </c>
      <c r="W62" t="s">
        <v>64</v>
      </c>
      <c r="X62" t="s">
        <v>64</v>
      </c>
      <c r="Y62" s="19" t="s">
        <v>330</v>
      </c>
      <c r="Z62" t="s">
        <v>240</v>
      </c>
      <c r="AA62" t="s">
        <v>240</v>
      </c>
      <c r="AB62" t="s">
        <v>391</v>
      </c>
      <c r="AC62" t="s">
        <v>402</v>
      </c>
      <c r="AD62" t="s">
        <v>391</v>
      </c>
      <c r="AE62">
        <v>531511</v>
      </c>
      <c r="AF62" t="s">
        <v>463</v>
      </c>
      <c r="AG62"/>
      <c r="AH62"/>
      <c r="AI62"/>
      <c r="AJ62" s="16" t="s">
        <v>193</v>
      </c>
      <c r="AK62"/>
      <c r="AL62" s="16">
        <v>3639</v>
      </c>
      <c r="AM62" s="16" t="s">
        <v>218</v>
      </c>
      <c r="AN62"/>
      <c r="AO62" s="23" t="s">
        <v>478</v>
      </c>
      <c r="AP62"/>
      <c r="AQ62"/>
      <c r="AR62" t="s">
        <v>538</v>
      </c>
      <c r="AS62" t="s">
        <v>883</v>
      </c>
      <c r="AT62" t="s">
        <v>883</v>
      </c>
      <c r="AU62" t="s">
        <v>884</v>
      </c>
      <c r="AV62" t="s">
        <v>885</v>
      </c>
      <c r="AW62" s="24">
        <f t="shared" si="0"/>
        <v>56</v>
      </c>
      <c r="AX62" t="s">
        <v>745</v>
      </c>
      <c r="AY62" t="s">
        <v>553</v>
      </c>
      <c r="AZ62" t="s">
        <v>790</v>
      </c>
      <c r="BA62" t="s">
        <v>830</v>
      </c>
      <c r="BB62"/>
      <c r="BC62" t="s">
        <v>860</v>
      </c>
      <c r="BD62"/>
      <c r="BE62"/>
      <c r="BF62"/>
      <c r="BG62" t="s">
        <v>861</v>
      </c>
      <c r="BH62" t="s">
        <v>862</v>
      </c>
      <c r="BI62"/>
      <c r="BJ62"/>
      <c r="BK62"/>
      <c r="BL62" t="s">
        <v>558</v>
      </c>
      <c r="BM62" t="s">
        <v>863</v>
      </c>
      <c r="BN62" t="s">
        <v>559</v>
      </c>
      <c r="BO62"/>
      <c r="BP62"/>
      <c r="BQ62" t="s">
        <v>886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930</v>
      </c>
      <c r="DG62" s="1" t="s">
        <v>930</v>
      </c>
    </row>
    <row r="63" spans="1:111" ht="12" customHeight="1" x14ac:dyDescent="0.75">
      <c r="A63" s="14" t="s">
        <v>111</v>
      </c>
      <c r="B63" s="14" t="s">
        <v>0</v>
      </c>
      <c r="C63" s="14" t="s">
        <v>110</v>
      </c>
      <c r="D63" t="s">
        <v>155</v>
      </c>
      <c r="E63" s="25" t="s">
        <v>931</v>
      </c>
      <c r="F63" t="s">
        <v>155</v>
      </c>
      <c r="G63" s="25" t="s">
        <v>932</v>
      </c>
      <c r="H63" s="15" t="s">
        <v>44</v>
      </c>
      <c r="I63"/>
      <c r="J63"/>
      <c r="K63"/>
      <c r="L63"/>
      <c r="M63"/>
      <c r="N63"/>
      <c r="O63"/>
      <c r="P63"/>
      <c r="Q63"/>
      <c r="R63"/>
      <c r="S63"/>
      <c r="T63"/>
      <c r="U63">
        <v>312</v>
      </c>
      <c r="V63" s="16">
        <v>128</v>
      </c>
      <c r="W63" t="s">
        <v>64</v>
      </c>
      <c r="X63" t="s">
        <v>64</v>
      </c>
      <c r="Y63" s="19" t="s">
        <v>330</v>
      </c>
      <c r="Z63" t="s">
        <v>290</v>
      </c>
      <c r="AA63" t="s">
        <v>290</v>
      </c>
      <c r="AB63" t="s">
        <v>392</v>
      </c>
      <c r="AC63" t="s">
        <v>402</v>
      </c>
      <c r="AD63" t="s">
        <v>392</v>
      </c>
      <c r="AE63">
        <v>531516</v>
      </c>
      <c r="AF63" t="s">
        <v>464</v>
      </c>
      <c r="AG63"/>
      <c r="AH63"/>
      <c r="AI63"/>
      <c r="AJ63" s="16" t="s">
        <v>48</v>
      </c>
      <c r="AK63"/>
      <c r="AL63" s="16">
        <v>3639</v>
      </c>
      <c r="AM63" s="16" t="s">
        <v>326</v>
      </c>
      <c r="AN63"/>
      <c r="AO63" s="23" t="s">
        <v>478</v>
      </c>
      <c r="AP63"/>
      <c r="AQ63"/>
      <c r="AR63" t="s">
        <v>539</v>
      </c>
      <c r="AS63" t="s">
        <v>887</v>
      </c>
      <c r="AT63" t="s">
        <v>887</v>
      </c>
      <c r="AU63" t="s">
        <v>888</v>
      </c>
      <c r="AV63" t="s">
        <v>889</v>
      </c>
      <c r="AW63" s="24">
        <f t="shared" si="0"/>
        <v>56</v>
      </c>
      <c r="AX63" t="s">
        <v>745</v>
      </c>
      <c r="AY63" t="s">
        <v>553</v>
      </c>
      <c r="AZ63" t="s">
        <v>790</v>
      </c>
      <c r="BA63" t="s">
        <v>803</v>
      </c>
      <c r="BB63"/>
      <c r="BC63" t="s">
        <v>777</v>
      </c>
      <c r="BD63"/>
      <c r="BE63"/>
      <c r="BF63"/>
      <c r="BG63" t="s">
        <v>861</v>
      </c>
      <c r="BH63" t="s">
        <v>868</v>
      </c>
      <c r="BI63"/>
      <c r="BJ63"/>
      <c r="BK63"/>
      <c r="BL63" t="s">
        <v>558</v>
      </c>
      <c r="BM63" t="s">
        <v>863</v>
      </c>
      <c r="BN63" t="s">
        <v>559</v>
      </c>
      <c r="BO63"/>
      <c r="BP63" t="s">
        <v>780</v>
      </c>
      <c r="BQ63" t="s">
        <v>890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930</v>
      </c>
      <c r="DG63" s="1" t="s">
        <v>930</v>
      </c>
    </row>
    <row r="64" spans="1:111" ht="12" customHeight="1" x14ac:dyDescent="0.75">
      <c r="A64" s="14" t="s">
        <v>111</v>
      </c>
      <c r="B64" s="14" t="s">
        <v>0</v>
      </c>
      <c r="C64" s="14" t="s">
        <v>110</v>
      </c>
      <c r="D64" t="s">
        <v>155</v>
      </c>
      <c r="E64" s="25" t="s">
        <v>931</v>
      </c>
      <c r="F64" t="s">
        <v>155</v>
      </c>
      <c r="G64" s="25" t="s">
        <v>932</v>
      </c>
      <c r="H64" s="15" t="s">
        <v>44</v>
      </c>
      <c r="I64"/>
      <c r="J64"/>
      <c r="K64"/>
      <c r="L64"/>
      <c r="M64"/>
      <c r="N64"/>
      <c r="O64"/>
      <c r="P64"/>
      <c r="Q64"/>
      <c r="R64"/>
      <c r="S64"/>
      <c r="T64"/>
      <c r="U64">
        <v>313</v>
      </c>
      <c r="V64" s="16">
        <v>129</v>
      </c>
      <c r="W64" t="s">
        <v>64</v>
      </c>
      <c r="X64" t="s">
        <v>64</v>
      </c>
      <c r="Y64" s="19" t="s">
        <v>330</v>
      </c>
      <c r="Z64" t="s">
        <v>8</v>
      </c>
      <c r="AA64" t="s">
        <v>8</v>
      </c>
      <c r="AB64" t="s">
        <v>393</v>
      </c>
      <c r="AC64" t="s">
        <v>402</v>
      </c>
      <c r="AD64" t="s">
        <v>393</v>
      </c>
      <c r="AE64">
        <v>531517</v>
      </c>
      <c r="AF64" t="s">
        <v>465</v>
      </c>
      <c r="AG64"/>
      <c r="AH64"/>
      <c r="AI64"/>
      <c r="AJ64" s="16" t="s">
        <v>115</v>
      </c>
      <c r="AK64"/>
      <c r="AL64" s="16">
        <v>3639</v>
      </c>
      <c r="AM64" s="16" t="s">
        <v>75</v>
      </c>
      <c r="AN64"/>
      <c r="AO64" s="23" t="s">
        <v>478</v>
      </c>
      <c r="AP64"/>
      <c r="AQ64"/>
      <c r="AR64" t="s">
        <v>540</v>
      </c>
      <c r="AS64" t="s">
        <v>891</v>
      </c>
      <c r="AT64" t="s">
        <v>891</v>
      </c>
      <c r="AU64" t="s">
        <v>892</v>
      </c>
      <c r="AV64" t="s">
        <v>893</v>
      </c>
      <c r="AW64" s="24">
        <f t="shared" si="0"/>
        <v>56</v>
      </c>
      <c r="AX64" t="s">
        <v>745</v>
      </c>
      <c r="AY64" t="s">
        <v>553</v>
      </c>
      <c r="AZ64" t="s">
        <v>790</v>
      </c>
      <c r="BA64" t="s">
        <v>803</v>
      </c>
      <c r="BB64"/>
      <c r="BC64" t="s">
        <v>777</v>
      </c>
      <c r="BD64"/>
      <c r="BE64"/>
      <c r="BF64"/>
      <c r="BG64" t="s">
        <v>861</v>
      </c>
      <c r="BH64" t="s">
        <v>862</v>
      </c>
      <c r="BI64"/>
      <c r="BJ64"/>
      <c r="BK64"/>
      <c r="BL64" t="s">
        <v>558</v>
      </c>
      <c r="BM64" t="s">
        <v>863</v>
      </c>
      <c r="BN64" t="s">
        <v>559</v>
      </c>
      <c r="BO64"/>
      <c r="BP64" t="s">
        <v>780</v>
      </c>
      <c r="BQ64" t="s">
        <v>894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930</v>
      </c>
      <c r="DG64" s="1" t="s">
        <v>930</v>
      </c>
    </row>
    <row r="65" spans="1:111" ht="12" customHeight="1" x14ac:dyDescent="0.75">
      <c r="A65" s="14" t="s">
        <v>111</v>
      </c>
      <c r="B65" s="14" t="s">
        <v>0</v>
      </c>
      <c r="C65" s="14" t="s">
        <v>110</v>
      </c>
      <c r="D65" t="s">
        <v>155</v>
      </c>
      <c r="E65" s="25" t="s">
        <v>931</v>
      </c>
      <c r="F65" t="s">
        <v>155</v>
      </c>
      <c r="G65" s="25" t="s">
        <v>932</v>
      </c>
      <c r="H65" s="15" t="s">
        <v>44</v>
      </c>
      <c r="I65"/>
      <c r="J65"/>
      <c r="K65"/>
      <c r="L65"/>
      <c r="M65"/>
      <c r="N65"/>
      <c r="O65"/>
      <c r="P65"/>
      <c r="Q65"/>
      <c r="R65"/>
      <c r="S65"/>
      <c r="T65"/>
      <c r="U65">
        <v>314</v>
      </c>
      <c r="V65" s="16">
        <v>130</v>
      </c>
      <c r="W65" t="s">
        <v>64</v>
      </c>
      <c r="X65" t="s">
        <v>64</v>
      </c>
      <c r="Y65" s="19" t="s">
        <v>330</v>
      </c>
      <c r="Z65" t="s">
        <v>282</v>
      </c>
      <c r="AA65" t="s">
        <v>282</v>
      </c>
      <c r="AB65" t="s">
        <v>394</v>
      </c>
      <c r="AC65" t="s">
        <v>402</v>
      </c>
      <c r="AD65" t="s">
        <v>394</v>
      </c>
      <c r="AE65">
        <v>531519</v>
      </c>
      <c r="AF65" t="s">
        <v>466</v>
      </c>
      <c r="AG65"/>
      <c r="AH65"/>
      <c r="AI65"/>
      <c r="AJ65" s="16" t="s">
        <v>198</v>
      </c>
      <c r="AK65"/>
      <c r="AL65" s="16">
        <v>3639</v>
      </c>
      <c r="AM65" s="16" t="s">
        <v>32</v>
      </c>
      <c r="AN65"/>
      <c r="AO65" s="23" t="s">
        <v>478</v>
      </c>
      <c r="AP65"/>
      <c r="AQ65"/>
      <c r="AR65" t="s">
        <v>541</v>
      </c>
      <c r="AS65" t="s">
        <v>895</v>
      </c>
      <c r="AT65" t="s">
        <v>895</v>
      </c>
      <c r="AU65" t="s">
        <v>896</v>
      </c>
      <c r="AV65" t="s">
        <v>897</v>
      </c>
      <c r="AW65" s="24">
        <f t="shared" si="0"/>
        <v>56</v>
      </c>
      <c r="AX65" t="s">
        <v>745</v>
      </c>
      <c r="AY65" t="s">
        <v>553</v>
      </c>
      <c r="AZ65" t="s">
        <v>790</v>
      </c>
      <c r="BA65" t="s">
        <v>821</v>
      </c>
      <c r="BB65"/>
      <c r="BC65" t="s">
        <v>777</v>
      </c>
      <c r="BD65"/>
      <c r="BE65"/>
      <c r="BF65"/>
      <c r="BG65" t="s">
        <v>861</v>
      </c>
      <c r="BH65" t="s">
        <v>868</v>
      </c>
      <c r="BI65"/>
      <c r="BJ65"/>
      <c r="BK65"/>
      <c r="BL65" t="s">
        <v>558</v>
      </c>
      <c r="BM65" t="s">
        <v>863</v>
      </c>
      <c r="BN65" t="s">
        <v>559</v>
      </c>
      <c r="BO65"/>
      <c r="BP65"/>
      <c r="BQ65" t="s">
        <v>898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930</v>
      </c>
      <c r="DG65" s="1" t="s">
        <v>930</v>
      </c>
    </row>
    <row r="66" spans="1:111" ht="12" customHeight="1" x14ac:dyDescent="0.75">
      <c r="A66" s="14" t="s">
        <v>111</v>
      </c>
      <c r="B66" s="14" t="s">
        <v>0</v>
      </c>
      <c r="C66" s="14" t="s">
        <v>110</v>
      </c>
      <c r="D66" t="s">
        <v>155</v>
      </c>
      <c r="E66" s="25" t="s">
        <v>931</v>
      </c>
      <c r="F66" t="s">
        <v>155</v>
      </c>
      <c r="G66" s="25" t="s">
        <v>932</v>
      </c>
      <c r="H66" s="15" t="s">
        <v>44</v>
      </c>
      <c r="I66"/>
      <c r="J66"/>
      <c r="K66"/>
      <c r="L66"/>
      <c r="M66"/>
      <c r="N66"/>
      <c r="O66"/>
      <c r="P66"/>
      <c r="Q66"/>
      <c r="R66"/>
      <c r="S66"/>
      <c r="T66"/>
      <c r="U66">
        <v>315</v>
      </c>
      <c r="V66" s="16">
        <v>131</v>
      </c>
      <c r="W66" t="s">
        <v>64</v>
      </c>
      <c r="X66" t="s">
        <v>64</v>
      </c>
      <c r="Y66" s="19" t="s">
        <v>330</v>
      </c>
      <c r="Z66" t="s">
        <v>154</v>
      </c>
      <c r="AA66" t="s">
        <v>154</v>
      </c>
      <c r="AB66" t="s">
        <v>395</v>
      </c>
      <c r="AC66" t="s">
        <v>402</v>
      </c>
      <c r="AD66" t="s">
        <v>395</v>
      </c>
      <c r="AE66">
        <v>531520</v>
      </c>
      <c r="AF66" t="s">
        <v>467</v>
      </c>
      <c r="AG66"/>
      <c r="AH66"/>
      <c r="AI66"/>
      <c r="AJ66" s="16" t="s">
        <v>87</v>
      </c>
      <c r="AK66"/>
      <c r="AL66" s="16">
        <v>3639</v>
      </c>
      <c r="AM66" s="16" t="s">
        <v>5</v>
      </c>
      <c r="AN66"/>
      <c r="AO66" s="23" t="s">
        <v>478</v>
      </c>
      <c r="AP66"/>
      <c r="AQ66"/>
      <c r="AR66" t="s">
        <v>542</v>
      </c>
      <c r="AS66" t="s">
        <v>899</v>
      </c>
      <c r="AT66" t="s">
        <v>899</v>
      </c>
      <c r="AU66" t="s">
        <v>900</v>
      </c>
      <c r="AV66" t="s">
        <v>901</v>
      </c>
      <c r="AW66" s="24">
        <f t="shared" ref="AW66:AW72" si="1">LEN(SUBSTITUTE(AV66,", "," "))</f>
        <v>56</v>
      </c>
      <c r="AX66" t="s">
        <v>745</v>
      </c>
      <c r="AY66" t="s">
        <v>553</v>
      </c>
      <c r="AZ66" t="s">
        <v>790</v>
      </c>
      <c r="BA66" t="s">
        <v>821</v>
      </c>
      <c r="BB66"/>
      <c r="BC66" t="s">
        <v>777</v>
      </c>
      <c r="BD66"/>
      <c r="BE66"/>
      <c r="BF66"/>
      <c r="BG66" t="s">
        <v>861</v>
      </c>
      <c r="BH66" t="s">
        <v>862</v>
      </c>
      <c r="BI66"/>
      <c r="BJ66"/>
      <c r="BK66"/>
      <c r="BL66" t="s">
        <v>558</v>
      </c>
      <c r="BM66" t="s">
        <v>863</v>
      </c>
      <c r="BN66" t="s">
        <v>559</v>
      </c>
      <c r="BO66"/>
      <c r="BP66"/>
      <c r="BQ66" t="s">
        <v>902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930</v>
      </c>
      <c r="DG66" s="1" t="s">
        <v>930</v>
      </c>
    </row>
    <row r="67" spans="1:111" ht="12" customHeight="1" x14ac:dyDescent="0.75">
      <c r="A67" s="14" t="s">
        <v>111</v>
      </c>
      <c r="B67" s="14" t="s">
        <v>0</v>
      </c>
      <c r="C67" s="14" t="s">
        <v>110</v>
      </c>
      <c r="D67" t="s">
        <v>155</v>
      </c>
      <c r="E67" s="25" t="s">
        <v>931</v>
      </c>
      <c r="F67" t="s">
        <v>155</v>
      </c>
      <c r="G67" s="25" t="s">
        <v>932</v>
      </c>
      <c r="H67" s="15" t="s">
        <v>44</v>
      </c>
      <c r="I67"/>
      <c r="J67"/>
      <c r="K67"/>
      <c r="L67"/>
      <c r="M67"/>
      <c r="N67"/>
      <c r="O67"/>
      <c r="P67"/>
      <c r="Q67"/>
      <c r="R67"/>
      <c r="S67"/>
      <c r="T67"/>
      <c r="U67">
        <v>316</v>
      </c>
      <c r="V67" s="16">
        <v>132</v>
      </c>
      <c r="W67" t="s">
        <v>64</v>
      </c>
      <c r="X67" t="s">
        <v>64</v>
      </c>
      <c r="Y67" s="19" t="s">
        <v>330</v>
      </c>
      <c r="Z67" t="s">
        <v>199</v>
      </c>
      <c r="AA67" t="s">
        <v>199</v>
      </c>
      <c r="AB67" t="s">
        <v>396</v>
      </c>
      <c r="AC67" t="s">
        <v>402</v>
      </c>
      <c r="AD67" t="s">
        <v>396</v>
      </c>
      <c r="AE67">
        <v>531521</v>
      </c>
      <c r="AF67" t="s">
        <v>468</v>
      </c>
      <c r="AG67"/>
      <c r="AH67"/>
      <c r="AI67"/>
      <c r="AJ67" s="16" t="s">
        <v>10</v>
      </c>
      <c r="AK67"/>
      <c r="AL67" s="16">
        <v>3639</v>
      </c>
      <c r="AM67" s="16" t="s">
        <v>287</v>
      </c>
      <c r="AN67"/>
      <c r="AO67" s="23" t="s">
        <v>478</v>
      </c>
      <c r="AP67"/>
      <c r="AQ67"/>
      <c r="AR67" t="s">
        <v>543</v>
      </c>
      <c r="AS67" t="s">
        <v>903</v>
      </c>
      <c r="AT67" t="s">
        <v>903</v>
      </c>
      <c r="AU67" t="s">
        <v>904</v>
      </c>
      <c r="AV67" t="s">
        <v>905</v>
      </c>
      <c r="AW67" s="24">
        <f t="shared" si="1"/>
        <v>56</v>
      </c>
      <c r="AX67" t="s">
        <v>745</v>
      </c>
      <c r="AY67" t="s">
        <v>553</v>
      </c>
      <c r="AZ67" t="s">
        <v>790</v>
      </c>
      <c r="BA67" t="s">
        <v>906</v>
      </c>
      <c r="BB67"/>
      <c r="BC67" t="s">
        <v>777</v>
      </c>
      <c r="BD67"/>
      <c r="BE67"/>
      <c r="BF67"/>
      <c r="BG67" t="s">
        <v>861</v>
      </c>
      <c r="BH67" t="s">
        <v>907</v>
      </c>
      <c r="BI67"/>
      <c r="BJ67"/>
      <c r="BK67"/>
      <c r="BL67" t="s">
        <v>558</v>
      </c>
      <c r="BM67" t="s">
        <v>863</v>
      </c>
      <c r="BN67" t="s">
        <v>559</v>
      </c>
      <c r="BO67"/>
      <c r="BP67" t="s">
        <v>780</v>
      </c>
      <c r="BQ67" t="s">
        <v>908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930</v>
      </c>
      <c r="DG67" s="1" t="s">
        <v>930</v>
      </c>
    </row>
    <row r="68" spans="1:111" ht="12" customHeight="1" x14ac:dyDescent="0.75">
      <c r="A68" s="14" t="s">
        <v>111</v>
      </c>
      <c r="B68" s="14" t="s">
        <v>0</v>
      </c>
      <c r="C68" s="14" t="s">
        <v>110</v>
      </c>
      <c r="D68" t="s">
        <v>155</v>
      </c>
      <c r="E68" s="25" t="s">
        <v>931</v>
      </c>
      <c r="F68" t="s">
        <v>155</v>
      </c>
      <c r="G68" s="25" t="s">
        <v>932</v>
      </c>
      <c r="H68" s="15" t="s">
        <v>44</v>
      </c>
      <c r="I68"/>
      <c r="J68"/>
      <c r="K68"/>
      <c r="L68"/>
      <c r="M68"/>
      <c r="N68"/>
      <c r="O68"/>
      <c r="P68"/>
      <c r="Q68"/>
      <c r="R68"/>
      <c r="S68"/>
      <c r="T68"/>
      <c r="U68">
        <v>317</v>
      </c>
      <c r="V68" s="16">
        <v>133</v>
      </c>
      <c r="W68" t="s">
        <v>64</v>
      </c>
      <c r="X68" t="s">
        <v>64</v>
      </c>
      <c r="Y68" s="19" t="s">
        <v>330</v>
      </c>
      <c r="Z68" t="s">
        <v>134</v>
      </c>
      <c r="AA68" t="s">
        <v>134</v>
      </c>
      <c r="AB68" t="s">
        <v>397</v>
      </c>
      <c r="AC68" t="s">
        <v>402</v>
      </c>
      <c r="AD68" t="s">
        <v>397</v>
      </c>
      <c r="AE68">
        <v>531528</v>
      </c>
      <c r="AF68" t="s">
        <v>469</v>
      </c>
      <c r="AG68"/>
      <c r="AH68"/>
      <c r="AI68"/>
      <c r="AJ68" s="16" t="s">
        <v>68</v>
      </c>
      <c r="AK68"/>
      <c r="AL68" s="16">
        <v>3639</v>
      </c>
      <c r="AM68" s="16" t="s">
        <v>251</v>
      </c>
      <c r="AN68"/>
      <c r="AO68" s="23" t="s">
        <v>478</v>
      </c>
      <c r="AP68"/>
      <c r="AQ68"/>
      <c r="AR68" t="s">
        <v>544</v>
      </c>
      <c r="AS68" t="s">
        <v>909</v>
      </c>
      <c r="AT68" t="s">
        <v>909</v>
      </c>
      <c r="AU68" t="s">
        <v>910</v>
      </c>
      <c r="AV68" t="s">
        <v>911</v>
      </c>
      <c r="AW68" s="24">
        <f t="shared" si="1"/>
        <v>56</v>
      </c>
      <c r="AX68" t="s">
        <v>745</v>
      </c>
      <c r="AY68" t="s">
        <v>553</v>
      </c>
      <c r="AZ68" t="s">
        <v>790</v>
      </c>
      <c r="BA68" t="s">
        <v>803</v>
      </c>
      <c r="BB68"/>
      <c r="BC68" t="s">
        <v>816</v>
      </c>
      <c r="BD68"/>
      <c r="BE68"/>
      <c r="BF68"/>
      <c r="BG68" t="s">
        <v>861</v>
      </c>
      <c r="BH68" t="s">
        <v>868</v>
      </c>
      <c r="BI68"/>
      <c r="BJ68"/>
      <c r="BK68"/>
      <c r="BL68" t="s">
        <v>558</v>
      </c>
      <c r="BM68" t="s">
        <v>863</v>
      </c>
      <c r="BN68" t="s">
        <v>559</v>
      </c>
      <c r="BO68"/>
      <c r="BP68" t="s">
        <v>912</v>
      </c>
      <c r="BQ68" t="s">
        <v>913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930</v>
      </c>
      <c r="DG68" s="1" t="s">
        <v>930</v>
      </c>
    </row>
    <row r="69" spans="1:111" ht="12" customHeight="1" x14ac:dyDescent="0.75">
      <c r="A69" s="14" t="s">
        <v>111</v>
      </c>
      <c r="B69" s="14" t="s">
        <v>0</v>
      </c>
      <c r="C69" s="14" t="s">
        <v>110</v>
      </c>
      <c r="D69" t="s">
        <v>155</v>
      </c>
      <c r="E69" s="25" t="s">
        <v>931</v>
      </c>
      <c r="F69" t="s">
        <v>155</v>
      </c>
      <c r="G69" s="25" t="s">
        <v>932</v>
      </c>
      <c r="H69" s="15" t="s">
        <v>44</v>
      </c>
      <c r="I69"/>
      <c r="J69"/>
      <c r="K69"/>
      <c r="L69"/>
      <c r="M69"/>
      <c r="N69"/>
      <c r="O69"/>
      <c r="P69"/>
      <c r="Q69"/>
      <c r="R69"/>
      <c r="S69"/>
      <c r="T69"/>
      <c r="U69">
        <v>318</v>
      </c>
      <c r="V69" s="16">
        <v>134</v>
      </c>
      <c r="W69" t="s">
        <v>64</v>
      </c>
      <c r="X69" t="s">
        <v>64</v>
      </c>
      <c r="Y69" s="19" t="s">
        <v>330</v>
      </c>
      <c r="Z69" t="s">
        <v>280</v>
      </c>
      <c r="AA69" t="s">
        <v>280</v>
      </c>
      <c r="AB69" t="s">
        <v>398</v>
      </c>
      <c r="AC69" t="s">
        <v>402</v>
      </c>
      <c r="AD69" t="s">
        <v>398</v>
      </c>
      <c r="AE69">
        <v>531529</v>
      </c>
      <c r="AF69" t="s">
        <v>470</v>
      </c>
      <c r="AG69"/>
      <c r="AH69"/>
      <c r="AI69"/>
      <c r="AJ69" s="16" t="s">
        <v>13</v>
      </c>
      <c r="AK69"/>
      <c r="AL69" s="16">
        <v>3639</v>
      </c>
      <c r="AM69" s="16" t="s">
        <v>208</v>
      </c>
      <c r="AN69"/>
      <c r="AO69" s="23" t="s">
        <v>478</v>
      </c>
      <c r="AP69"/>
      <c r="AQ69"/>
      <c r="AR69" t="s">
        <v>545</v>
      </c>
      <c r="AS69" t="s">
        <v>914</v>
      </c>
      <c r="AT69" t="s">
        <v>914</v>
      </c>
      <c r="AU69" t="s">
        <v>915</v>
      </c>
      <c r="AV69" t="s">
        <v>916</v>
      </c>
      <c r="AW69" s="24">
        <f t="shared" si="1"/>
        <v>56</v>
      </c>
      <c r="AX69" t="s">
        <v>745</v>
      </c>
      <c r="AY69" t="s">
        <v>553</v>
      </c>
      <c r="AZ69" t="s">
        <v>790</v>
      </c>
      <c r="BA69" t="s">
        <v>803</v>
      </c>
      <c r="BB69"/>
      <c r="BC69" t="s">
        <v>816</v>
      </c>
      <c r="BD69"/>
      <c r="BE69"/>
      <c r="BF69"/>
      <c r="BG69" t="s">
        <v>861</v>
      </c>
      <c r="BH69" t="s">
        <v>862</v>
      </c>
      <c r="BI69"/>
      <c r="BJ69"/>
      <c r="BK69"/>
      <c r="BL69" t="s">
        <v>558</v>
      </c>
      <c r="BM69" t="s">
        <v>863</v>
      </c>
      <c r="BN69" t="s">
        <v>559</v>
      </c>
      <c r="BO69"/>
      <c r="BP69"/>
      <c r="BQ69" t="s">
        <v>917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930</v>
      </c>
      <c r="DG69" s="1" t="s">
        <v>930</v>
      </c>
    </row>
    <row r="70" spans="1:111" ht="12" customHeight="1" x14ac:dyDescent="0.75">
      <c r="A70" s="14" t="s">
        <v>111</v>
      </c>
      <c r="B70" s="14" t="s">
        <v>0</v>
      </c>
      <c r="C70" s="14" t="s">
        <v>110</v>
      </c>
      <c r="D70" t="s">
        <v>155</v>
      </c>
      <c r="E70" s="25" t="s">
        <v>931</v>
      </c>
      <c r="F70" t="s">
        <v>155</v>
      </c>
      <c r="G70" s="25" t="s">
        <v>932</v>
      </c>
      <c r="H70" s="15" t="s">
        <v>44</v>
      </c>
      <c r="I70"/>
      <c r="J70"/>
      <c r="K70"/>
      <c r="L70"/>
      <c r="M70"/>
      <c r="N70"/>
      <c r="O70"/>
      <c r="P70"/>
      <c r="Q70"/>
      <c r="R70"/>
      <c r="S70"/>
      <c r="T70"/>
      <c r="U70">
        <v>319</v>
      </c>
      <c r="V70" s="16">
        <v>135</v>
      </c>
      <c r="W70" t="s">
        <v>64</v>
      </c>
      <c r="X70" t="s">
        <v>64</v>
      </c>
      <c r="Y70" s="19" t="s">
        <v>330</v>
      </c>
      <c r="Z70" t="s">
        <v>200</v>
      </c>
      <c r="AA70" t="s">
        <v>200</v>
      </c>
      <c r="AB70" t="s">
        <v>399</v>
      </c>
      <c r="AC70" t="s">
        <v>402</v>
      </c>
      <c r="AD70" t="s">
        <v>399</v>
      </c>
      <c r="AE70">
        <v>531531</v>
      </c>
      <c r="AF70" t="s">
        <v>471</v>
      </c>
      <c r="AG70"/>
      <c r="AH70"/>
      <c r="AI70"/>
      <c r="AJ70" s="16" t="s">
        <v>197</v>
      </c>
      <c r="AK70"/>
      <c r="AL70" s="16">
        <v>3639</v>
      </c>
      <c r="AM70" s="16" t="s">
        <v>119</v>
      </c>
      <c r="AN70"/>
      <c r="AO70" s="23" t="s">
        <v>478</v>
      </c>
      <c r="AP70"/>
      <c r="AQ70"/>
      <c r="AR70" t="s">
        <v>546</v>
      </c>
      <c r="AS70" t="s">
        <v>918</v>
      </c>
      <c r="AT70" t="s">
        <v>918</v>
      </c>
      <c r="AU70" t="s">
        <v>919</v>
      </c>
      <c r="AV70" t="s">
        <v>920</v>
      </c>
      <c r="AW70" s="24">
        <f t="shared" si="1"/>
        <v>56</v>
      </c>
      <c r="AX70" t="s">
        <v>745</v>
      </c>
      <c r="AY70" t="s">
        <v>553</v>
      </c>
      <c r="AZ70" t="s">
        <v>790</v>
      </c>
      <c r="BA70" t="s">
        <v>821</v>
      </c>
      <c r="BB70"/>
      <c r="BC70" t="s">
        <v>816</v>
      </c>
      <c r="BD70"/>
      <c r="BE70"/>
      <c r="BF70"/>
      <c r="BG70" t="s">
        <v>861</v>
      </c>
      <c r="BH70" t="s">
        <v>868</v>
      </c>
      <c r="BI70"/>
      <c r="BJ70"/>
      <c r="BK70"/>
      <c r="BL70" t="s">
        <v>558</v>
      </c>
      <c r="BM70" t="s">
        <v>863</v>
      </c>
      <c r="BN70" t="s">
        <v>559</v>
      </c>
      <c r="BO70"/>
      <c r="BP70"/>
      <c r="BQ70" t="s">
        <v>921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930</v>
      </c>
      <c r="DG70" s="1" t="s">
        <v>930</v>
      </c>
    </row>
    <row r="71" spans="1:111" ht="12" customHeight="1" x14ac:dyDescent="0.75">
      <c r="A71" s="14" t="s">
        <v>111</v>
      </c>
      <c r="B71" s="14" t="s">
        <v>0</v>
      </c>
      <c r="C71" s="14" t="s">
        <v>110</v>
      </c>
      <c r="D71" t="s">
        <v>155</v>
      </c>
      <c r="E71" s="25" t="s">
        <v>931</v>
      </c>
      <c r="F71" t="s">
        <v>155</v>
      </c>
      <c r="G71" s="25" t="s">
        <v>932</v>
      </c>
      <c r="H71" s="15" t="s">
        <v>44</v>
      </c>
      <c r="I71"/>
      <c r="J71"/>
      <c r="K71"/>
      <c r="L71"/>
      <c r="M71"/>
      <c r="N71"/>
      <c r="O71"/>
      <c r="P71"/>
      <c r="Q71"/>
      <c r="R71"/>
      <c r="S71"/>
      <c r="T71"/>
      <c r="U71">
        <v>320</v>
      </c>
      <c r="V71" s="16">
        <v>136</v>
      </c>
      <c r="W71" t="s">
        <v>64</v>
      </c>
      <c r="X71" t="s">
        <v>64</v>
      </c>
      <c r="Y71" s="19" t="s">
        <v>330</v>
      </c>
      <c r="Z71" t="s">
        <v>244</v>
      </c>
      <c r="AA71" t="s">
        <v>244</v>
      </c>
      <c r="AB71" t="s">
        <v>400</v>
      </c>
      <c r="AC71" t="s">
        <v>402</v>
      </c>
      <c r="AD71" t="s">
        <v>400</v>
      </c>
      <c r="AE71">
        <v>531532</v>
      </c>
      <c r="AF71" t="s">
        <v>472</v>
      </c>
      <c r="AG71"/>
      <c r="AH71"/>
      <c r="AI71"/>
      <c r="AJ71" s="16" t="s">
        <v>84</v>
      </c>
      <c r="AK71"/>
      <c r="AL71" s="16">
        <v>3639</v>
      </c>
      <c r="AM71" s="16" t="s">
        <v>262</v>
      </c>
      <c r="AN71"/>
      <c r="AO71" s="23" t="s">
        <v>478</v>
      </c>
      <c r="AP71"/>
      <c r="AQ71"/>
      <c r="AR71" s="17" t="s">
        <v>547</v>
      </c>
      <c r="AS71" t="s">
        <v>922</v>
      </c>
      <c r="AT71" t="s">
        <v>922</v>
      </c>
      <c r="AU71" t="s">
        <v>923</v>
      </c>
      <c r="AV71" t="s">
        <v>924</v>
      </c>
      <c r="AW71" s="24">
        <f t="shared" si="1"/>
        <v>56</v>
      </c>
      <c r="AX71" t="s">
        <v>745</v>
      </c>
      <c r="AY71" t="s">
        <v>553</v>
      </c>
      <c r="AZ71" t="s">
        <v>790</v>
      </c>
      <c r="BA71" t="s">
        <v>821</v>
      </c>
      <c r="BB71"/>
      <c r="BC71" t="s">
        <v>816</v>
      </c>
      <c r="BD71"/>
      <c r="BE71"/>
      <c r="BF71"/>
      <c r="BG71" t="s">
        <v>861</v>
      </c>
      <c r="BH71" s="17" t="s">
        <v>862</v>
      </c>
      <c r="BI71"/>
      <c r="BJ71"/>
      <c r="BK71"/>
      <c r="BL71" t="s">
        <v>558</v>
      </c>
      <c r="BM71" t="s">
        <v>863</v>
      </c>
      <c r="BN71" t="s">
        <v>559</v>
      </c>
      <c r="BO71"/>
      <c r="BP71"/>
      <c r="BQ71" t="s">
        <v>925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930</v>
      </c>
      <c r="DG71" s="1" t="s">
        <v>930</v>
      </c>
    </row>
    <row r="72" spans="1:111" ht="12" customHeight="1" x14ac:dyDescent="0.75">
      <c r="A72" s="14" t="s">
        <v>111</v>
      </c>
      <c r="B72" s="14" t="s">
        <v>0</v>
      </c>
      <c r="C72" s="14" t="s">
        <v>110</v>
      </c>
      <c r="D72" t="s">
        <v>155</v>
      </c>
      <c r="E72" s="25" t="s">
        <v>931</v>
      </c>
      <c r="F72" t="s">
        <v>155</v>
      </c>
      <c r="G72" s="25" t="s">
        <v>932</v>
      </c>
      <c r="H72" s="15" t="s">
        <v>44</v>
      </c>
      <c r="I72"/>
      <c r="J72"/>
      <c r="K72"/>
      <c r="L72"/>
      <c r="M72"/>
      <c r="N72"/>
      <c r="O72"/>
      <c r="P72"/>
      <c r="Q72"/>
      <c r="R72"/>
      <c r="S72"/>
      <c r="T72"/>
      <c r="U72">
        <v>321</v>
      </c>
      <c r="V72" s="16">
        <v>137</v>
      </c>
      <c r="W72" t="s">
        <v>64</v>
      </c>
      <c r="X72" t="s">
        <v>64</v>
      </c>
      <c r="Y72" s="19" t="s">
        <v>330</v>
      </c>
      <c r="Z72" t="s">
        <v>237</v>
      </c>
      <c r="AA72" t="s">
        <v>237</v>
      </c>
      <c r="AB72" t="s">
        <v>401</v>
      </c>
      <c r="AC72" t="s">
        <v>402</v>
      </c>
      <c r="AD72" t="s">
        <v>401</v>
      </c>
      <c r="AE72">
        <v>531535</v>
      </c>
      <c r="AF72" t="s">
        <v>473</v>
      </c>
      <c r="AG72"/>
      <c r="AH72"/>
      <c r="AI72"/>
      <c r="AJ72" s="16" t="s">
        <v>322</v>
      </c>
      <c r="AK72"/>
      <c r="AL72" s="16">
        <v>3639</v>
      </c>
      <c r="AM72" s="16" t="s">
        <v>217</v>
      </c>
      <c r="AN72"/>
      <c r="AO72" s="23" t="s">
        <v>478</v>
      </c>
      <c r="AP72"/>
      <c r="AQ72"/>
      <c r="AR72" t="s">
        <v>548</v>
      </c>
      <c r="AS72" t="s">
        <v>926</v>
      </c>
      <c r="AT72" t="s">
        <v>926</v>
      </c>
      <c r="AU72" t="s">
        <v>927</v>
      </c>
      <c r="AV72" t="s">
        <v>928</v>
      </c>
      <c r="AW72" s="24">
        <f t="shared" si="1"/>
        <v>56</v>
      </c>
      <c r="AX72" t="s">
        <v>745</v>
      </c>
      <c r="AY72" t="s">
        <v>553</v>
      </c>
      <c r="AZ72" t="s">
        <v>790</v>
      </c>
      <c r="BA72" t="s">
        <v>830</v>
      </c>
      <c r="BB72"/>
      <c r="BC72" t="s">
        <v>816</v>
      </c>
      <c r="BD72"/>
      <c r="BE72"/>
      <c r="BF72"/>
      <c r="BG72" t="s">
        <v>861</v>
      </c>
      <c r="BH72" t="s">
        <v>862</v>
      </c>
      <c r="BI72"/>
      <c r="BJ72"/>
      <c r="BK72"/>
      <c r="BL72" t="s">
        <v>558</v>
      </c>
      <c r="BM72" t="s">
        <v>863</v>
      </c>
      <c r="BN72" t="s">
        <v>559</v>
      </c>
      <c r="BO72"/>
      <c r="BP72"/>
      <c r="BQ72" t="s">
        <v>929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930</v>
      </c>
      <c r="DG72" s="1" t="s">
        <v>930</v>
      </c>
    </row>
  </sheetData>
  <autoFilter ref="A1:DG7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2023-08-18T11:24:55Z</dcterms:modified>
  <cp:category/>
</cp:coreProperties>
</file>