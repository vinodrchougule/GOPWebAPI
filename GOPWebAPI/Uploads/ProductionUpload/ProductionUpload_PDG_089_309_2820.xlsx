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AP68" i="1" l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<sst xmlns="http://schemas.openxmlformats.org/spreadsheetml/2006/main" count="2171" uniqueCount="893">
  <si>
    <t>CLEANER LENS ANTI FOG</t>
  </si>
  <si>
    <t>8102/50</t>
  </si>
  <si>
    <t>RALC</t>
  </si>
  <si>
    <t>GUIDE INSERTION RALC</t>
  </si>
  <si>
    <t>42295406</t>
  </si>
  <si>
    <t>ASIS Item Description (Long Description 4000)</t>
  </si>
  <si>
    <t>Brand Name_Ip</t>
  </si>
  <si>
    <t>COVIDIEN</t>
  </si>
  <si>
    <t>UROFLOW</t>
  </si>
  <si>
    <t>NA</t>
  </si>
  <si>
    <t>A4358</t>
  </si>
  <si>
    <t>Ref#</t>
  </si>
  <si>
    <t>L8699</t>
  </si>
  <si>
    <t>HCPCS description</t>
  </si>
  <si>
    <t>BAG  AMBU INFANT</t>
  </si>
  <si>
    <t>STABILIZER SET</t>
  </si>
  <si>
    <t>HCPCS</t>
  </si>
  <si>
    <t>URL</t>
  </si>
  <si>
    <t>BLADE MAC #3</t>
  </si>
  <si>
    <t>47131818</t>
  </si>
  <si>
    <t>A4559</t>
  </si>
  <si>
    <t>CARDIOFOCUS INC</t>
  </si>
  <si>
    <t>PAD ULTRASOUND GEL AQUAFLEX</t>
  </si>
  <si>
    <t>GUIDE INSERTION BATTERY IDRIVE</t>
  </si>
  <si>
    <t>CASE EYEGLASS BULK</t>
  </si>
  <si>
    <t>394.43</t>
  </si>
  <si>
    <t>Classification Remarks1</t>
  </si>
  <si>
    <t>80-494109</t>
  </si>
  <si>
    <t>42295545</t>
  </si>
  <si>
    <t>42295516</t>
  </si>
  <si>
    <t>COLOPLAST</t>
  </si>
  <si>
    <t>RULER SURGICAL SMALL</t>
  </si>
  <si>
    <t>LABEL MEDICAL ALLERGIC</t>
  </si>
  <si>
    <t>1071235</t>
  </si>
  <si>
    <t>792-9-3018-02</t>
  </si>
  <si>
    <t>42296705</t>
  </si>
  <si>
    <t>C1771</t>
  </si>
  <si>
    <t>CEMENT BONE MINI SMARTMIX</t>
  </si>
  <si>
    <t>2051-07</t>
  </si>
  <si>
    <t>Property</t>
  </si>
  <si>
    <t>MASK SURGICAL PLEATED FOG FREE</t>
  </si>
  <si>
    <t>LAWSON_DESC</t>
  </si>
  <si>
    <t>18-1447</t>
  </si>
  <si>
    <t>Standardized UNSPSC1</t>
  </si>
  <si>
    <t>42295166</t>
  </si>
  <si>
    <t>RT030</t>
  </si>
  <si>
    <t>MREYE</t>
  </si>
  <si>
    <t>S8189</t>
  </si>
  <si>
    <t>DIVIDER CHART</t>
  </si>
  <si>
    <t>Prodigo Standard Short Description - 254</t>
  </si>
  <si>
    <t>670550</t>
  </si>
  <si>
    <t>URETEX</t>
  </si>
  <si>
    <t>COVER BOOT</t>
  </si>
  <si>
    <t>Accepted Date</t>
  </si>
  <si>
    <t>304835</t>
  </si>
  <si>
    <t>DEPUY SYNTHES</t>
  </si>
  <si>
    <t>75-801780</t>
  </si>
  <si>
    <t>COOK MEDICAL INC</t>
  </si>
  <si>
    <t>Gender</t>
  </si>
  <si>
    <t>Potential Duplicates</t>
  </si>
  <si>
    <t>Description Duplicate</t>
  </si>
  <si>
    <t>QE Code</t>
  </si>
  <si>
    <t>UNSPSC Description1</t>
  </si>
  <si>
    <t>Long Description</t>
  </si>
  <si>
    <t>RULER SURGICAL LARGE</t>
  </si>
  <si>
    <t>HAMMER REFLEX TAYLOR TOMAHAWK</t>
  </si>
  <si>
    <t>Data Enrichment</t>
  </si>
  <si>
    <t>42201708</t>
  </si>
  <si>
    <t>COCHLEAR AMERICAS</t>
  </si>
  <si>
    <t>CABINET SLIDE STORAGE</t>
  </si>
  <si>
    <t>CIVCO MEDICAL SOLUTIONS</t>
  </si>
  <si>
    <t>Remarks</t>
  </si>
  <si>
    <t>Remarks1</t>
  </si>
  <si>
    <t>2000894P</t>
  </si>
  <si>
    <t>HOOK SUTURE STRAIGHT PINK</t>
  </si>
  <si>
    <t>IDRVBIG</t>
  </si>
  <si>
    <t>CATHETER DRAINAGE PUSHING</t>
  </si>
  <si>
    <t>TUBE ORTHOPAEDIC MEDULLARY</t>
  </si>
  <si>
    <t>RefName</t>
  </si>
  <si>
    <t>42295523</t>
  </si>
  <si>
    <t>CARE LINE INDUSTRIES INC</t>
  </si>
  <si>
    <t>SlNo</t>
  </si>
  <si>
    <t>42131512</t>
  </si>
  <si>
    <t>42142302</t>
  </si>
  <si>
    <t>47131605</t>
  </si>
  <si>
    <t>SE Code</t>
  </si>
  <si>
    <t>BELL MEDICAL</t>
  </si>
  <si>
    <t>42294914</t>
  </si>
  <si>
    <t>000163</t>
  </si>
  <si>
    <t>FASTENER SURGICAL</t>
  </si>
  <si>
    <t>NEEDLE BONE BIOPSY OSTEOSITE</t>
  </si>
  <si>
    <t>42271806</t>
  </si>
  <si>
    <t>785-76</t>
  </si>
  <si>
    <t>Potential Duplicates1</t>
  </si>
  <si>
    <t>BRUSHES TRACH TUBE SMALL</t>
  </si>
  <si>
    <t>PrimaryDimension(IDXODXLXWXHXDXTHK)</t>
  </si>
  <si>
    <t>Production User</t>
  </si>
  <si>
    <t>41113024</t>
  </si>
  <si>
    <t>KNIFE SURGICAL NORSEN</t>
  </si>
  <si>
    <t>BIO ALLIANCE INC</t>
  </si>
  <si>
    <t>L8619</t>
  </si>
  <si>
    <t>A7029</t>
  </si>
  <si>
    <t>CONNECTOR TUBE 95FR 180CM</t>
  </si>
  <si>
    <t>MFGName</t>
  </si>
  <si>
    <t>Long Description 254 Enriched</t>
  </si>
  <si>
    <t>Sort Code</t>
  </si>
  <si>
    <t>Item Long Description</t>
  </si>
  <si>
    <t>MS ALP2</t>
  </si>
  <si>
    <t>42131502</t>
  </si>
  <si>
    <t>COVER PROBE THERMOMETER ORAL</t>
  </si>
  <si>
    <t>CAREFUSION 2200 INC</t>
  </si>
  <si>
    <t>Prodigo UNSPSC</t>
  </si>
  <si>
    <t>1074535</t>
  </si>
  <si>
    <t>SKDE-001</t>
  </si>
  <si>
    <t>42192501</t>
  </si>
  <si>
    <t>6005020901</t>
  </si>
  <si>
    <t>A4375</t>
  </si>
  <si>
    <t>42294219</t>
  </si>
  <si>
    <t>46182007</t>
  </si>
  <si>
    <t>LEAD PACING SELUTE</t>
  </si>
  <si>
    <t>MACGILL FORCEP CHILD</t>
  </si>
  <si>
    <t>STRAP CHIN PREMIUM</t>
  </si>
  <si>
    <t>BRUSHES TRACH TUBE LARGE</t>
  </si>
  <si>
    <t>PROCESSOR SOUND INTENSO GREY</t>
  </si>
  <si>
    <t>42221604</t>
  </si>
  <si>
    <t>Sterile</t>
  </si>
  <si>
    <t>83210</t>
  </si>
  <si>
    <t>CONMED CORPORATION</t>
  </si>
  <si>
    <t>MTPROMO005</t>
  </si>
  <si>
    <t>BERCHTOLD CORP</t>
  </si>
  <si>
    <t>BRACCO DIAGNOSTICS INC</t>
  </si>
  <si>
    <t>42293401</t>
  </si>
  <si>
    <t>C1726</t>
  </si>
  <si>
    <t>42203502</t>
  </si>
  <si>
    <t>Location</t>
  </si>
  <si>
    <t>BIOSEAL</t>
  </si>
  <si>
    <t>42272213</t>
  </si>
  <si>
    <t>BAG UROLOGY UROFLOW</t>
  </si>
  <si>
    <t>42142301</t>
  </si>
  <si>
    <t>TORRINGTON OFFICE PRODUCTS</t>
  </si>
  <si>
    <t>Customer Code</t>
  </si>
  <si>
    <t>1375-15</t>
  </si>
  <si>
    <t>Miscellaneous</t>
  </si>
  <si>
    <t>42312104</t>
  </si>
  <si>
    <t>STICK WOOD MANICURE ORANGE</t>
  </si>
  <si>
    <t>HS4251EA</t>
  </si>
  <si>
    <t>Tab</t>
  </si>
  <si>
    <t>CONNECTOR T TRACH AEROSOL</t>
  </si>
  <si>
    <t>LAL</t>
  </si>
  <si>
    <t>BrandName</t>
  </si>
  <si>
    <t>46181806</t>
  </si>
  <si>
    <t>G00040</t>
  </si>
  <si>
    <t>42282020</t>
  </si>
  <si>
    <t>BAR FIXATION SMALL FTOOL</t>
  </si>
  <si>
    <t>COAST TO COAST UROLOGICAL ASSC</t>
  </si>
  <si>
    <t>HYDROMETER LABORATORY</t>
  </si>
  <si>
    <t>OUST</t>
  </si>
  <si>
    <t>Modifier</t>
  </si>
  <si>
    <t>Verified MFR Name</t>
  </si>
  <si>
    <t>Quality A/R</t>
  </si>
  <si>
    <t>BOSTON SCIENTIFIC CORPORATION</t>
  </si>
  <si>
    <t>SANITIZER AIR CITRUS OUST</t>
  </si>
  <si>
    <t>Production Comments</t>
  </si>
  <si>
    <t>41102919</t>
  </si>
  <si>
    <t>MS ALP2XL</t>
  </si>
  <si>
    <t>42292904</t>
  </si>
  <si>
    <t>CUP BAKING</t>
  </si>
  <si>
    <t>HELMET SAFETY CAGE CAPR</t>
  </si>
  <si>
    <t>MIS1007</t>
  </si>
  <si>
    <t>MTPROMO001</t>
  </si>
  <si>
    <t>MIS1003</t>
  </si>
  <si>
    <t>089</t>
  </si>
  <si>
    <t>42131713</t>
  </si>
  <si>
    <t>Volume/Weight</t>
  </si>
  <si>
    <t>NORSEN KNIFE</t>
  </si>
  <si>
    <t>AQUAFLEX</t>
  </si>
  <si>
    <t>BRUSH INSTRUMENT NYLON</t>
  </si>
  <si>
    <t>ENDOSCOPE FLEXIBLE HEARTLIGHT</t>
  </si>
  <si>
    <t>BLUE SKY SCRUBS</t>
  </si>
  <si>
    <t>CAP PATIENT BABY PINK</t>
  </si>
  <si>
    <t>Noun</t>
  </si>
  <si>
    <t>URL1</t>
  </si>
  <si>
    <t>Start Date</t>
  </si>
  <si>
    <t>UNSPC V24</t>
  </si>
  <si>
    <t>OSTEOSITE</t>
  </si>
  <si>
    <t>CBG BIOTECH</t>
  </si>
  <si>
    <t>G21772</t>
  </si>
  <si>
    <t>TUBE TEST DEPYROGENATED LAL</t>
  </si>
  <si>
    <t>Verified MFR Num</t>
  </si>
  <si>
    <t>42294941</t>
  </si>
  <si>
    <t>PRODIGO REFERENCE ID</t>
  </si>
  <si>
    <t>CARRIAGE SLIDING</t>
  </si>
  <si>
    <t>RU8865-90</t>
  </si>
  <si>
    <t>SLEEVE COMPRESSION LARGE LEG</t>
  </si>
  <si>
    <t>141111</t>
  </si>
  <si>
    <t>485013</t>
  </si>
  <si>
    <t>HAT INFANT PIXIE DISPOSABLE</t>
  </si>
  <si>
    <t>CARDINAL HEALTH MED PROD &amp; SER</t>
  </si>
  <si>
    <t>STRAP TOURNIQUET</t>
  </si>
  <si>
    <t>42203402</t>
  </si>
  <si>
    <t>359.207</t>
  </si>
  <si>
    <t>SPECTRUM</t>
  </si>
  <si>
    <t>QE Comments</t>
  </si>
  <si>
    <t>42292307</t>
  </si>
  <si>
    <t>RefCat</t>
  </si>
  <si>
    <t>PAD MATERNITY SYSTEM</t>
  </si>
  <si>
    <t>CONVATEC INC</t>
  </si>
  <si>
    <t>Classification Remarks</t>
  </si>
  <si>
    <t>Size</t>
  </si>
  <si>
    <t>540139000</t>
  </si>
  <si>
    <t>ALLOGRAFT BONE TENDON BTB</t>
  </si>
  <si>
    <t>Len</t>
  </si>
  <si>
    <t>HCPCS_Ip</t>
  </si>
  <si>
    <t>BCNS-CAP</t>
  </si>
  <si>
    <t>700-040</t>
  </si>
  <si>
    <t>ADAPTER KIT SIDE STREAM</t>
  </si>
  <si>
    <t>1012911</t>
  </si>
  <si>
    <t>Packaging for drugs and solutions</t>
  </si>
  <si>
    <t>961-E</t>
  </si>
  <si>
    <t>BALL COTTON MEDIUM</t>
  </si>
  <si>
    <t>BRIGGS CORP</t>
  </si>
  <si>
    <t>SLEEVE COMPRESSION XLARGE LEG</t>
  </si>
  <si>
    <t>90732</t>
  </si>
  <si>
    <t>Miscellaneous1</t>
  </si>
  <si>
    <t>Material</t>
  </si>
  <si>
    <t>BRUSH CLEANING BUR</t>
  </si>
  <si>
    <t>CONNECTOR INTRAVENOUS Y CUSTOM</t>
  </si>
  <si>
    <t>Activities</t>
  </si>
  <si>
    <t>TL700</t>
  </si>
  <si>
    <t>08122736A</t>
  </si>
  <si>
    <t>BIO MEDICAL ENTERPRISES</t>
  </si>
  <si>
    <t>C R BARD INC</t>
  </si>
  <si>
    <t>OM-2000S</t>
  </si>
  <si>
    <t>CUSTOM MEDICAL SPECIALTIES</t>
  </si>
  <si>
    <t>42142802</t>
  </si>
  <si>
    <t>C1884</t>
  </si>
  <si>
    <t>ADAPTER STAPLING LINEAR SIGNIA</t>
  </si>
  <si>
    <t>53102303</t>
  </si>
  <si>
    <t>651025</t>
  </si>
  <si>
    <t>CAPTIV8 INC</t>
  </si>
  <si>
    <t>42211808</t>
  </si>
  <si>
    <t>355.006</t>
  </si>
  <si>
    <t>LAWSON_DESC_2</t>
  </si>
  <si>
    <t>FILTER SCREEN INLINE RECYCLER</t>
  </si>
  <si>
    <t>COVER EQUIPMENT</t>
  </si>
  <si>
    <t>26111710</t>
  </si>
  <si>
    <t>D922</t>
  </si>
  <si>
    <t>Latex</t>
  </si>
  <si>
    <t>INTBIG</t>
  </si>
  <si>
    <t>Adjective</t>
  </si>
  <si>
    <t>TRI ANIM HEALTH SERVICES INC</t>
  </si>
  <si>
    <t>42296816</t>
  </si>
  <si>
    <t>52121703</t>
  </si>
  <si>
    <t>PDF</t>
  </si>
  <si>
    <t>42296011</t>
  </si>
  <si>
    <t>Age</t>
  </si>
  <si>
    <t>BRUSH CYTOLOGY</t>
  </si>
  <si>
    <t>G19908</t>
  </si>
  <si>
    <t>717-9037703</t>
  </si>
  <si>
    <t>BHC</t>
  </si>
  <si>
    <t>M6012-30</t>
  </si>
  <si>
    <t>Sort Comment</t>
  </si>
  <si>
    <t>A7007</t>
  </si>
  <si>
    <t>CR BARD UROLOGICAL</t>
  </si>
  <si>
    <t>CURRIE MEDICAL SPECIALTIES</t>
  </si>
  <si>
    <t>41123303</t>
  </si>
  <si>
    <t>DRACB028684</t>
  </si>
  <si>
    <t>A9279</t>
  </si>
  <si>
    <t>31-253</t>
  </si>
  <si>
    <t>42182205</t>
  </si>
  <si>
    <t>PDG-Banner</t>
  </si>
  <si>
    <t>263</t>
  </si>
  <si>
    <t>DE Code</t>
  </si>
  <si>
    <t>42321603</t>
  </si>
  <si>
    <t>SIGNIA</t>
  </si>
  <si>
    <t>6747</t>
  </si>
  <si>
    <t>MASK SURGICAL PLEATED FILT TIE</t>
  </si>
  <si>
    <t>IDRIVE</t>
  </si>
  <si>
    <t>Item Description (Long Description 4000)</t>
  </si>
  <si>
    <t>WASHCLOTH PATIENT EASICLEANSE</t>
  </si>
  <si>
    <t>Brandname1</t>
  </si>
  <si>
    <t>CONMED LINVATEC</t>
  </si>
  <si>
    <t>BURNEY PRODUCTS</t>
  </si>
  <si>
    <t>Conc</t>
  </si>
  <si>
    <t>42131609</t>
  </si>
  <si>
    <t>CMS-14-EC</t>
  </si>
  <si>
    <t>42322501</t>
  </si>
  <si>
    <t>75-618-000</t>
  </si>
  <si>
    <t>G13020</t>
  </si>
  <si>
    <t>08123937</t>
  </si>
  <si>
    <t>COOK</t>
  </si>
  <si>
    <t>Job No</t>
  </si>
  <si>
    <t>AG0001</t>
  </si>
  <si>
    <t>717-9037702</t>
  </si>
  <si>
    <t>42144001</t>
  </si>
  <si>
    <t>4248</t>
  </si>
  <si>
    <t>SE Comments</t>
  </si>
  <si>
    <t>BTB</t>
  </si>
  <si>
    <t>SLING KIT URETEX</t>
  </si>
  <si>
    <t>Secondary Dimension(IDXODXLXWXHXDXTHK)</t>
  </si>
  <si>
    <t>42142704</t>
  </si>
  <si>
    <t>CHARLES RIVER LABS</t>
  </si>
  <si>
    <t>C6384</t>
  </si>
  <si>
    <t>SIGADAPTSTND</t>
  </si>
  <si>
    <t>42211507</t>
  </si>
  <si>
    <t>A4215</t>
  </si>
  <si>
    <t>42182302</t>
  </si>
  <si>
    <t>SELUTE</t>
  </si>
  <si>
    <t>42293001</t>
  </si>
  <si>
    <t>42141501</t>
  </si>
  <si>
    <t>Status</t>
  </si>
  <si>
    <t>Corrected By</t>
  </si>
  <si>
    <t>Color</t>
  </si>
  <si>
    <t>UNSPSC1</t>
  </si>
  <si>
    <t>C1729</t>
  </si>
  <si>
    <t>CE Code</t>
  </si>
  <si>
    <t>HCPCS code</t>
  </si>
  <si>
    <t>ADAPTER SET SYRINGE CONTIGEN</t>
  </si>
  <si>
    <t>CATHETER BALLOON DILATATION</t>
  </si>
  <si>
    <t>HCPCS Desc</t>
  </si>
  <si>
    <t>42293108</t>
  </si>
  <si>
    <t>42142906</t>
  </si>
  <si>
    <t>42291613</t>
  </si>
  <si>
    <t>Item Short Description</t>
  </si>
  <si>
    <t>Disposable</t>
  </si>
  <si>
    <t>LAWSON_DESC_3</t>
  </si>
  <si>
    <t>SPONGE TONSIL SMALL</t>
  </si>
  <si>
    <t>L-6012N</t>
  </si>
  <si>
    <t>COIL EMBOLIZATION MREYE</t>
  </si>
  <si>
    <t>CE Comments</t>
  </si>
  <si>
    <t>41121701</t>
  </si>
  <si>
    <t>A4928</t>
  </si>
  <si>
    <t>WRENCH KIT TORQUE</t>
  </si>
  <si>
    <t>SMARTMIX</t>
  </si>
  <si>
    <t>MFGPartNo</t>
  </si>
  <si>
    <t>B9999</t>
  </si>
  <si>
    <t>42294203</t>
  </si>
  <si>
    <t>530-300PK</t>
  </si>
  <si>
    <t>GUIDE ANCHOR DEVICE</t>
  </si>
  <si>
    <t>HEARTLIGHT</t>
  </si>
  <si>
    <t>6501</t>
  </si>
  <si>
    <t>A4649</t>
  </si>
  <si>
    <t>42294907</t>
  </si>
  <si>
    <t>BELL MEDICAL INC</t>
  </si>
  <si>
    <t>BIO-MEDICAL INSTRUMENTS INC</t>
  </si>
  <si>
    <t>BIOSEAL MEDICAL PACKAGING CONCEPTS</t>
  </si>
  <si>
    <t>Blue Sky Scrubs</t>
  </si>
  <si>
    <t>BOSTON SCIENTIFIC CORP</t>
  </si>
  <si>
    <t>BURNEY PRODUCTS CORP</t>
  </si>
  <si>
    <t>BARD C R INC</t>
  </si>
  <si>
    <t>Captiv8</t>
  </si>
  <si>
    <t>CARDINAL HEALTH INC</t>
  </si>
  <si>
    <t>CardioFocus</t>
  </si>
  <si>
    <t>CARE LINE INC</t>
  </si>
  <si>
    <t>CAREFUSION CORP</t>
  </si>
  <si>
    <t>CHARLES RIVER LABORATORIES INC</t>
  </si>
  <si>
    <t>CIVCO HOLDING INC</t>
  </si>
  <si>
    <t>COAST TO COAST UROLOGIC</t>
  </si>
  <si>
    <t>COLOPLAST A/S</t>
  </si>
  <si>
    <t>CONMED CORP</t>
  </si>
  <si>
    <t>LINVATEC CORP</t>
  </si>
  <si>
    <t>CONVATEC LIMITED</t>
  </si>
  <si>
    <t>COVIDIEN KENDALL</t>
  </si>
  <si>
    <t>CURRIE MEDICAL SPECIALTIES INC</t>
  </si>
  <si>
    <t>CUSTOM MEDICAL SPECIALTIES INC</t>
  </si>
  <si>
    <t>SYNTHES</t>
  </si>
  <si>
    <t>RESPIRONICS INC</t>
  </si>
  <si>
    <t>SunMed</t>
  </si>
  <si>
    <t>2000894-P</t>
  </si>
  <si>
    <t>DPT9.5-180-P-FM</t>
  </si>
  <si>
    <t>IMWCE-35-5-10</t>
  </si>
  <si>
    <t>DBBN-11-15.0-M2</t>
  </si>
  <si>
    <t>5401-39-000</t>
  </si>
  <si>
    <t>87-HS4251EA</t>
  </si>
  <si>
    <t>BELL MEDICAL_NORSEN KNIFE</t>
  </si>
  <si>
    <t>STRYKER</t>
  </si>
  <si>
    <t>STRYKER_304835</t>
  </si>
  <si>
    <t>BIO ALLIANCE INC_BTB</t>
  </si>
  <si>
    <t>BIO-MEDICAL INSTRUMENTS INC_205107</t>
  </si>
  <si>
    <t>BIOSEAL_810250</t>
  </si>
  <si>
    <t>BLUE SKY</t>
  </si>
  <si>
    <t>SKDE001</t>
  </si>
  <si>
    <t>BLUE SKY_SKDE001</t>
  </si>
  <si>
    <t>BOSTON</t>
  </si>
  <si>
    <t>BOSTON_4248</t>
  </si>
  <si>
    <t>BOSTON_6747</t>
  </si>
  <si>
    <t>BOSTON_6501</t>
  </si>
  <si>
    <t>OM2000S</t>
  </si>
  <si>
    <t>BOSTON_OM2000S</t>
  </si>
  <si>
    <t>BRACCO</t>
  </si>
  <si>
    <t>BRACCO_31253</t>
  </si>
  <si>
    <t>BRIGGS</t>
  </si>
  <si>
    <t>BRIGGS_75801780</t>
  </si>
  <si>
    <t>L6012N</t>
  </si>
  <si>
    <t>BRIGGS_L6012N</t>
  </si>
  <si>
    <t>80494109</t>
  </si>
  <si>
    <t>BRIGGS_80494109</t>
  </si>
  <si>
    <t>BRIGGS_D922</t>
  </si>
  <si>
    <t>530300PK</t>
  </si>
  <si>
    <t>BURNEY PRODUCTS_530300PK</t>
  </si>
  <si>
    <t>BARD</t>
  </si>
  <si>
    <t>BARD_AG0001</t>
  </si>
  <si>
    <t>CAPTIV8</t>
  </si>
  <si>
    <t>BCNSCAP</t>
  </si>
  <si>
    <t>CAPTIV8_BCNSCAP</t>
  </si>
  <si>
    <t>CARDINAL</t>
  </si>
  <si>
    <t>CARDINAL_1071235</t>
  </si>
  <si>
    <t>CARDINAL_141111</t>
  </si>
  <si>
    <t>CARDINAL_1074535</t>
  </si>
  <si>
    <t>75618000</t>
  </si>
  <si>
    <t>CARDINAL_75618000</t>
  </si>
  <si>
    <t>M601230</t>
  </si>
  <si>
    <t>CARDINAL_M601230</t>
  </si>
  <si>
    <t>CARDINAL_RT030</t>
  </si>
  <si>
    <t>CARDIO FOCUS</t>
  </si>
  <si>
    <t>CARDIO FOCUS_181447</t>
  </si>
  <si>
    <t>CARELINE</t>
  </si>
  <si>
    <t>CARELINE_08123937</t>
  </si>
  <si>
    <t>CARELINE_08122736A</t>
  </si>
  <si>
    <t>RU886590</t>
  </si>
  <si>
    <t>CARDINAL_RU886590</t>
  </si>
  <si>
    <t>CARDINAL_83210</t>
  </si>
  <si>
    <t>CARDINAL_700040</t>
  </si>
  <si>
    <t>CBG BIOTECH_MIS1007</t>
  </si>
  <si>
    <t>CBG BIOTECH_MIS1003</t>
  </si>
  <si>
    <t>CHARLES</t>
  </si>
  <si>
    <t>CHARLES_TL700</t>
  </si>
  <si>
    <t>CIVCO</t>
  </si>
  <si>
    <t>CIVCO_6005020901</t>
  </si>
  <si>
    <t>CIVCO_MTPROMO001</t>
  </si>
  <si>
    <t>CIVCO_MTPROMO005</t>
  </si>
  <si>
    <t>COAST TO COAST UROLOGICAL</t>
  </si>
  <si>
    <t>COAST TO COAST UROLOGICAL_2000894P</t>
  </si>
  <si>
    <t>COCHLEAR</t>
  </si>
  <si>
    <t>COCHLEAR_90732</t>
  </si>
  <si>
    <t>COLOPLAST_670550</t>
  </si>
  <si>
    <t>CONMED</t>
  </si>
  <si>
    <t>CONMED_C6384</t>
  </si>
  <si>
    <t>CONMED_000163</t>
  </si>
  <si>
    <t>CONMED_137515</t>
  </si>
  <si>
    <t>CONVATEC</t>
  </si>
  <si>
    <t>CONVATEC_78576</t>
  </si>
  <si>
    <t>DPT95180PFM</t>
  </si>
  <si>
    <t>COOK_DPT95180PFM</t>
  </si>
  <si>
    <t>IMWCE35510</t>
  </si>
  <si>
    <t>COOK_IMWCE35510</t>
  </si>
  <si>
    <t>COOK_G21772</t>
  </si>
  <si>
    <t>DBBN11150M2</t>
  </si>
  <si>
    <t>COOK_DBBN11150M2</t>
  </si>
  <si>
    <t>MEDTRONIC</t>
  </si>
  <si>
    <t>MEDTRONIC_SIGADAPTSTND</t>
  </si>
  <si>
    <t>MEDTRONIC_IDRVBIG</t>
  </si>
  <si>
    <t>MEDTRONIC_INTBIG</t>
  </si>
  <si>
    <t>BARD_485013</t>
  </si>
  <si>
    <t>BARD_651025</t>
  </si>
  <si>
    <t>CURRIE MEDICAL</t>
  </si>
  <si>
    <t>MSALP2</t>
  </si>
  <si>
    <t>CURRIE MEDICAL_MSALP2</t>
  </si>
  <si>
    <t>MSALP2XL</t>
  </si>
  <si>
    <t>CURRIE MEDICAL_MSALP2XL</t>
  </si>
  <si>
    <t>CUSTOM MEDICAL</t>
  </si>
  <si>
    <t>CMS14EC</t>
  </si>
  <si>
    <t>CUSTOM MEDICAL_CMS14EC</t>
  </si>
  <si>
    <t>JNJ</t>
  </si>
  <si>
    <t>JNJ_359207</t>
  </si>
  <si>
    <t>JNJ_355006</t>
  </si>
  <si>
    <t>JNJ_39443</t>
  </si>
  <si>
    <t>JNJ_540139000</t>
  </si>
  <si>
    <t>TORRINGTON</t>
  </si>
  <si>
    <t>TORRINGTON_DRACB028684</t>
  </si>
  <si>
    <t>PHILIPS</t>
  </si>
  <si>
    <t>PHILIPS_1012911</t>
  </si>
  <si>
    <t>AZIMUTH</t>
  </si>
  <si>
    <t>87HS4251EA</t>
  </si>
  <si>
    <t>AZIMUTH_87HS4251EA</t>
  </si>
  <si>
    <t>TRI-ANIM</t>
  </si>
  <si>
    <t>TRI-ANIM_263</t>
  </si>
  <si>
    <t>7929301802</t>
  </si>
  <si>
    <t>AZIMUTH_7929301802</t>
  </si>
  <si>
    <t>961E</t>
  </si>
  <si>
    <t>TRI-ANIM_961E</t>
  </si>
  <si>
    <t>7179037703</t>
  </si>
  <si>
    <t>TRI-ANIM_7179037703</t>
  </si>
  <si>
    <t>7179037702</t>
  </si>
  <si>
    <t>TRI-ANIM_7179037702</t>
  </si>
  <si>
    <t>42291632  Surgical scalpel or knife or blade or trephine accessories</t>
  </si>
  <si>
    <t>KNIFE, SURGICAL, NORSEN</t>
  </si>
  <si>
    <t>KNIFE</t>
  </si>
  <si>
    <t>SURGICAL</t>
  </si>
  <si>
    <t>NORSEN</t>
  </si>
  <si>
    <t>URL NOT FOUND</t>
  </si>
  <si>
    <t>42296816  Orthopedic surgical instruments</t>
  </si>
  <si>
    <t>FASTENER, SURGICAL</t>
  </si>
  <si>
    <t>FASTENER</t>
  </si>
  <si>
    <t>42295545  Bone graft extender or void fillers or substitutes</t>
  </si>
  <si>
    <t>ALLOGRAFT, BONE, BONE TENDON</t>
  </si>
  <si>
    <t>ALLOGRAFT</t>
  </si>
  <si>
    <t>BONE</t>
  </si>
  <si>
    <t>BONE TENDON</t>
  </si>
  <si>
    <t>42131722  Surgical isolation suits or helmets or shields accessories</t>
  </si>
  <si>
    <t>CAGE FOR ALL CAPR HELMET HOOD CONFIGURATIONS</t>
  </si>
  <si>
    <t>CAGE, HELMET, FOR ALL CAPR HOOD CONFIGURATION</t>
  </si>
  <si>
    <t>CAGE</t>
  </si>
  <si>
    <t>HELMET</t>
  </si>
  <si>
    <t>FOR ALL CAPR HOOD CONFIGURATION</t>
  </si>
  <si>
    <t>https://maxair-systems.com/product-literature/product-brochures/CAPR-Product-Catalog-2020-06-05-Rev-D.pdf</t>
  </si>
  <si>
    <t>CAPR-Product-Catalog-2020-06-05-Rev-D</t>
  </si>
  <si>
    <t>42141501  Cotton or fiber balls</t>
  </si>
  <si>
    <t>COTTON BALLS MEDIUM</t>
  </si>
  <si>
    <t>BALL, COTTON, MEDIUM, WHITE, STERILE, LATEX-FREE, DISPOSABLE</t>
  </si>
  <si>
    <t>BALL</t>
  </si>
  <si>
    <t>COTTON</t>
  </si>
  <si>
    <t>MEDIUM</t>
  </si>
  <si>
    <t>WHITE</t>
  </si>
  <si>
    <t>STERILE</t>
  </si>
  <si>
    <t>LATEX-FREE</t>
  </si>
  <si>
    <t>DISPOSABLE</t>
  </si>
  <si>
    <t>https://www.biosealnet.com/product/cotton-balls-medium-2pk-50pkcs</t>
  </si>
  <si>
    <t>42131512  Patient infant caps or hats or material for infant caps</t>
  </si>
  <si>
    <t>DISPOSABLE PIXIE HATS</t>
  </si>
  <si>
    <t>HAT, INFANT, PIXIE, SCRUB, POLYPROPYLENE, DISPOSABLE</t>
  </si>
  <si>
    <t>HAT</t>
  </si>
  <si>
    <t>INFANT</t>
  </si>
  <si>
    <t>PIXIE, SCRUB</t>
  </si>
  <si>
    <t>POLYPROPYLENE</t>
  </si>
  <si>
    <t>https://www.blueskyscrubs.com/disposable-pixie-hats.html</t>
  </si>
  <si>
    <t>42201708  Medical ultrasound or doppler or echocardiograph gels or transmission pads or lotions</t>
  </si>
  <si>
    <t>LEAD, PACING, SELUTE</t>
  </si>
  <si>
    <t>LEAD</t>
  </si>
  <si>
    <t>PACING</t>
  </si>
  <si>
    <t>42203402  Diagnostic or interventional vascular catheters for general use</t>
  </si>
  <si>
    <t>C2628</t>
  </si>
  <si>
    <t>CATHETER, OCCLUSION</t>
  </si>
  <si>
    <t>BALLOON CATHETER</t>
  </si>
  <si>
    <t>CATHETER, BALLOON DILATATION, 6 FRX110 CM, STERILE, LATEX-FREE</t>
  </si>
  <si>
    <t>CATHETER</t>
  </si>
  <si>
    <t>BALLOON DILATATION</t>
  </si>
  <si>
    <t>6 FRX110 CM</t>
  </si>
  <si>
    <t>https://accessgudid.nlm.nih.gov/devices/00802526331305</t>
  </si>
  <si>
    <t>42292307  Surgical wrenches</t>
  </si>
  <si>
    <t>WRENCH KIT</t>
  </si>
  <si>
    <t>WRENCH KIT, TORQUE, STERILE, LATEX-FREE</t>
  </si>
  <si>
    <t>TORQUE</t>
  </si>
  <si>
    <t>https://www.bostonscientific.com/content/dam/bostonscientific/Rhythm%20Management/portfolio-group/EMBLEM_S-ICD/Download_Center/359481-001%20EMBLEM%20S-ICD%20PTM_English.pdf, https://accessgudid.nlm.nih.gov/devices/00802526489228</t>
  </si>
  <si>
    <t>359481-001 EMBLEM S-ICD PTM_English</t>
  </si>
  <si>
    <t>42293108  Surgical stabilizers</t>
  </si>
  <si>
    <t>42221604  Intravenous or arterial tubing adapter or connector</t>
  </si>
  <si>
    <t>CONNECTOR, INTRAVENOUS, Y, CUSTOM</t>
  </si>
  <si>
    <t>CONNECTOR</t>
  </si>
  <si>
    <t>INTRAVENOUS</t>
  </si>
  <si>
    <t>Y</t>
  </si>
  <si>
    <t>CUSTOM</t>
  </si>
  <si>
    <t>42211808  Nail clippers or files for the physically challenged</t>
  </si>
  <si>
    <t>STICK, NAIL, MANICURE, WOOD, ORANGE</t>
  </si>
  <si>
    <t>STICK</t>
  </si>
  <si>
    <t>NAIL</t>
  </si>
  <si>
    <t>MANICURE</t>
  </si>
  <si>
    <t>WOOD</t>
  </si>
  <si>
    <t>ORANGE</t>
  </si>
  <si>
    <t>42142301  General use medical labels</t>
  </si>
  <si>
    <t>CHART TAPE - ALLERGIC:</t>
  </si>
  <si>
    <t>LABEL, MEDICAL, ALLERGIC, CHART TAPE</t>
  </si>
  <si>
    <t>LABEL</t>
  </si>
  <si>
    <t>MEDICAL</t>
  </si>
  <si>
    <t>ALLERGIC</t>
  </si>
  <si>
    <t>CHART TAPE</t>
  </si>
  <si>
    <t>https://medicalproductssupply.com/chart-tape-allergic.html</t>
  </si>
  <si>
    <t>42295166  Surgical pneumatic or electric tourniquet accessories</t>
  </si>
  <si>
    <t>STRAP, TOURNIQUET</t>
  </si>
  <si>
    <t>STRAP</t>
  </si>
  <si>
    <t>TOURNIQUET</t>
  </si>
  <si>
    <t>42142305  Medical paper charting system accessories</t>
  </si>
  <si>
    <t>DIVIDER, CHART</t>
  </si>
  <si>
    <t>DIVIDER</t>
  </si>
  <si>
    <t>CHART</t>
  </si>
  <si>
    <t>42131502  Patient caps</t>
  </si>
  <si>
    <t>CAP, PATIENT, BABY, PINK</t>
  </si>
  <si>
    <t>CAP</t>
  </si>
  <si>
    <t>PATIENT</t>
  </si>
  <si>
    <t>BABY</t>
  </si>
  <si>
    <t>PINK</t>
  </si>
  <si>
    <t>42293401  Surgical guides</t>
  </si>
  <si>
    <t>GUIDE, ANCHOR, DEVICE</t>
  </si>
  <si>
    <t>GUIDE</t>
  </si>
  <si>
    <t>ANCHOR</t>
  </si>
  <si>
    <t>DEVICE</t>
  </si>
  <si>
    <t>42131609  Medical staff shoe covers or boots</t>
  </si>
  <si>
    <t>COVER, BOOT</t>
  </si>
  <si>
    <t>COVER</t>
  </si>
  <si>
    <t>BOOT</t>
  </si>
  <si>
    <t>42131713  Surgical isolation or surgical masks</t>
  </si>
  <si>
    <t>SURGICAL MASK, PER 20</t>
  </si>
  <si>
    <t>MASK, SURGICAL, PLEATED FILT TIE</t>
  </si>
  <si>
    <t>MASK</t>
  </si>
  <si>
    <t>PLEATED FILT TIE</t>
  </si>
  <si>
    <t>41123303  Microscope slide cabinets</t>
  </si>
  <si>
    <t>CABINET, STORAGE, SLIDE</t>
  </si>
  <si>
    <t>CABINET</t>
  </si>
  <si>
    <t>STORAGE</t>
  </si>
  <si>
    <t>SLIDE</t>
  </si>
  <si>
    <t>LEVEL 3 SURGICAL MASK ANTI-FOG FOAM TIES MEDITERRANEAN BLUE</t>
  </si>
  <si>
    <t>MASK, SURGICAL, PLEATED, LEVEL 3, ANTI-FOG FOAM, TIES, MEDITERRANEAN BLUE</t>
  </si>
  <si>
    <t>PLEATED</t>
  </si>
  <si>
    <t>LEVEL 3, ANTI-FOG FOAM, TIES</t>
  </si>
  <si>
    <t>MEDITERRANEAN BLUE</t>
  </si>
  <si>
    <t>https://imlive.s3.amazonaws.com/Federal%20Government/ID106592789677030074943879142574048679405/Att%20C%20Salient%20Characteristics%20-%20masks%20surgical%20and%20procedural.pdf</t>
  </si>
  <si>
    <t>Att C Salient Characteristics - masks surgical and procedural</t>
  </si>
  <si>
    <t>42182205  Medical thermometer tip or probe covers</t>
  </si>
  <si>
    <t>MONITORING FEATURE/DEVICE, STAND-ALONE OR INTEGRATED, ANY TYPE, INCLUDES ALL ACCESSORIES, COMPONENTS AND ELECTRONICS, NOT OTHERWISE CLASSIFIED</t>
  </si>
  <si>
    <t>COVER DIGITAL THERMOMETER PROBE ORAL 100/BOX FOR THERMOMETER USE</t>
  </si>
  <si>
    <t>COVER, THERMOMETER, DIGITAL, PROBE ORAL</t>
  </si>
  <si>
    <t>THERMOMETER</t>
  </si>
  <si>
    <t>DIGITAL</t>
  </si>
  <si>
    <t>PROBE ORAL</t>
  </si>
  <si>
    <t>https://anthc.org/wp-content/uploads/2016/03/Special-Catalog-MAY14.pdf</t>
  </si>
  <si>
    <t>Special-Catalog-MAY14</t>
  </si>
  <si>
    <t>46181806  Lens cleaner</t>
  </si>
  <si>
    <t>CLEANER, LENS</t>
  </si>
  <si>
    <t>CLEANER</t>
  </si>
  <si>
    <t>LENS</t>
  </si>
  <si>
    <t>ADAPTER KIT, SIDE STREAM</t>
  </si>
  <si>
    <t>ADAPTER KIT</t>
  </si>
  <si>
    <t>SIDE STREAM</t>
  </si>
  <si>
    <t>42296339  Endoscope accessories</t>
  </si>
  <si>
    <t>HEARTLIGHT ENDOSCOPE 300 2</t>
  </si>
  <si>
    <t>ENDOSCOPE, FLEXIBLE, 2 FRX300 CM, HEARTLIGHT</t>
  </si>
  <si>
    <t>ENDOSCOPE</t>
  </si>
  <si>
    <t>FLEXIBLE</t>
  </si>
  <si>
    <t>2 FRX300 CM</t>
  </si>
  <si>
    <t>https://www.cardiofocus.com/wp-content/uploads/2022/03/21-5150-RevB-X3-Brochure.pdf</t>
  </si>
  <si>
    <t>21-5150-RevB-X3-Brochure</t>
  </si>
  <si>
    <t>42142906  Eyeglass cases</t>
  </si>
  <si>
    <t>EYEGLASS CASE</t>
  </si>
  <si>
    <t>CASE, EYEGLASS, BULK</t>
  </si>
  <si>
    <t>CASE</t>
  </si>
  <si>
    <t>EYEGLASS</t>
  </si>
  <si>
    <t>BULK</t>
  </si>
  <si>
    <t>https://mms.mckesson.com/product/465184/Care-Line-08123937</t>
  </si>
  <si>
    <t>53102303  Underpants</t>
  </si>
  <si>
    <t>PAD, MATERNITY, SYSTEM</t>
  </si>
  <si>
    <t>PAD</t>
  </si>
  <si>
    <t>MATERNITY</t>
  </si>
  <si>
    <t>SYSTEM</t>
  </si>
  <si>
    <t>42295427  Surgical instrument brushes or instrument stylets or instrument wipes</t>
  </si>
  <si>
    <t>BRUSH, INSTRUMENT, NYLON</t>
  </si>
  <si>
    <t>BRUSH</t>
  </si>
  <si>
    <t>INSTRUMENT</t>
  </si>
  <si>
    <t>NYLON</t>
  </si>
  <si>
    <t>42182302  Reflex hammers or mallets</t>
  </si>
  <si>
    <t>HAMMER, NEUROLOGICAL, REFLEX, TAYLOR TOMAHAWK</t>
  </si>
  <si>
    <t>HAMMER</t>
  </si>
  <si>
    <t>NEUROLOGICAL</t>
  </si>
  <si>
    <t>REFLEX</t>
  </si>
  <si>
    <t>TAYLOR TOMAHAWK</t>
  </si>
  <si>
    <t>42295406  Laparotomy or surgical x ray detectable sponge or towel</t>
  </si>
  <si>
    <t>SPONGE, TONSIL, SMALL</t>
  </si>
  <si>
    <t>SPONGE</t>
  </si>
  <si>
    <t>TONSIL</t>
  </si>
  <si>
    <t>SMALL</t>
  </si>
  <si>
    <t>41102919  Solvent recyclers</t>
  </si>
  <si>
    <t>RECYCLER, SOLVENT, FILTER SCREEN, INLINE</t>
  </si>
  <si>
    <t>RECYCLER</t>
  </si>
  <si>
    <t>SOLVENT</t>
  </si>
  <si>
    <t>FILTER SCREEN</t>
  </si>
  <si>
    <t>INLINE</t>
  </si>
  <si>
    <t>41113024  Hydrometers</t>
  </si>
  <si>
    <t>HYDROMETER, LABORATORY</t>
  </si>
  <si>
    <t>HYDROMETER</t>
  </si>
  <si>
    <t>LABORATORY</t>
  </si>
  <si>
    <t>http://store.cbgbiotech.com/proddetail.asp?prod=ESSPKG05&amp;cat=4</t>
  </si>
  <si>
    <t>41121701  Multipurpose or general test tubes</t>
  </si>
  <si>
    <t>16 X 90 MM SCREW-CAP BOROSILICATE GLASS TUBES IN A BOX</t>
  </si>
  <si>
    <t>TUBE, TEST, DEPYROGENATED, 16X90 MM, SCREW-CAP, LIMULUS AMEBOCYTE LYSATE, BOROSILICATE GLASS</t>
  </si>
  <si>
    <t>TUBE</t>
  </si>
  <si>
    <t>TEST</t>
  </si>
  <si>
    <t>DEPYROGENATED</t>
  </si>
  <si>
    <t>16X90 MM</t>
  </si>
  <si>
    <t>SCREW-CAP, LIMULUS AMEBOCYTE LYSATE</t>
  </si>
  <si>
    <t>BOROSILICATE GLASS</t>
  </si>
  <si>
    <t>https://criver.com.sg/products/lal-accessory-products/item/120-depyrogenated-and-endotoxin-free-certified-test-tubes-and-96-well-plates</t>
  </si>
  <si>
    <t>COUPLING GEL OR PASTE, FOR USE WITH ULTRASOUND DEVICE, PER OZ</t>
  </si>
  <si>
    <t>PAD, ULTRASOUND, GEL, AQUAFLEX</t>
  </si>
  <si>
    <t>ULTRASOUND</t>
  </si>
  <si>
    <t>GEL</t>
  </si>
  <si>
    <t>42293001  Surgical calipers or rulers or protractors</t>
  </si>
  <si>
    <t>RULER, SURGICAL, SMALL</t>
  </si>
  <si>
    <t>RULER</t>
  </si>
  <si>
    <t>RULER, SURGICAL, LARGE</t>
  </si>
  <si>
    <t>LARGE</t>
  </si>
  <si>
    <t>42142704  Urinary drainage bags or meters</t>
  </si>
  <si>
    <t>URINARY DRAINAGE BAG, LEG OR ABDOMEN, VINYL, WITH OR WITHOUT TUBE, WITH STRAPS, EACH</t>
  </si>
  <si>
    <t>UROFLOW-BAG</t>
  </si>
  <si>
    <t>BAG, UROLOGY, URO-FLOW</t>
  </si>
  <si>
    <t>BAG</t>
  </si>
  <si>
    <t>UROLOGY</t>
  </si>
  <si>
    <t>URO-FLOW</t>
  </si>
  <si>
    <t>https://urological.cdcs.us/products/uro-bag-2000894-p</t>
  </si>
  <si>
    <t>42144001  Implanted hearing device external sound processors</t>
  </si>
  <si>
    <t>COCHLEAR IMPLANT, EXTERNAL SPEECH PROCESSOR AND CONTROLLER, INTEGRATED SYSTEM, REPLACEMENT</t>
  </si>
  <si>
    <t>PROCESSOR, SOUND, INTENSO, GREY</t>
  </si>
  <si>
    <t>PROCESSOR</t>
  </si>
  <si>
    <t>SOUND</t>
  </si>
  <si>
    <t>INTENSO</t>
  </si>
  <si>
    <t>GREY</t>
  </si>
  <si>
    <t>52121703  Wash cloths</t>
  </si>
  <si>
    <t>CLOTH, WASH, PATIENT, EASICLEANSE</t>
  </si>
  <si>
    <t>CLOTH</t>
  </si>
  <si>
    <t>WASH</t>
  </si>
  <si>
    <t>EASICLEANSE</t>
  </si>
  <si>
    <t>42292910  Suture hooks</t>
  </si>
  <si>
    <t>SUTURE HOOK, STRAIGHT (PINK)</t>
  </si>
  <si>
    <t>HOOK, SUTURE, STRAIGHT, PINK, STERILE, SPECTRUM AUTOPASS, LATEX-FREE, DISPOSABLE</t>
  </si>
  <si>
    <t>HOOK</t>
  </si>
  <si>
    <t>SUTURE</t>
  </si>
  <si>
    <t>STRAIGHT</t>
  </si>
  <si>
    <t>SPECTRUM AUTOPASS</t>
  </si>
  <si>
    <t>https://www.conmed.com/en-ca/products/surgical-and-medical-instruments/orthopedic-shoulder-instruments/spectrum-and-spectrum-mvp-suture-passers, https://accessgudid.nlm.nih.gov/devices/10845854018682</t>
  </si>
  <si>
    <t>42294907  Endoscopic cytology or microbiology brushes</t>
  </si>
  <si>
    <t>BRUSH, CYTOLOGY</t>
  </si>
  <si>
    <t>CYTOLOGY</t>
  </si>
  <si>
    <t>BUR CLEANING BRUSH</t>
  </si>
  <si>
    <t>BRUSH, CLEANING, BUR, TEFLON HANDLE, STAINLESS STEEL, NON STERILE, LATEX-FREE</t>
  </si>
  <si>
    <t>CLEANING</t>
  </si>
  <si>
    <t>BUR</t>
  </si>
  <si>
    <t>TEFLON HANDLE</t>
  </si>
  <si>
    <t>STAINLESS STEEL</t>
  </si>
  <si>
    <t>NON STERILE</t>
  </si>
  <si>
    <t>https://www.westcoastmedicalequipment.com/hall-1375-15-bur-cleaning-brush.html, https://accessgudid.nlm.nih.gov/devices/30845854083950</t>
  </si>
  <si>
    <t>42312104  Ostomy collection supplies</t>
  </si>
  <si>
    <t>OSTOMY POUCH, DRAINABLE, WITH FACEPLATE ATTACHED, PLASTIC, EACH</t>
  </si>
  <si>
    <t>CUP, OSTOMY, BAKING</t>
  </si>
  <si>
    <t>CUP</t>
  </si>
  <si>
    <t>OSTOMY</t>
  </si>
  <si>
    <t>BAKING</t>
  </si>
  <si>
    <t>CONNECTING TUBE FEMALE-TO-MALE LUER LOCK POLYETHYLENE WITH PLASTIC FITTINGS</t>
  </si>
  <si>
    <t>CONNECTOR, TUBING, 9.5 FRX180 CM, FEMALE-TO-MALE LUER LOCK, WITH PLASTIC FITTING, POLYETHYLENE, STERILE, LATEX-FREE</t>
  </si>
  <si>
    <t>TUBING</t>
  </si>
  <si>
    <t>9.5 FRX180 CM</t>
  </si>
  <si>
    <t>FEMALE-TO-MALE LUER LOCK, WITH PLASTIC FITTING</t>
  </si>
  <si>
    <t>POLYETHYLENE</t>
  </si>
  <si>
    <t>https://getter-safety.co.il/wp-content/uploads/2016/11/cook-aerotic-peripherial-intervention-catalog.pdf, https://accessgudid.nlm.nih.gov/devices/00827002000407</t>
  </si>
  <si>
    <t>cook-aerotic-peripherial-intervention-catalog</t>
  </si>
  <si>
    <t>42296011  Vascular coils</t>
  </si>
  <si>
    <t>EMBOLIZATION PROTECTIVE SYSTEM</t>
  </si>
  <si>
    <t>MREYE EMBOLIZATION COIL 0.035 IN 5 CM 10 MM 1.6</t>
  </si>
  <si>
    <t>COIL, EMBOLIZATION, 0.035 IN, 10 MMX5 CM, STERILE, MREYE, LATEX-FREE</t>
  </si>
  <si>
    <t>COIL</t>
  </si>
  <si>
    <t>EMBOLIZATION</t>
  </si>
  <si>
    <t>0.035 IN</t>
  </si>
  <si>
    <t>10 MMX5 CM</t>
  </si>
  <si>
    <t>https://getter-safety.co.il/wp-content/uploads/2016/11/cook-aerotic-peripherial-intervention-catalog.pdf, https://accessgudid.nlm.nih.gov/devices/00827002199088</t>
  </si>
  <si>
    <t>42294941  Endoscopic biliary drainage sets</t>
  </si>
  <si>
    <t>CATHETER, DRAINAGE</t>
  </si>
  <si>
    <t>PUSHING CATHETER</t>
  </si>
  <si>
    <t>CATHETER, DRAINAGE, PUSHING, STERILE, LATEX-FREE</t>
  </si>
  <si>
    <t>DRAINAGE</t>
  </si>
  <si>
    <t>PUSHING</t>
  </si>
  <si>
    <t>https://accessgudid.nlm.nih.gov/devices/00827002217720</t>
  </si>
  <si>
    <t>42294903  Endoscopic aspiration or biopsy needles</t>
  </si>
  <si>
    <t>NEEDLE, STERILE, ANY SIZE, EACH</t>
  </si>
  <si>
    <t>OSTEO-SITE MURPHY DIAMOND BEVEL BONE BIOPSY NEEDLE SETS 11 GA 15 CM</t>
  </si>
  <si>
    <t>NEEDLE, BIOPSY, MURPHY, 11 GAX15 CM, DIAMOND BEVEL, SET, STERILE, OSTEO-SITE, LATEX-FREE</t>
  </si>
  <si>
    <t>NEEDLE</t>
  </si>
  <si>
    <t>BIOPSY</t>
  </si>
  <si>
    <t>MURPHY</t>
  </si>
  <si>
    <t>11 GAX15 CM</t>
  </si>
  <si>
    <t>DIAMOND BEVEL, SET</t>
  </si>
  <si>
    <t>OSTEO-SITE</t>
  </si>
  <si>
    <t>https://www.cookmedical.com/data/resources/IR-BM-BBIP-EN-201206_M3(1).pdf, https://accessgudid.nlm.nih.gov/devices/00815212023095</t>
  </si>
  <si>
    <t>IR-BM-BBIP-EN-201206_M3(1)</t>
  </si>
  <si>
    <t>42294203  General surgical instrument sets</t>
  </si>
  <si>
    <t>SIGNIA LINEAR ADAPTER</t>
  </si>
  <si>
    <t>ADAPTER, SURGICAL INSTRUMENT, LINEAR, STAPLING SYSTEM, NON STERILE, SIGNIA, LATEX-FREE</t>
  </si>
  <si>
    <t>ADAPTER</t>
  </si>
  <si>
    <t>SURGICAL INSTRUMENT</t>
  </si>
  <si>
    <t>LINEAR</t>
  </si>
  <si>
    <t>STAPLING SYSTEM</t>
  </si>
  <si>
    <t>https://www.medtronic.com/covidien/en-us/products/surgical-stapling/signia-stapling-system.html, https://accessgudid.nlm.nih.gov/devices/10884521543805</t>
  </si>
  <si>
    <t>IDRIVE BATTERY INSERTION GUIDE</t>
  </si>
  <si>
    <t>GUIDE, INSERTION, BATTERY, NON STERILE, IDRIVE, LATEX-FREE</t>
  </si>
  <si>
    <t>INSERTION</t>
  </si>
  <si>
    <t>BATTERY</t>
  </si>
  <si>
    <t>https://acmerevival.com/wp-content/uploads/2021/12/10-Covidien-IDrive-Ultra-Reusable-Powered-Handle-Brochure.pdf, https://accessgudid.nlm.nih.gov/devices/10884521139275</t>
  </si>
  <si>
    <t>10-Covidien-IDrive-Ultra-Reusable-Powered-Handle-Brochure</t>
  </si>
  <si>
    <t>NEAREST TO COMMODITY</t>
  </si>
  <si>
    <t>IDRIVE BATT INSERTION G</t>
  </si>
  <si>
    <t>GUIDE, INSERTION, BATTERY, RALC, NON STERILE, IDRIVE, LATEX-FREE</t>
  </si>
  <si>
    <t>https://www.partssource.com/parts/united-states-surgical-covidien/INTBIG?pspn=ps43pplcvaq, https://accessgudid.nlm.nih.gov/devices/10884523007138</t>
  </si>
  <si>
    <t>42295523  Gynecological implants or slings</t>
  </si>
  <si>
    <t>REPAIR DEVICE, URINARY, INCONTINENCE, WITH SLING GRAFT</t>
  </si>
  <si>
    <t>URETEX SUP URETHRAL SUPPORT SYSTEM</t>
  </si>
  <si>
    <t>SUPPORT, URETHRAL, SLING KIT, URETEX</t>
  </si>
  <si>
    <t>SUPPORT</t>
  </si>
  <si>
    <t>URETHRAL</t>
  </si>
  <si>
    <t>SLING KIT</t>
  </si>
  <si>
    <t>https://www.accessdata.fda.gov/scrIpts/cdrh/cfdocs/cfmaude/detail.cfm?mdrfoi__id=3203790</t>
  </si>
  <si>
    <t>42295516  Urological implant or sets</t>
  </si>
  <si>
    <t>ADAPTER SET, SYRINGE, CONTIGEN</t>
  </si>
  <si>
    <t>ADAPTER SET</t>
  </si>
  <si>
    <t>SYRINGE</t>
  </si>
  <si>
    <t>CONTIGEN</t>
  </si>
  <si>
    <t>42142802  Vascular or compression apparel or support</t>
  </si>
  <si>
    <t>PRESS, ALT LEG, LARGE, CALF, 10 PR/CS</t>
  </si>
  <si>
    <t>SLEEVE, COMPRESSION, LARGE, CALF, LEG PRESS</t>
  </si>
  <si>
    <t>SLEEVE</t>
  </si>
  <si>
    <t>COMPRESSION</t>
  </si>
  <si>
    <t>CALF</t>
  </si>
  <si>
    <t>LEG PRESS</t>
  </si>
  <si>
    <t>https://www.ciamedical.com/currie-medical-specialties-ms-alp2-case-press-alt-leg-large-calf-10-pr-cs</t>
  </si>
  <si>
    <t>GARMENT, ALT LEG PRESS XLARGE CALF, 1 PR/PR</t>
  </si>
  <si>
    <t>SLEEVE, COMPRESSION, XLARGE, CALF, LEG PRESS</t>
  </si>
  <si>
    <t>XLARGE</t>
  </si>
  <si>
    <t>https://www.ciamedical.com/currie-medical-specialties-ms-alp2xl-pair-garment-alt-leg-press-xlarge-calf-1-pr-pr</t>
  </si>
  <si>
    <t>42192501  Medical equipment covers</t>
  </si>
  <si>
    <t>COVER, EQUIPMENT</t>
  </si>
  <si>
    <t>EQUIPMENT</t>
  </si>
  <si>
    <t>42294202  External fixation instrument sets or systems</t>
  </si>
  <si>
    <t>C1776</t>
  </si>
  <si>
    <t>JOINT DEVICE (IMPLANTABLE)</t>
  </si>
  <si>
    <t>BAR, FOR SMALL F-TOOL</t>
  </si>
  <si>
    <t>BAR, FIXATION, FOR SMALL F-TOOL, NON STERILE, LATEX-FREE</t>
  </si>
  <si>
    <t>BAR</t>
  </si>
  <si>
    <t>FIXATION</t>
  </si>
  <si>
    <t>FOR SMALL F-TOOL</t>
  </si>
  <si>
    <t>http://synthes.vo.llnwd.net/o16/LLNWMB8/US%20Mobile/Synthes%20North%20America/Product%20Support%20Materials/Technique%20Guides/DSUSTRM09161030%20Rev%20B.pdf, https://accessgudid.nlm.nih.gov/devices/10886982197085</t>
  </si>
  <si>
    <t>DSUSTRM09161030 Rev B</t>
  </si>
  <si>
    <t>42294219  Orthopedic surgical instrument sets</t>
  </si>
  <si>
    <t>MEDULLARY TUBE</t>
  </si>
  <si>
    <t>TUBE, ORTHOPEDIC, MEDULLARY, NON STERILE, LATEX-FREE</t>
  </si>
  <si>
    <t>ORTHOPEDIC</t>
  </si>
  <si>
    <t>MEDULLARY</t>
  </si>
  <si>
    <t>http://synthes.vo.llnwd.net/o16/LLNWMB8/US%20Mobile/Synthes%20North%20America/Product%20Support%20Materials/Technique%20Guides/DSUSTRM04171431%20Rev%20B.pdf, https://accessgudid.nlm.nih.gov/devices/10886982194725</t>
  </si>
  <si>
    <t>DSUSTRM04171431 Rev B</t>
  </si>
  <si>
    <t>42211507  Whole body sliding or turning devices</t>
  </si>
  <si>
    <t>SLIDING CARRIAGE</t>
  </si>
  <si>
    <t>CARRIAGE, BODY SLIDING, NON STERILE, LATEX-FREE</t>
  </si>
  <si>
    <t>CARRIAGE</t>
  </si>
  <si>
    <t>BODY SLIDING</t>
  </si>
  <si>
    <t>http://synthes.vo.llnwd.net/o16/LLNWMB8/US%20Mobile/Synthes%20North%20America/Product%20Support%20Materials/Technique%20Guides/DSUSTRM09161052%20Rev%20B.pdf, https://accessgudid.nlm.nih.gov/devices/10886982199713</t>
  </si>
  <si>
    <t>42296708  Surgical bone cement kit accessories</t>
  </si>
  <si>
    <t>PROSTHETIC IMPLANT, NOT OTHERWISE SPECIFIED</t>
  </si>
  <si>
    <t>SMARTMIX MINI SYSTEM</t>
  </si>
  <si>
    <t>SYSTEM, BONE CEMENT, STERILE, SMARTMIX MINI, LATEX-FREE</t>
  </si>
  <si>
    <t>BONE CEMENT</t>
  </si>
  <si>
    <t>SMARTMIX MINI</t>
  </si>
  <si>
    <t>http://synthes.vo.llnwd.net/o16/LLNWMB8/INT%20Mobile/Synthes%20International/Product%20Support%20Material/legacy_Synthes_PDF/142029.pdf, https://accessgudid.nlm.nih.gov/devices/15060238200193</t>
  </si>
  <si>
    <t>47131818  Air sanitizer</t>
  </si>
  <si>
    <t>SANITIZER, AIR, CITRUS FRAGRANCE, OUST</t>
  </si>
  <si>
    <t>SANITIZER</t>
  </si>
  <si>
    <t>AIR</t>
  </si>
  <si>
    <t>CITRUS FRAGRANCE</t>
  </si>
  <si>
    <t>42272213  Continuous positive airway pressure CPAP masks or straps</t>
  </si>
  <si>
    <t>NASAL PILLOWS FOR COMBINATION ORAL/NASAL MASK, REPLACEMENT ONLY, PAIR</t>
  </si>
  <si>
    <t>CHIN STRAP, PREMIUM, VERTICAL, INTEGRATED CHIN CUP, ADJUSTABLE, BLACK</t>
  </si>
  <si>
    <t>STRAP, CHIN, ADJUSTABLE, PREMIUM, VERTICAL, INTEGRATED CHIN CUP, BLACK, NON STERILE, LATEX-FREE</t>
  </si>
  <si>
    <t>CHIN</t>
  </si>
  <si>
    <t>ADJUSTABLE</t>
  </si>
  <si>
    <t>PREMIUM, VERTICAL, INTEGRATED CHIN CUP</t>
  </si>
  <si>
    <t>BLACK</t>
  </si>
  <si>
    <t>https://www.tri-anim.com/ths/non-invasive-ventilation/portable-cpap-systems/chin-strap-premium-vertical-integrated-chin-cup-adjustable-black/p/73-1012911</t>
  </si>
  <si>
    <t>42272211  Hyperinflation products</t>
  </si>
  <si>
    <t>HYPERINFLATION SYSTEM, MANOMETER, INFANT MASK, 1/2 L BAG, SWIVEL ELBOW, POP-OFF VALVE, O2 TUBING, LATEX FREE</t>
  </si>
  <si>
    <t>SYSTEM, HYPERINFLATION, MANOMETER, INFANT MASK, 0.5 L BAG, SWIVEL ELBOW, POP-OFF VALVE, O2 TUBING, LATEX-FREE</t>
  </si>
  <si>
    <t>HYPERINFLATION</t>
  </si>
  <si>
    <t>MANOMETER, INFANT MASK, 0.5 L BAG, SWIVEL ELBOW, POP-OFF VALVE, O2 TUBING</t>
  </si>
  <si>
    <t>https://www.tri-anim.com/ths/ventilation/hyperinflation-bags/hyperinflation-systems-with-manometer-and-mask/p/group003281</t>
  </si>
  <si>
    <t>42272018  Intubation laryngoscope accessories</t>
  </si>
  <si>
    <t>BLADE, LARYNGOSCOPE, MAC 3</t>
  </si>
  <si>
    <t>BLADE</t>
  </si>
  <si>
    <t>LARYNGOSCOPE</t>
  </si>
  <si>
    <t>MAC 3</t>
  </si>
  <si>
    <t>42291802  Surgical clamps or clips or forceps</t>
  </si>
  <si>
    <t>FORCEPS, MAGILL, CLOSED TIP, STAINLESS STEEL, 4 INCHES TIP TO ELBOW, CHILD</t>
  </si>
  <si>
    <t>FORCEP, SURGICAL, MAGILL, CHILD, 4 IN, CLOSED TIP, TIP TO ELBOW, STAINLESS STEEL</t>
  </si>
  <si>
    <t>FORCEP</t>
  </si>
  <si>
    <t>MAGILL</t>
  </si>
  <si>
    <t>CHILD</t>
  </si>
  <si>
    <t>4 IN</t>
  </si>
  <si>
    <t>CLOSED TIP, TIP TO ELBOW</t>
  </si>
  <si>
    <t>https://www.tri-anim.com/ths/airway-management/laryngoscopes/laryngoscope-accessories/forceps-magill-closed-tip/p/group003349</t>
  </si>
  <si>
    <t>42271915  Tracheostomy accessories</t>
  </si>
  <si>
    <t>TRACHEOSTOMY SUPPLY, NOT OTHERWISE CLASSIFIED</t>
  </si>
  <si>
    <t>CONNECTOR, AEROSOL, T, TRACHEOSTOMY</t>
  </si>
  <si>
    <t>AEROSOL</t>
  </si>
  <si>
    <t>T, TRACHEOSTOMY</t>
  </si>
  <si>
    <t>BRUSH, TRACHEOSTOMY TUBE, LARGE</t>
  </si>
  <si>
    <t>TRACHEOSTOMY TUBE</t>
  </si>
  <si>
    <t>BRUSH, TRACHEOSTOMY TUBE, SMALL</t>
  </si>
  <si>
    <t>UNSOURCED</t>
  </si>
  <si>
    <t>SOURCED</t>
  </si>
  <si>
    <t>THIRD PARTY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</si>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</sst>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7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0" fillId="0" borderId="1" xfId="0" applyFont="1"/>
    <xf numFmtId="0" fontId="0" fillId="0" borderId="1" xfId="0" quotePrefix="1"/>
    <xf numFmtId="0" fontId="0" fillId="0" borderId="1" xfId="0" applyNumberFormat="1"/>
    <xf numFmtId="0" fontId="0" fillId="0" borderId="1" xfId="0" applyNumberFormat="1" applyAlignment="1">
      <alignment wrapText="1"/>
    </xf>
    <xf numFmtId="0" fontId="0" fillId="0" borderId="1" xfId="0" quotePrefix="1" applyNumberForma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8"/>
  <sheetViews>
    <sheetView tabSelected="1" topLeftCell="BU1" workbookViewId="0">
      <selection activeCell="CD2" sqref="CD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6.8554687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33.5703125" style="1" customWidth="1"/>
    <col min="20" max="20" width="17.42578125" style="1" customWidth="1"/>
    <col min="21" max="21" width="15.85546875" style="1" customWidth="1"/>
    <col min="22" max="22" width="16.5703125" style="1" customWidth="1"/>
    <col min="23" max="23" width="9.42578125" style="1" customWidth="1"/>
    <col min="24" max="24" width="7.28515625" style="1" customWidth="1"/>
    <col min="25" max="25" width="5.5703125" style="1" customWidth="1"/>
    <col min="26" max="26" width="5.85546875" style="1" customWidth="1"/>
    <col min="27" max="29" width="36" style="1" customWidth="1"/>
    <col min="30" max="30" width="14.85546875" style="1" customWidth="1"/>
    <col min="31" max="31" width="20.5703125" style="1" customWidth="1"/>
    <col min="32" max="32" width="20" style="1" customWidth="1"/>
    <col min="33" max="33" width="19.42578125" style="1" customWidth="1"/>
    <col min="34" max="34" width="9.42578125" style="1" customWidth="1"/>
    <col min="35" max="35" width="14.140625" style="1" customWidth="1"/>
    <col min="36" max="36" width="11" style="1" customWidth="1"/>
    <col min="37" max="37" width="11.28515625" style="1" customWidth="1"/>
    <col min="38" max="38" width="16.42578125" style="1" customWidth="1"/>
    <col min="39" max="39" width="38" style="1" customWidth="1"/>
    <col min="40" max="40" width="15.28515625" style="1" customWidth="1"/>
    <col min="41" max="41" width="25.85546875" style="1" customWidth="1"/>
    <col min="42" max="42" width="5" style="1" customWidth="1"/>
    <col min="43" max="43" width="6.42578125" style="1" customWidth="1"/>
    <col min="44" max="44" width="8.85546875" style="1" customWidth="1"/>
    <col min="45" max="45" width="9.42578125" style="1" customWidth="1"/>
    <col min="46" max="47" width="5.140625" style="1" customWidth="1"/>
    <col min="48" max="48" width="35.7109375" style="1" customWidth="1"/>
    <col min="49" max="49" width="38.140625" style="1" customWidth="1"/>
    <col min="50" max="50" width="14.85546875" style="1" customWidth="1"/>
    <col min="51" max="51" width="8" style="1" customWidth="1"/>
    <col min="52" max="52" width="8.7109375" style="1" customWidth="1"/>
    <col min="53" max="53" width="9.140625" style="1" customWidth="1"/>
    <col min="54" max="54" width="8.7109375" style="1" customWidth="1"/>
    <col min="55" max="55" width="27.85546875" style="1" customWidth="1"/>
    <col min="56" max="56" width="6.28515625" style="1" customWidth="1"/>
    <col min="57" max="57" width="7.28515625" style="1" customWidth="1"/>
    <col min="58" max="58" width="11.42578125" style="1" customWidth="1"/>
    <col min="59" max="59" width="6.42578125" style="1" customWidth="1"/>
    <col min="60" max="60" width="10.42578125" style="1" customWidth="1"/>
    <col min="61" max="61" width="13" style="1" customWidth="1"/>
    <col min="62" max="63" width="5.140625" style="1" customWidth="1"/>
    <col min="64" max="64" width="17.85546875" style="1" customWidth="1"/>
    <col min="65" max="65" width="18.85546875" style="1" customWidth="1"/>
    <col min="66" max="66" width="8.85546875" style="1" customWidth="1"/>
    <col min="67" max="67" width="19.28515625" style="1" customWidth="1"/>
    <col min="68" max="68" width="9.28515625" style="1" customWidth="1"/>
    <col min="69" max="69" width="20" style="1" customWidth="1"/>
    <col min="70" max="70" width="18.7109375" style="1" customWidth="1"/>
    <col min="71" max="71" width="7.140625" style="1" customWidth="1"/>
    <col min="72" max="72" width="34.28515625" style="1" customWidth="1"/>
    <col min="73" max="73" width="34.140625" style="1" customWidth="1"/>
    <col min="74" max="74" width="12.140625" style="1" customWidth="1"/>
    <col min="75" max="75" width="14" style="1" customWidth="1"/>
    <col min="76" max="76" width="6.140625" style="1" customWidth="1"/>
    <col min="77" max="77" width="18.85546875" style="1" customWidth="1"/>
    <col min="78" max="78" width="20.28515625" style="1" customWidth="1"/>
    <col min="79" max="79" width="9.85546875" style="1" customWidth="1"/>
    <col min="80" max="80" width="11.140625" style="1" customWidth="1"/>
    <col min="81" max="81" width="4.7109375" style="1" customWidth="1"/>
    <col min="82" max="82" width="19.85546875" style="1" customWidth="1"/>
    <col min="83" max="83" width="18.5703125" style="1" customWidth="1"/>
    <col min="84" max="84" width="9.140625" style="1" customWidth="1"/>
    <col min="85" max="16384" width="9.140625" style="1"/>
  </cols>
  <sheetData>
    <row r="1" spans="1:83" ht="12" customHeight="1" x14ac:dyDescent="0.2">
      <c r="A1" s="2" t="s">
        <v>140</v>
      </c>
      <c r="B1" s="3" t="s">
        <v>291</v>
      </c>
      <c r="C1" s="2" t="s">
        <v>85</v>
      </c>
      <c r="D1" s="2" t="s">
        <v>296</v>
      </c>
      <c r="E1" s="2" t="s">
        <v>315</v>
      </c>
      <c r="F1" s="2" t="s">
        <v>329</v>
      </c>
      <c r="G1" s="4" t="s">
        <v>96</v>
      </c>
      <c r="H1" s="4" t="s">
        <v>227</v>
      </c>
      <c r="I1" s="2" t="s">
        <v>105</v>
      </c>
      <c r="J1" s="2" t="s">
        <v>261</v>
      </c>
      <c r="K1" s="2" t="s">
        <v>272</v>
      </c>
      <c r="L1" s="2" t="s">
        <v>61</v>
      </c>
      <c r="M1" s="2" t="s">
        <v>202</v>
      </c>
      <c r="N1" s="2" t="s">
        <v>311</v>
      </c>
      <c r="O1" s="2" t="s">
        <v>182</v>
      </c>
      <c r="P1" s="2" t="s">
        <v>53</v>
      </c>
      <c r="Q1" s="2" t="s">
        <v>159</v>
      </c>
      <c r="R1" s="5" t="s">
        <v>81</v>
      </c>
      <c r="S1" s="6" t="s">
        <v>103</v>
      </c>
      <c r="T1" s="5" t="s">
        <v>158</v>
      </c>
      <c r="U1" s="6" t="s">
        <v>334</v>
      </c>
      <c r="V1" s="5" t="s">
        <v>188</v>
      </c>
      <c r="W1" s="7" t="s">
        <v>78</v>
      </c>
      <c r="X1" s="7" t="s">
        <v>204</v>
      </c>
      <c r="Y1" s="7" t="s">
        <v>11</v>
      </c>
      <c r="Z1" s="7" t="s">
        <v>283</v>
      </c>
      <c r="AA1" s="6" t="s">
        <v>41</v>
      </c>
      <c r="AB1" s="6" t="s">
        <v>242</v>
      </c>
      <c r="AC1" s="6" t="s">
        <v>325</v>
      </c>
      <c r="AD1" s="6" t="s">
        <v>111</v>
      </c>
      <c r="AE1" s="6" t="s">
        <v>190</v>
      </c>
      <c r="AF1" s="6" t="s">
        <v>323</v>
      </c>
      <c r="AG1" s="6" t="s">
        <v>106</v>
      </c>
      <c r="AH1" s="6" t="s">
        <v>212</v>
      </c>
      <c r="AI1" s="6" t="s">
        <v>6</v>
      </c>
      <c r="AJ1" s="8" t="s">
        <v>183</v>
      </c>
      <c r="AK1" s="4" t="s">
        <v>316</v>
      </c>
      <c r="AL1" s="4" t="s">
        <v>13</v>
      </c>
      <c r="AM1" s="9" t="s">
        <v>5</v>
      </c>
      <c r="AN1" s="8" t="s">
        <v>63</v>
      </c>
      <c r="AO1" s="8" t="s">
        <v>104</v>
      </c>
      <c r="AP1" s="8" t="s">
        <v>211</v>
      </c>
      <c r="AQ1" s="9" t="s">
        <v>180</v>
      </c>
      <c r="AR1" s="9" t="s">
        <v>157</v>
      </c>
      <c r="AS1" s="9" t="s">
        <v>249</v>
      </c>
      <c r="AT1" s="9" t="s">
        <v>208</v>
      </c>
      <c r="AU1" s="9" t="s">
        <v>255</v>
      </c>
      <c r="AV1" s="9" t="s">
        <v>95</v>
      </c>
      <c r="AW1" s="9" t="s">
        <v>299</v>
      </c>
      <c r="AX1" s="9" t="s">
        <v>173</v>
      </c>
      <c r="AY1" s="9" t="s">
        <v>58</v>
      </c>
      <c r="AZ1" s="9" t="s">
        <v>134</v>
      </c>
      <c r="BA1" s="9" t="s">
        <v>39</v>
      </c>
      <c r="BB1" s="9" t="s">
        <v>224</v>
      </c>
      <c r="BC1" s="9" t="s">
        <v>217</v>
      </c>
      <c r="BD1" s="9" t="s">
        <v>312</v>
      </c>
      <c r="BE1" s="9" t="s">
        <v>125</v>
      </c>
      <c r="BF1" s="9" t="s">
        <v>149</v>
      </c>
      <c r="BG1" s="9" t="s">
        <v>247</v>
      </c>
      <c r="BH1" s="9" t="s">
        <v>324</v>
      </c>
      <c r="BI1" s="9" t="s">
        <v>142</v>
      </c>
      <c r="BJ1" s="8" t="s">
        <v>17</v>
      </c>
      <c r="BK1" s="8" t="s">
        <v>253</v>
      </c>
      <c r="BL1" s="9" t="s">
        <v>59</v>
      </c>
      <c r="BM1" s="9" t="s">
        <v>60</v>
      </c>
      <c r="BN1" s="9" t="s">
        <v>71</v>
      </c>
      <c r="BO1" s="9" t="s">
        <v>207</v>
      </c>
      <c r="BP1" s="10" t="s">
        <v>313</v>
      </c>
      <c r="BQ1" s="10" t="s">
        <v>43</v>
      </c>
      <c r="BR1" s="10" t="s">
        <v>62</v>
      </c>
      <c r="BS1" s="10" t="s">
        <v>16</v>
      </c>
      <c r="BT1" s="10" t="s">
        <v>278</v>
      </c>
      <c r="BU1" s="10" t="s">
        <v>49</v>
      </c>
      <c r="BV1" s="10" t="s">
        <v>280</v>
      </c>
      <c r="BW1" s="10" t="s">
        <v>223</v>
      </c>
      <c r="BX1" s="10" t="s">
        <v>181</v>
      </c>
      <c r="BY1" s="10" t="s">
        <v>93</v>
      </c>
      <c r="BZ1" s="10" t="s">
        <v>26</v>
      </c>
      <c r="CA1" s="10" t="s">
        <v>72</v>
      </c>
      <c r="CB1" s="10" t="s">
        <v>319</v>
      </c>
      <c r="CC1" s="10" t="s">
        <v>146</v>
      </c>
      <c r="CD1" s="1" t="s">
        <v>310</v>
      </c>
      <c r="CE1" s="1" t="s">
        <v>162</v>
      </c>
    </row>
    <row r="2" spans="1:83" ht="12" customHeight="1" x14ac:dyDescent="0.25">
      <c r="A2" s="11" t="s">
        <v>270</v>
      </c>
      <c r="B2" s="11" t="s">
        <v>171</v>
      </c>
      <c r="C2" t="s">
        <v>259</v>
      </c>
      <c r="D2" t="s">
        <v>888</v>
      </c>
      <c r="E2" t="s">
        <v>259</v>
      </c>
      <c r="F2" t="s">
        <v>891</v>
      </c>
      <c r="G2" t="s">
        <v>259</v>
      </c>
      <c r="H2" t="s">
        <v>66</v>
      </c>
      <c r="I2"/>
      <c r="J2"/>
      <c r="K2"/>
      <c r="L2"/>
      <c r="M2"/>
      <c r="N2"/>
      <c r="O2"/>
      <c r="P2"/>
      <c r="Q2"/>
      <c r="R2">
        <v>58</v>
      </c>
      <c r="S2" t="s">
        <v>86</v>
      </c>
      <c r="T2" t="s">
        <v>343</v>
      </c>
      <c r="U2" t="s">
        <v>174</v>
      </c>
      <c r="V2" t="s">
        <v>174</v>
      </c>
      <c r="W2" t="s">
        <v>86</v>
      </c>
      <c r="X2" t="s">
        <v>174</v>
      </c>
      <c r="Y2" t="s">
        <v>174</v>
      </c>
      <c r="Z2" t="s">
        <v>374</v>
      </c>
      <c r="AA2" t="s">
        <v>98</v>
      </c>
      <c r="AB2" t="s">
        <v>98</v>
      </c>
      <c r="AC2" t="s">
        <v>98</v>
      </c>
      <c r="AD2" t="s">
        <v>322</v>
      </c>
      <c r="AE2"/>
      <c r="AF2"/>
      <c r="AG2"/>
      <c r="AH2"/>
      <c r="AI2"/>
      <c r="AJ2" t="s">
        <v>485</v>
      </c>
      <c r="AK2"/>
      <c r="AL2"/>
      <c r="AM2" t="s">
        <v>98</v>
      </c>
      <c r="AN2" t="s">
        <v>486</v>
      </c>
      <c r="AO2" t="s">
        <v>486</v>
      </c>
      <c r="AP2">
        <f>LEN(SUBSTITUTE(AO2, ", "," "))</f>
        <v>21</v>
      </c>
      <c r="AQ2" t="s">
        <v>487</v>
      </c>
      <c r="AR2" t="s">
        <v>488</v>
      </c>
      <c r="AS2" t="s">
        <v>489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t="s">
        <v>490</v>
      </c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s="1" t="s">
        <v>892</v>
      </c>
    </row>
    <row r="3" spans="1:83" ht="12" customHeight="1" x14ac:dyDescent="0.25">
      <c r="A3" s="11" t="s">
        <v>270</v>
      </c>
      <c r="B3" s="11" t="s">
        <v>171</v>
      </c>
      <c r="C3" t="s">
        <v>259</v>
      </c>
      <c r="D3" t="s">
        <v>888</v>
      </c>
      <c r="E3" t="s">
        <v>259</v>
      </c>
      <c r="F3" t="s">
        <v>891</v>
      </c>
      <c r="G3" t="s">
        <v>259</v>
      </c>
      <c r="H3" t="s">
        <v>66</v>
      </c>
      <c r="I3"/>
      <c r="J3"/>
      <c r="K3"/>
      <c r="L3"/>
      <c r="M3"/>
      <c r="N3"/>
      <c r="O3"/>
      <c r="P3"/>
      <c r="Q3"/>
      <c r="R3">
        <v>59</v>
      </c>
      <c r="S3" t="s">
        <v>129</v>
      </c>
      <c r="T3" t="s">
        <v>129</v>
      </c>
      <c r="U3" t="s">
        <v>54</v>
      </c>
      <c r="V3" t="s">
        <v>54</v>
      </c>
      <c r="W3" t="s">
        <v>375</v>
      </c>
      <c r="X3" t="s">
        <v>54</v>
      </c>
      <c r="Y3" t="s">
        <v>54</v>
      </c>
      <c r="Z3" t="s">
        <v>376</v>
      </c>
      <c r="AA3" t="s">
        <v>89</v>
      </c>
      <c r="AB3" t="s">
        <v>89</v>
      </c>
      <c r="AC3" t="s">
        <v>89</v>
      </c>
      <c r="AD3" t="s">
        <v>251</v>
      </c>
      <c r="AE3"/>
      <c r="AF3"/>
      <c r="AG3"/>
      <c r="AH3"/>
      <c r="AI3"/>
      <c r="AJ3" t="s">
        <v>491</v>
      </c>
      <c r="AK3"/>
      <c r="AL3"/>
      <c r="AM3" t="s">
        <v>89</v>
      </c>
      <c r="AN3" t="s">
        <v>492</v>
      </c>
      <c r="AO3" t="s">
        <v>492</v>
      </c>
      <c r="AP3">
        <f t="shared" ref="AP3:AP66" si="0">LEN(SUBSTITUTE(AO3, ", "," "))</f>
        <v>17</v>
      </c>
      <c r="AQ3" t="s">
        <v>493</v>
      </c>
      <c r="AR3" t="s">
        <v>488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t="s">
        <v>490</v>
      </c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s="1" t="s">
        <v>892</v>
      </c>
    </row>
    <row r="4" spans="1:83" ht="12" customHeight="1" x14ac:dyDescent="0.25">
      <c r="A4" s="11" t="s">
        <v>270</v>
      </c>
      <c r="B4" s="11" t="s">
        <v>171</v>
      </c>
      <c r="C4" t="s">
        <v>259</v>
      </c>
      <c r="D4" t="s">
        <v>888</v>
      </c>
      <c r="E4" t="s">
        <v>259</v>
      </c>
      <c r="F4" t="s">
        <v>891</v>
      </c>
      <c r="G4" t="s">
        <v>259</v>
      </c>
      <c r="H4" t="s">
        <v>66</v>
      </c>
      <c r="I4"/>
      <c r="J4"/>
      <c r="K4"/>
      <c r="L4"/>
      <c r="M4"/>
      <c r="N4"/>
      <c r="O4"/>
      <c r="P4"/>
      <c r="Q4"/>
      <c r="R4">
        <v>60</v>
      </c>
      <c r="S4" t="s">
        <v>99</v>
      </c>
      <c r="T4" t="s">
        <v>99</v>
      </c>
      <c r="U4" t="s">
        <v>297</v>
      </c>
      <c r="V4" t="s">
        <v>297</v>
      </c>
      <c r="W4" t="s">
        <v>99</v>
      </c>
      <c r="X4" t="s">
        <v>297</v>
      </c>
      <c r="Y4" t="s">
        <v>297</v>
      </c>
      <c r="Z4" t="s">
        <v>377</v>
      </c>
      <c r="AA4" t="s">
        <v>210</v>
      </c>
      <c r="AB4" t="s">
        <v>210</v>
      </c>
      <c r="AC4" t="s">
        <v>210</v>
      </c>
      <c r="AD4" t="s">
        <v>28</v>
      </c>
      <c r="AE4"/>
      <c r="AF4"/>
      <c r="AG4"/>
      <c r="AH4"/>
      <c r="AI4"/>
      <c r="AJ4" t="s">
        <v>494</v>
      </c>
      <c r="AK4"/>
      <c r="AL4"/>
      <c r="AM4" t="s">
        <v>210</v>
      </c>
      <c r="AN4" t="s">
        <v>495</v>
      </c>
      <c r="AO4" t="s">
        <v>495</v>
      </c>
      <c r="AP4">
        <f t="shared" si="0"/>
        <v>26</v>
      </c>
      <c r="AQ4" t="s">
        <v>496</v>
      </c>
      <c r="AR4" t="s">
        <v>497</v>
      </c>
      <c r="AS4"/>
      <c r="AT4"/>
      <c r="AU4"/>
      <c r="AV4"/>
      <c r="AW4"/>
      <c r="AX4"/>
      <c r="AY4"/>
      <c r="AZ4"/>
      <c r="BA4" t="s">
        <v>498</v>
      </c>
      <c r="BB4"/>
      <c r="BC4"/>
      <c r="BD4"/>
      <c r="BE4"/>
      <c r="BF4"/>
      <c r="BG4"/>
      <c r="BH4"/>
      <c r="BI4"/>
      <c r="BJ4" t="s">
        <v>490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s="1" t="s">
        <v>892</v>
      </c>
    </row>
    <row r="5" spans="1:83" ht="12" customHeight="1" x14ac:dyDescent="0.25">
      <c r="A5" s="11" t="s">
        <v>270</v>
      </c>
      <c r="B5" s="11" t="s">
        <v>171</v>
      </c>
      <c r="C5" t="s">
        <v>259</v>
      </c>
      <c r="D5" t="s">
        <v>889</v>
      </c>
      <c r="E5" t="s">
        <v>259</v>
      </c>
      <c r="F5" t="s">
        <v>891</v>
      </c>
      <c r="G5" t="s">
        <v>259</v>
      </c>
      <c r="H5" t="s">
        <v>66</v>
      </c>
      <c r="I5"/>
      <c r="J5"/>
      <c r="K5"/>
      <c r="L5"/>
      <c r="M5"/>
      <c r="N5"/>
      <c r="O5"/>
      <c r="P5"/>
      <c r="Q5"/>
      <c r="R5">
        <v>61</v>
      </c>
      <c r="S5" t="s">
        <v>230</v>
      </c>
      <c r="T5" t="s">
        <v>344</v>
      </c>
      <c r="U5" t="s">
        <v>38</v>
      </c>
      <c r="V5" t="s">
        <v>38</v>
      </c>
      <c r="W5" t="s">
        <v>344</v>
      </c>
      <c r="X5" t="s">
        <v>38</v>
      </c>
      <c r="Y5">
        <v>205107</v>
      </c>
      <c r="Z5" t="s">
        <v>378</v>
      </c>
      <c r="AA5" t="s">
        <v>167</v>
      </c>
      <c r="AB5" t="s">
        <v>167</v>
      </c>
      <c r="AC5" t="s">
        <v>167</v>
      </c>
      <c r="AD5" t="s">
        <v>118</v>
      </c>
      <c r="AE5"/>
      <c r="AF5"/>
      <c r="AG5"/>
      <c r="AH5"/>
      <c r="AI5"/>
      <c r="AJ5" t="s">
        <v>499</v>
      </c>
      <c r="AK5"/>
      <c r="AL5"/>
      <c r="AM5" s="14" t="s">
        <v>500</v>
      </c>
      <c r="AN5" t="s">
        <v>501</v>
      </c>
      <c r="AO5" t="s">
        <v>501</v>
      </c>
      <c r="AP5">
        <f t="shared" si="0"/>
        <v>43</v>
      </c>
      <c r="AQ5" t="s">
        <v>502</v>
      </c>
      <c r="AR5" s="14" t="s">
        <v>503</v>
      </c>
      <c r="AS5"/>
      <c r="AT5"/>
      <c r="AU5"/>
      <c r="AV5"/>
      <c r="AW5"/>
      <c r="AX5"/>
      <c r="AY5"/>
      <c r="AZ5"/>
      <c r="BA5" s="14" t="s">
        <v>504</v>
      </c>
      <c r="BB5"/>
      <c r="BC5"/>
      <c r="BD5"/>
      <c r="BE5"/>
      <c r="BF5"/>
      <c r="BG5"/>
      <c r="BH5"/>
      <c r="BI5"/>
      <c r="BJ5" s="12" t="s">
        <v>505</v>
      </c>
      <c r="BK5" t="s">
        <v>506</v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s="1" t="s">
        <v>892</v>
      </c>
    </row>
    <row r="6" spans="1:83" ht="12" customHeight="1" x14ac:dyDescent="0.25">
      <c r="A6" s="11" t="s">
        <v>270</v>
      </c>
      <c r="B6" s="11" t="s">
        <v>171</v>
      </c>
      <c r="C6" t="s">
        <v>259</v>
      </c>
      <c r="D6" t="s">
        <v>889</v>
      </c>
      <c r="E6" t="s">
        <v>259</v>
      </c>
      <c r="F6" t="s">
        <v>891</v>
      </c>
      <c r="G6" t="s">
        <v>259</v>
      </c>
      <c r="H6" t="s">
        <v>66</v>
      </c>
      <c r="I6"/>
      <c r="J6"/>
      <c r="K6"/>
      <c r="L6"/>
      <c r="M6"/>
      <c r="N6"/>
      <c r="O6"/>
      <c r="P6"/>
      <c r="Q6"/>
      <c r="R6">
        <v>62</v>
      </c>
      <c r="S6" t="s">
        <v>135</v>
      </c>
      <c r="T6" t="s">
        <v>345</v>
      </c>
      <c r="U6" t="s">
        <v>1</v>
      </c>
      <c r="V6" t="s">
        <v>1</v>
      </c>
      <c r="W6" t="s">
        <v>135</v>
      </c>
      <c r="X6" t="s">
        <v>1</v>
      </c>
      <c r="Y6">
        <v>810250</v>
      </c>
      <c r="Z6" t="s">
        <v>379</v>
      </c>
      <c r="AA6" t="s">
        <v>219</v>
      </c>
      <c r="AB6" t="s">
        <v>219</v>
      </c>
      <c r="AC6" t="s">
        <v>219</v>
      </c>
      <c r="AD6" t="s">
        <v>309</v>
      </c>
      <c r="AE6"/>
      <c r="AF6"/>
      <c r="AG6"/>
      <c r="AH6"/>
      <c r="AI6"/>
      <c r="AJ6" t="s">
        <v>507</v>
      </c>
      <c r="AK6"/>
      <c r="AL6"/>
      <c r="AM6" s="14" t="s">
        <v>508</v>
      </c>
      <c r="AN6" t="s">
        <v>509</v>
      </c>
      <c r="AO6" t="s">
        <v>509</v>
      </c>
      <c r="AP6">
        <f t="shared" si="0"/>
        <v>54</v>
      </c>
      <c r="AQ6" t="s">
        <v>510</v>
      </c>
      <c r="AR6" t="s">
        <v>511</v>
      </c>
      <c r="AS6"/>
      <c r="AT6" t="s">
        <v>512</v>
      </c>
      <c r="AU6"/>
      <c r="AV6"/>
      <c r="AW6"/>
      <c r="AX6"/>
      <c r="AY6"/>
      <c r="AZ6"/>
      <c r="BA6"/>
      <c r="BB6"/>
      <c r="BC6"/>
      <c r="BD6" t="s">
        <v>513</v>
      </c>
      <c r="BE6" t="s">
        <v>514</v>
      </c>
      <c r="BF6"/>
      <c r="BG6" s="14" t="s">
        <v>515</v>
      </c>
      <c r="BH6" s="14" t="s">
        <v>516</v>
      </c>
      <c r="BI6"/>
      <c r="BJ6" t="s">
        <v>517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s="1" t="s">
        <v>892</v>
      </c>
    </row>
    <row r="7" spans="1:83" ht="12" customHeight="1" x14ac:dyDescent="0.25">
      <c r="A7" s="11" t="s">
        <v>270</v>
      </c>
      <c r="B7" s="11" t="s">
        <v>171</v>
      </c>
      <c r="C7" t="s">
        <v>259</v>
      </c>
      <c r="D7" t="s">
        <v>889</v>
      </c>
      <c r="E7" t="s">
        <v>259</v>
      </c>
      <c r="F7" t="s">
        <v>891</v>
      </c>
      <c r="G7" t="s">
        <v>259</v>
      </c>
      <c r="H7" t="s">
        <v>66</v>
      </c>
      <c r="I7"/>
      <c r="J7"/>
      <c r="K7"/>
      <c r="L7"/>
      <c r="M7"/>
      <c r="N7"/>
      <c r="O7"/>
      <c r="P7"/>
      <c r="Q7"/>
      <c r="R7">
        <v>63</v>
      </c>
      <c r="S7" t="s">
        <v>178</v>
      </c>
      <c r="T7" t="s">
        <v>346</v>
      </c>
      <c r="U7" t="s">
        <v>113</v>
      </c>
      <c r="V7" t="s">
        <v>113</v>
      </c>
      <c r="W7" t="s">
        <v>380</v>
      </c>
      <c r="X7" t="s">
        <v>113</v>
      </c>
      <c r="Y7" t="s">
        <v>381</v>
      </c>
      <c r="Z7" t="s">
        <v>382</v>
      </c>
      <c r="AA7" t="s">
        <v>196</v>
      </c>
      <c r="AB7" t="s">
        <v>196</v>
      </c>
      <c r="AC7" t="s">
        <v>196</v>
      </c>
      <c r="AD7" t="s">
        <v>82</v>
      </c>
      <c r="AE7"/>
      <c r="AF7"/>
      <c r="AG7"/>
      <c r="AH7"/>
      <c r="AI7"/>
      <c r="AJ7" t="s">
        <v>518</v>
      </c>
      <c r="AK7"/>
      <c r="AL7"/>
      <c r="AM7" t="s">
        <v>519</v>
      </c>
      <c r="AN7" t="s">
        <v>520</v>
      </c>
      <c r="AO7" t="s">
        <v>520</v>
      </c>
      <c r="AP7">
        <f t="shared" si="0"/>
        <v>47</v>
      </c>
      <c r="AQ7" t="s">
        <v>521</v>
      </c>
      <c r="AR7" t="s">
        <v>522</v>
      </c>
      <c r="AS7"/>
      <c r="AT7"/>
      <c r="AU7"/>
      <c r="AV7"/>
      <c r="AW7"/>
      <c r="AX7"/>
      <c r="AY7"/>
      <c r="AZ7"/>
      <c r="BA7" s="14" t="s">
        <v>523</v>
      </c>
      <c r="BB7" s="14" t="s">
        <v>524</v>
      </c>
      <c r="BC7"/>
      <c r="BD7"/>
      <c r="BE7"/>
      <c r="BF7"/>
      <c r="BG7"/>
      <c r="BH7" t="s">
        <v>516</v>
      </c>
      <c r="BI7"/>
      <c r="BJ7" t="s">
        <v>525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s="1" t="s">
        <v>892</v>
      </c>
    </row>
    <row r="8" spans="1:83" ht="12" customHeight="1" x14ac:dyDescent="0.25">
      <c r="A8" s="11" t="s">
        <v>270</v>
      </c>
      <c r="B8" s="11" t="s">
        <v>171</v>
      </c>
      <c r="C8" t="s">
        <v>259</v>
      </c>
      <c r="D8" t="s">
        <v>888</v>
      </c>
      <c r="E8" t="s">
        <v>259</v>
      </c>
      <c r="F8" t="s">
        <v>891</v>
      </c>
      <c r="G8" t="s">
        <v>259</v>
      </c>
      <c r="H8" t="s">
        <v>66</v>
      </c>
      <c r="I8"/>
      <c r="J8"/>
      <c r="K8"/>
      <c r="L8"/>
      <c r="M8"/>
      <c r="N8"/>
      <c r="O8"/>
      <c r="P8"/>
      <c r="Q8"/>
      <c r="R8">
        <v>64</v>
      </c>
      <c r="S8" t="s">
        <v>160</v>
      </c>
      <c r="T8" t="s">
        <v>347</v>
      </c>
      <c r="U8" t="s">
        <v>295</v>
      </c>
      <c r="V8" t="s">
        <v>295</v>
      </c>
      <c r="W8" t="s">
        <v>383</v>
      </c>
      <c r="X8" t="s">
        <v>295</v>
      </c>
      <c r="Y8" t="s">
        <v>295</v>
      </c>
      <c r="Z8" t="s">
        <v>384</v>
      </c>
      <c r="AA8" t="s">
        <v>119</v>
      </c>
      <c r="AB8" t="s">
        <v>119</v>
      </c>
      <c r="AC8" t="s">
        <v>119</v>
      </c>
      <c r="AD8" t="s">
        <v>133</v>
      </c>
      <c r="AE8"/>
      <c r="AF8"/>
      <c r="AG8"/>
      <c r="AH8"/>
      <c r="AI8" t="s">
        <v>307</v>
      </c>
      <c r="AJ8" t="s">
        <v>526</v>
      </c>
      <c r="AK8"/>
      <c r="AL8"/>
      <c r="AM8" t="s">
        <v>119</v>
      </c>
      <c r="AN8" t="s">
        <v>527</v>
      </c>
      <c r="AO8" t="s">
        <v>527</v>
      </c>
      <c r="AP8">
        <f t="shared" si="0"/>
        <v>18</v>
      </c>
      <c r="AQ8" t="s">
        <v>528</v>
      </c>
      <c r="AR8" t="s">
        <v>529</v>
      </c>
      <c r="AS8"/>
      <c r="AT8"/>
      <c r="AU8"/>
      <c r="AV8"/>
      <c r="AW8"/>
      <c r="AX8"/>
      <c r="AY8"/>
      <c r="AZ8"/>
      <c r="BA8"/>
      <c r="BB8"/>
      <c r="BC8"/>
      <c r="BD8"/>
      <c r="BE8"/>
      <c r="BF8" t="s">
        <v>307</v>
      </c>
      <c r="BG8"/>
      <c r="BH8"/>
      <c r="BI8"/>
      <c r="BJ8" t="s">
        <v>490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s="1" t="s">
        <v>892</v>
      </c>
    </row>
    <row r="9" spans="1:83" ht="12" customHeight="1" x14ac:dyDescent="0.25">
      <c r="A9" s="11" t="s">
        <v>270</v>
      </c>
      <c r="B9" s="11" t="s">
        <v>171</v>
      </c>
      <c r="C9" t="s">
        <v>259</v>
      </c>
      <c r="D9" t="s">
        <v>890</v>
      </c>
      <c r="E9" t="s">
        <v>259</v>
      </c>
      <c r="F9" t="s">
        <v>891</v>
      </c>
      <c r="G9" t="s">
        <v>259</v>
      </c>
      <c r="H9" t="s">
        <v>66</v>
      </c>
      <c r="I9"/>
      <c r="J9"/>
      <c r="K9"/>
      <c r="L9"/>
      <c r="M9"/>
      <c r="N9"/>
      <c r="O9"/>
      <c r="P9"/>
      <c r="Q9"/>
      <c r="R9">
        <v>65</v>
      </c>
      <c r="S9" t="s">
        <v>160</v>
      </c>
      <c r="T9" t="s">
        <v>347</v>
      </c>
      <c r="U9" t="s">
        <v>275</v>
      </c>
      <c r="V9" t="s">
        <v>275</v>
      </c>
      <c r="W9" t="s">
        <v>383</v>
      </c>
      <c r="X9" t="s">
        <v>275</v>
      </c>
      <c r="Y9" t="s">
        <v>275</v>
      </c>
      <c r="Z9" t="s">
        <v>385</v>
      </c>
      <c r="AA9" t="s">
        <v>318</v>
      </c>
      <c r="AB9" t="s">
        <v>318</v>
      </c>
      <c r="AC9" t="s">
        <v>318</v>
      </c>
      <c r="AD9" t="s">
        <v>199</v>
      </c>
      <c r="AE9"/>
      <c r="AF9"/>
      <c r="AG9"/>
      <c r="AH9" t="s">
        <v>132</v>
      </c>
      <c r="AI9" t="s">
        <v>9</v>
      </c>
      <c r="AJ9" t="s">
        <v>530</v>
      </c>
      <c r="AK9" t="s">
        <v>531</v>
      </c>
      <c r="AL9" t="s">
        <v>532</v>
      </c>
      <c r="AM9" s="14" t="s">
        <v>533</v>
      </c>
      <c r="AN9" t="s">
        <v>534</v>
      </c>
      <c r="AO9" t="s">
        <v>534</v>
      </c>
      <c r="AP9">
        <f t="shared" si="0"/>
        <v>58</v>
      </c>
      <c r="AQ9" t="s">
        <v>535</v>
      </c>
      <c r="AR9" t="s">
        <v>536</v>
      </c>
      <c r="AS9"/>
      <c r="AT9"/>
      <c r="AU9"/>
      <c r="AV9" t="s">
        <v>537</v>
      </c>
      <c r="AW9"/>
      <c r="AX9"/>
      <c r="AY9"/>
      <c r="AZ9"/>
      <c r="BA9"/>
      <c r="BB9"/>
      <c r="BC9"/>
      <c r="BD9"/>
      <c r="BE9" t="s">
        <v>514</v>
      </c>
      <c r="BF9"/>
      <c r="BG9" s="14" t="s">
        <v>515</v>
      </c>
      <c r="BH9"/>
      <c r="BI9"/>
      <c r="BJ9" t="s">
        <v>538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s="1" t="s">
        <v>892</v>
      </c>
    </row>
    <row r="10" spans="1:83" ht="12" customHeight="1" x14ac:dyDescent="0.25">
      <c r="A10" s="11" t="s">
        <v>270</v>
      </c>
      <c r="B10" s="11" t="s">
        <v>171</v>
      </c>
      <c r="C10" t="s">
        <v>259</v>
      </c>
      <c r="D10" t="s">
        <v>889</v>
      </c>
      <c r="E10" t="s">
        <v>259</v>
      </c>
      <c r="F10" t="s">
        <v>891</v>
      </c>
      <c r="G10" t="s">
        <v>259</v>
      </c>
      <c r="H10" t="s">
        <v>66</v>
      </c>
      <c r="I10"/>
      <c r="J10"/>
      <c r="K10"/>
      <c r="L10"/>
      <c r="M10"/>
      <c r="N10"/>
      <c r="O10"/>
      <c r="P10"/>
      <c r="Q10"/>
      <c r="R10">
        <v>66</v>
      </c>
      <c r="S10" t="s">
        <v>160</v>
      </c>
      <c r="T10" t="s">
        <v>347</v>
      </c>
      <c r="U10" t="s">
        <v>340</v>
      </c>
      <c r="V10" t="s">
        <v>340</v>
      </c>
      <c r="W10" t="s">
        <v>383</v>
      </c>
      <c r="X10" t="s">
        <v>340</v>
      </c>
      <c r="Y10" t="s">
        <v>340</v>
      </c>
      <c r="Z10" t="s">
        <v>386</v>
      </c>
      <c r="AA10" t="s">
        <v>332</v>
      </c>
      <c r="AB10" t="s">
        <v>332</v>
      </c>
      <c r="AC10" t="s">
        <v>332</v>
      </c>
      <c r="AD10" t="s">
        <v>203</v>
      </c>
      <c r="AE10"/>
      <c r="AF10"/>
      <c r="AG10"/>
      <c r="AH10" t="s">
        <v>341</v>
      </c>
      <c r="AI10" t="s">
        <v>9</v>
      </c>
      <c r="AJ10" t="s">
        <v>539</v>
      </c>
      <c r="AK10"/>
      <c r="AL10"/>
      <c r="AM10" s="14" t="s">
        <v>540</v>
      </c>
      <c r="AN10" t="s">
        <v>541</v>
      </c>
      <c r="AO10" t="s">
        <v>541</v>
      </c>
      <c r="AP10">
        <f t="shared" si="0"/>
        <v>36</v>
      </c>
      <c r="AQ10" s="14" t="s">
        <v>540</v>
      </c>
      <c r="AR10"/>
      <c r="AS10" t="s">
        <v>542</v>
      </c>
      <c r="AT10"/>
      <c r="AU10"/>
      <c r="AV10"/>
      <c r="AW10"/>
      <c r="AX10"/>
      <c r="AY10"/>
      <c r="AZ10"/>
      <c r="BA10"/>
      <c r="BB10"/>
      <c r="BC10"/>
      <c r="BD10"/>
      <c r="BE10" t="s">
        <v>514</v>
      </c>
      <c r="BF10"/>
      <c r="BG10" s="14" t="s">
        <v>515</v>
      </c>
      <c r="BH10"/>
      <c r="BI10"/>
      <c r="BJ10" t="s">
        <v>543</v>
      </c>
      <c r="BK10" t="s">
        <v>544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s="1" t="s">
        <v>892</v>
      </c>
    </row>
    <row r="11" spans="1:83" ht="12" customHeight="1" x14ac:dyDescent="0.25">
      <c r="A11" s="11" t="s">
        <v>270</v>
      </c>
      <c r="B11" s="11" t="s">
        <v>171</v>
      </c>
      <c r="C11" t="s">
        <v>259</v>
      </c>
      <c r="D11" t="s">
        <v>888</v>
      </c>
      <c r="E11" t="s">
        <v>259</v>
      </c>
      <c r="F11" t="s">
        <v>891</v>
      </c>
      <c r="G11" t="s">
        <v>259</v>
      </c>
      <c r="H11" t="s">
        <v>66</v>
      </c>
      <c r="I11"/>
      <c r="J11"/>
      <c r="K11"/>
      <c r="L11"/>
      <c r="M11"/>
      <c r="N11"/>
      <c r="O11"/>
      <c r="P11"/>
      <c r="Q11"/>
      <c r="R11">
        <v>67</v>
      </c>
      <c r="S11" t="s">
        <v>160</v>
      </c>
      <c r="T11" t="s">
        <v>347</v>
      </c>
      <c r="U11" t="s">
        <v>232</v>
      </c>
      <c r="V11" t="s">
        <v>232</v>
      </c>
      <c r="W11" t="s">
        <v>383</v>
      </c>
      <c r="X11" t="s">
        <v>232</v>
      </c>
      <c r="Y11" t="s">
        <v>387</v>
      </c>
      <c r="Z11" t="s">
        <v>388</v>
      </c>
      <c r="AA11" t="s">
        <v>15</v>
      </c>
      <c r="AB11" t="s">
        <v>15</v>
      </c>
      <c r="AC11" t="s">
        <v>15</v>
      </c>
      <c r="AD11" t="s">
        <v>320</v>
      </c>
      <c r="AE11"/>
      <c r="AF11"/>
      <c r="AG11"/>
      <c r="AH11"/>
      <c r="AI11"/>
      <c r="AJ11" t="s">
        <v>545</v>
      </c>
      <c r="AK11"/>
      <c r="AL11"/>
      <c r="AM11" t="s">
        <v>15</v>
      </c>
      <c r="AN11" t="s">
        <v>15</v>
      </c>
      <c r="AO11" t="s">
        <v>15</v>
      </c>
      <c r="AP11">
        <f t="shared" si="0"/>
        <v>14</v>
      </c>
      <c r="AQ11" t="s">
        <v>15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t="s">
        <v>490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s="1" t="s">
        <v>892</v>
      </c>
    </row>
    <row r="12" spans="1:83" ht="12" customHeight="1" x14ac:dyDescent="0.25">
      <c r="A12" s="11" t="s">
        <v>270</v>
      </c>
      <c r="B12" s="11" t="s">
        <v>171</v>
      </c>
      <c r="C12" t="s">
        <v>259</v>
      </c>
      <c r="D12" t="s">
        <v>888</v>
      </c>
      <c r="E12" t="s">
        <v>259</v>
      </c>
      <c r="F12" t="s">
        <v>891</v>
      </c>
      <c r="G12" t="s">
        <v>259</v>
      </c>
      <c r="H12" t="s">
        <v>66</v>
      </c>
      <c r="I12"/>
      <c r="J12"/>
      <c r="K12"/>
      <c r="L12"/>
      <c r="M12"/>
      <c r="N12"/>
      <c r="O12"/>
      <c r="P12"/>
      <c r="Q12"/>
      <c r="R12">
        <v>68</v>
      </c>
      <c r="S12" t="s">
        <v>130</v>
      </c>
      <c r="T12" t="s">
        <v>130</v>
      </c>
      <c r="U12" t="s">
        <v>268</v>
      </c>
      <c r="V12" t="s">
        <v>268</v>
      </c>
      <c r="W12" t="s">
        <v>389</v>
      </c>
      <c r="X12" t="s">
        <v>268</v>
      </c>
      <c r="Y12">
        <v>31253</v>
      </c>
      <c r="Z12" t="s">
        <v>390</v>
      </c>
      <c r="AA12" t="s">
        <v>226</v>
      </c>
      <c r="AB12" t="s">
        <v>226</v>
      </c>
      <c r="AC12" t="s">
        <v>226</v>
      </c>
      <c r="AD12" t="s">
        <v>124</v>
      </c>
      <c r="AE12"/>
      <c r="AF12"/>
      <c r="AG12"/>
      <c r="AH12"/>
      <c r="AI12"/>
      <c r="AJ12" t="s">
        <v>546</v>
      </c>
      <c r="AK12"/>
      <c r="AL12"/>
      <c r="AM12" t="s">
        <v>226</v>
      </c>
      <c r="AN12" t="s">
        <v>547</v>
      </c>
      <c r="AO12" t="s">
        <v>547</v>
      </c>
      <c r="AP12">
        <f t="shared" si="0"/>
        <v>30</v>
      </c>
      <c r="AQ12" t="s">
        <v>548</v>
      </c>
      <c r="AR12" t="s">
        <v>549</v>
      </c>
      <c r="AS12" t="s">
        <v>550</v>
      </c>
      <c r="AT12"/>
      <c r="AU12"/>
      <c r="AV12"/>
      <c r="AW12"/>
      <c r="AX12"/>
      <c r="AY12"/>
      <c r="AZ12"/>
      <c r="BA12" t="s">
        <v>551</v>
      </c>
      <c r="BB12"/>
      <c r="BC12"/>
      <c r="BD12"/>
      <c r="BE12"/>
      <c r="BF12"/>
      <c r="BG12"/>
      <c r="BH12"/>
      <c r="BI12"/>
      <c r="BJ12" t="s">
        <v>490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s="1" t="s">
        <v>892</v>
      </c>
    </row>
    <row r="13" spans="1:83" ht="12" customHeight="1" x14ac:dyDescent="0.25">
      <c r="A13" s="11" t="s">
        <v>270</v>
      </c>
      <c r="B13" s="11" t="s">
        <v>171</v>
      </c>
      <c r="C13" t="s">
        <v>259</v>
      </c>
      <c r="D13" t="s">
        <v>888</v>
      </c>
      <c r="E13" t="s">
        <v>259</v>
      </c>
      <c r="F13" t="s">
        <v>891</v>
      </c>
      <c r="G13" t="s">
        <v>259</v>
      </c>
      <c r="H13" t="s">
        <v>66</v>
      </c>
      <c r="I13"/>
      <c r="J13"/>
      <c r="K13"/>
      <c r="L13"/>
      <c r="M13"/>
      <c r="N13"/>
      <c r="O13"/>
      <c r="P13"/>
      <c r="Q13"/>
      <c r="R13">
        <v>69</v>
      </c>
      <c r="S13" t="s">
        <v>220</v>
      </c>
      <c r="T13" t="s">
        <v>220</v>
      </c>
      <c r="U13" t="s">
        <v>56</v>
      </c>
      <c r="V13" t="s">
        <v>56</v>
      </c>
      <c r="W13" t="s">
        <v>391</v>
      </c>
      <c r="X13" t="s">
        <v>56</v>
      </c>
      <c r="Y13">
        <v>75801780</v>
      </c>
      <c r="Z13" t="s">
        <v>392</v>
      </c>
      <c r="AA13" t="s">
        <v>144</v>
      </c>
      <c r="AB13" t="s">
        <v>144</v>
      </c>
      <c r="AC13" t="s">
        <v>144</v>
      </c>
      <c r="AD13" t="s">
        <v>240</v>
      </c>
      <c r="AE13"/>
      <c r="AF13"/>
      <c r="AG13"/>
      <c r="AH13"/>
      <c r="AI13"/>
      <c r="AJ13" t="s">
        <v>552</v>
      </c>
      <c r="AK13"/>
      <c r="AL13"/>
      <c r="AM13" t="s">
        <v>144</v>
      </c>
      <c r="AN13" t="s">
        <v>553</v>
      </c>
      <c r="AO13" t="s">
        <v>553</v>
      </c>
      <c r="AP13">
        <f t="shared" si="0"/>
        <v>31</v>
      </c>
      <c r="AQ13" t="s">
        <v>554</v>
      </c>
      <c r="AR13" t="s">
        <v>555</v>
      </c>
      <c r="AS13" t="s">
        <v>556</v>
      </c>
      <c r="AT13"/>
      <c r="AU13"/>
      <c r="AV13"/>
      <c r="AW13"/>
      <c r="AX13"/>
      <c r="AY13"/>
      <c r="AZ13"/>
      <c r="BA13"/>
      <c r="BB13" t="s">
        <v>557</v>
      </c>
      <c r="BC13"/>
      <c r="BD13" t="s">
        <v>558</v>
      </c>
      <c r="BE13"/>
      <c r="BF13"/>
      <c r="BG13"/>
      <c r="BH13"/>
      <c r="BI13"/>
      <c r="BJ13" t="s">
        <v>490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s="1" t="s">
        <v>892</v>
      </c>
    </row>
    <row r="14" spans="1:83" ht="12" customHeight="1" x14ac:dyDescent="0.25">
      <c r="A14" s="11" t="s">
        <v>270</v>
      </c>
      <c r="B14" s="11" t="s">
        <v>171</v>
      </c>
      <c r="C14" t="s">
        <v>259</v>
      </c>
      <c r="D14" t="s">
        <v>889</v>
      </c>
      <c r="E14" t="s">
        <v>259</v>
      </c>
      <c r="F14" t="s">
        <v>891</v>
      </c>
      <c r="G14" t="s">
        <v>259</v>
      </c>
      <c r="H14" t="s">
        <v>66</v>
      </c>
      <c r="I14"/>
      <c r="J14"/>
      <c r="K14"/>
      <c r="L14"/>
      <c r="M14"/>
      <c r="N14"/>
      <c r="O14"/>
      <c r="P14"/>
      <c r="Q14"/>
      <c r="R14">
        <v>70</v>
      </c>
      <c r="S14" t="s">
        <v>220</v>
      </c>
      <c r="T14" t="s">
        <v>220</v>
      </c>
      <c r="U14" t="s">
        <v>327</v>
      </c>
      <c r="V14" t="s">
        <v>327</v>
      </c>
      <c r="W14" t="s">
        <v>391</v>
      </c>
      <c r="X14" t="s">
        <v>327</v>
      </c>
      <c r="Y14" t="s">
        <v>393</v>
      </c>
      <c r="Z14" t="s">
        <v>394</v>
      </c>
      <c r="AA14" t="s">
        <v>32</v>
      </c>
      <c r="AB14" t="s">
        <v>32</v>
      </c>
      <c r="AC14" t="s">
        <v>32</v>
      </c>
      <c r="AD14" t="s">
        <v>138</v>
      </c>
      <c r="AE14"/>
      <c r="AF14"/>
      <c r="AG14"/>
      <c r="AH14"/>
      <c r="AI14"/>
      <c r="AJ14" t="s">
        <v>559</v>
      </c>
      <c r="AK14"/>
      <c r="AL14"/>
      <c r="AM14" s="14" t="s">
        <v>560</v>
      </c>
      <c r="AN14" t="s">
        <v>561</v>
      </c>
      <c r="AO14" t="s">
        <v>561</v>
      </c>
      <c r="AP14">
        <f t="shared" si="0"/>
        <v>33</v>
      </c>
      <c r="AQ14" t="s">
        <v>562</v>
      </c>
      <c r="AR14" t="s">
        <v>563</v>
      </c>
      <c r="AS14" s="14" t="s">
        <v>564</v>
      </c>
      <c r="AT14"/>
      <c r="AU14"/>
      <c r="AV14"/>
      <c r="AW14"/>
      <c r="AX14"/>
      <c r="AY14"/>
      <c r="AZ14"/>
      <c r="BA14" s="14" t="s">
        <v>565</v>
      </c>
      <c r="BB14"/>
      <c r="BC14"/>
      <c r="BD14"/>
      <c r="BE14"/>
      <c r="BF14"/>
      <c r="BG14"/>
      <c r="BH14"/>
      <c r="BI14"/>
      <c r="BJ14" t="s">
        <v>566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s="1" t="s">
        <v>892</v>
      </c>
    </row>
    <row r="15" spans="1:83" ht="12" customHeight="1" x14ac:dyDescent="0.25">
      <c r="A15" s="11" t="s">
        <v>270</v>
      </c>
      <c r="B15" s="11" t="s">
        <v>171</v>
      </c>
      <c r="C15" t="s">
        <v>259</v>
      </c>
      <c r="D15" t="s">
        <v>888</v>
      </c>
      <c r="E15" t="s">
        <v>259</v>
      </c>
      <c r="F15" t="s">
        <v>891</v>
      </c>
      <c r="G15" t="s">
        <v>259</v>
      </c>
      <c r="H15" t="s">
        <v>66</v>
      </c>
      <c r="I15"/>
      <c r="J15"/>
      <c r="K15"/>
      <c r="L15"/>
      <c r="M15"/>
      <c r="N15"/>
      <c r="O15"/>
      <c r="P15"/>
      <c r="Q15"/>
      <c r="R15">
        <v>71</v>
      </c>
      <c r="S15" t="s">
        <v>220</v>
      </c>
      <c r="T15" t="s">
        <v>220</v>
      </c>
      <c r="U15" t="s">
        <v>27</v>
      </c>
      <c r="V15" t="s">
        <v>27</v>
      </c>
      <c r="W15" t="s">
        <v>391</v>
      </c>
      <c r="X15" t="s">
        <v>27</v>
      </c>
      <c r="Y15" s="13" t="s">
        <v>395</v>
      </c>
      <c r="Z15" t="s">
        <v>396</v>
      </c>
      <c r="AA15" t="s">
        <v>198</v>
      </c>
      <c r="AB15" t="s">
        <v>198</v>
      </c>
      <c r="AC15" t="s">
        <v>198</v>
      </c>
      <c r="AD15" t="s">
        <v>44</v>
      </c>
      <c r="AE15"/>
      <c r="AF15"/>
      <c r="AG15"/>
      <c r="AH15"/>
      <c r="AI15"/>
      <c r="AJ15" t="s">
        <v>567</v>
      </c>
      <c r="AK15"/>
      <c r="AL15"/>
      <c r="AM15" t="s">
        <v>198</v>
      </c>
      <c r="AN15" t="s">
        <v>568</v>
      </c>
      <c r="AO15" t="s">
        <v>568</v>
      </c>
      <c r="AP15">
        <f t="shared" si="0"/>
        <v>16</v>
      </c>
      <c r="AQ15" t="s">
        <v>569</v>
      </c>
      <c r="AR15" t="s">
        <v>570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t="s">
        <v>490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s="1" t="s">
        <v>892</v>
      </c>
    </row>
    <row r="16" spans="1:83" ht="12" customHeight="1" x14ac:dyDescent="0.25">
      <c r="A16" s="11" t="s">
        <v>270</v>
      </c>
      <c r="B16" s="11" t="s">
        <v>171</v>
      </c>
      <c r="C16" t="s">
        <v>259</v>
      </c>
      <c r="D16" t="s">
        <v>888</v>
      </c>
      <c r="E16" t="s">
        <v>259</v>
      </c>
      <c r="F16" t="s">
        <v>891</v>
      </c>
      <c r="G16" t="s">
        <v>259</v>
      </c>
      <c r="H16" t="s">
        <v>66</v>
      </c>
      <c r="I16"/>
      <c r="J16"/>
      <c r="K16"/>
      <c r="L16"/>
      <c r="M16"/>
      <c r="N16"/>
      <c r="O16"/>
      <c r="P16"/>
      <c r="Q16"/>
      <c r="R16">
        <v>72</v>
      </c>
      <c r="S16" t="s">
        <v>220</v>
      </c>
      <c r="T16" t="s">
        <v>220</v>
      </c>
      <c r="U16" t="s">
        <v>246</v>
      </c>
      <c r="V16" t="s">
        <v>246</v>
      </c>
      <c r="W16" t="s">
        <v>391</v>
      </c>
      <c r="X16" t="s">
        <v>246</v>
      </c>
      <c r="Y16" t="s">
        <v>246</v>
      </c>
      <c r="Z16" t="s">
        <v>397</v>
      </c>
      <c r="AA16" t="s">
        <v>48</v>
      </c>
      <c r="AB16" t="s">
        <v>48</v>
      </c>
      <c r="AC16" t="s">
        <v>48</v>
      </c>
      <c r="AD16" t="s">
        <v>83</v>
      </c>
      <c r="AE16"/>
      <c r="AF16"/>
      <c r="AG16"/>
      <c r="AH16"/>
      <c r="AI16"/>
      <c r="AJ16" t="s">
        <v>571</v>
      </c>
      <c r="AK16"/>
      <c r="AL16"/>
      <c r="AM16" t="s">
        <v>48</v>
      </c>
      <c r="AN16" t="s">
        <v>572</v>
      </c>
      <c r="AO16" t="s">
        <v>572</v>
      </c>
      <c r="AP16">
        <f t="shared" si="0"/>
        <v>13</v>
      </c>
      <c r="AQ16" t="s">
        <v>573</v>
      </c>
      <c r="AR16" t="s">
        <v>574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s">
        <v>490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s="1" t="s">
        <v>892</v>
      </c>
    </row>
    <row r="17" spans="1:82" ht="12" customHeight="1" x14ac:dyDescent="0.25">
      <c r="A17" s="11" t="s">
        <v>270</v>
      </c>
      <c r="B17" s="11" t="s">
        <v>171</v>
      </c>
      <c r="C17" t="s">
        <v>259</v>
      </c>
      <c r="D17" t="s">
        <v>888</v>
      </c>
      <c r="E17" t="s">
        <v>259</v>
      </c>
      <c r="F17" t="s">
        <v>891</v>
      </c>
      <c r="G17" t="s">
        <v>259</v>
      </c>
      <c r="H17" t="s">
        <v>66</v>
      </c>
      <c r="I17"/>
      <c r="J17"/>
      <c r="K17"/>
      <c r="L17"/>
      <c r="M17"/>
      <c r="N17"/>
      <c r="O17"/>
      <c r="P17"/>
      <c r="Q17"/>
      <c r="R17">
        <v>73</v>
      </c>
      <c r="S17" t="s">
        <v>282</v>
      </c>
      <c r="T17" t="s">
        <v>348</v>
      </c>
      <c r="U17" t="s">
        <v>337</v>
      </c>
      <c r="V17" t="s">
        <v>337</v>
      </c>
      <c r="W17" t="s">
        <v>282</v>
      </c>
      <c r="X17" t="s">
        <v>337</v>
      </c>
      <c r="Y17" t="s">
        <v>398</v>
      </c>
      <c r="Z17" t="s">
        <v>399</v>
      </c>
      <c r="AA17" t="s">
        <v>179</v>
      </c>
      <c r="AB17" t="s">
        <v>179</v>
      </c>
      <c r="AC17" t="s">
        <v>179</v>
      </c>
      <c r="AD17" t="s">
        <v>108</v>
      </c>
      <c r="AE17"/>
      <c r="AF17"/>
      <c r="AG17"/>
      <c r="AH17"/>
      <c r="AI17"/>
      <c r="AJ17" t="s">
        <v>575</v>
      </c>
      <c r="AK17"/>
      <c r="AL17"/>
      <c r="AM17" t="s">
        <v>179</v>
      </c>
      <c r="AN17" t="s">
        <v>576</v>
      </c>
      <c r="AO17" t="s">
        <v>576</v>
      </c>
      <c r="AP17">
        <f t="shared" si="0"/>
        <v>21</v>
      </c>
      <c r="AQ17" t="s">
        <v>577</v>
      </c>
      <c r="AR17" t="s">
        <v>578</v>
      </c>
      <c r="AS17" t="s">
        <v>579</v>
      </c>
      <c r="AT17"/>
      <c r="AU17"/>
      <c r="AV17"/>
      <c r="AW17"/>
      <c r="AX17"/>
      <c r="AY17"/>
      <c r="AZ17"/>
      <c r="BA17"/>
      <c r="BB17"/>
      <c r="BC17"/>
      <c r="BD17" t="s">
        <v>580</v>
      </c>
      <c r="BE17"/>
      <c r="BF17"/>
      <c r="BG17"/>
      <c r="BH17"/>
      <c r="BI17"/>
      <c r="BJ17" t="s">
        <v>490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s="1" t="s">
        <v>892</v>
      </c>
    </row>
    <row r="18" spans="1:82" ht="12" customHeight="1" x14ac:dyDescent="0.25">
      <c r="A18" s="11" t="s">
        <v>270</v>
      </c>
      <c r="B18" s="11" t="s">
        <v>171</v>
      </c>
      <c r="C18" t="s">
        <v>259</v>
      </c>
      <c r="D18" t="s">
        <v>888</v>
      </c>
      <c r="E18" t="s">
        <v>259</v>
      </c>
      <c r="F18" t="s">
        <v>891</v>
      </c>
      <c r="G18" t="s">
        <v>259</v>
      </c>
      <c r="H18" t="s">
        <v>66</v>
      </c>
      <c r="I18"/>
      <c r="J18"/>
      <c r="K18"/>
      <c r="L18"/>
      <c r="M18"/>
      <c r="N18"/>
      <c r="O18"/>
      <c r="P18"/>
      <c r="Q18"/>
      <c r="R18">
        <v>74</v>
      </c>
      <c r="S18" t="s">
        <v>231</v>
      </c>
      <c r="T18" t="s">
        <v>349</v>
      </c>
      <c r="U18" t="s">
        <v>292</v>
      </c>
      <c r="V18" t="s">
        <v>292</v>
      </c>
      <c r="W18" t="s">
        <v>400</v>
      </c>
      <c r="X18" t="s">
        <v>292</v>
      </c>
      <c r="Y18" t="s">
        <v>292</v>
      </c>
      <c r="Z18" t="s">
        <v>401</v>
      </c>
      <c r="AA18" t="s">
        <v>338</v>
      </c>
      <c r="AB18" t="s">
        <v>338</v>
      </c>
      <c r="AC18" t="s">
        <v>338</v>
      </c>
      <c r="AD18" t="s">
        <v>131</v>
      </c>
      <c r="AE18"/>
      <c r="AF18"/>
      <c r="AG18"/>
      <c r="AH18"/>
      <c r="AI18"/>
      <c r="AJ18" t="s">
        <v>581</v>
      </c>
      <c r="AK18"/>
      <c r="AL18"/>
      <c r="AM18" t="s">
        <v>338</v>
      </c>
      <c r="AN18" t="s">
        <v>582</v>
      </c>
      <c r="AO18" t="s">
        <v>582</v>
      </c>
      <c r="AP18">
        <f t="shared" si="0"/>
        <v>19</v>
      </c>
      <c r="AQ18" t="s">
        <v>583</v>
      </c>
      <c r="AR18" t="s">
        <v>584</v>
      </c>
      <c r="AS18"/>
      <c r="AT18"/>
      <c r="AU18"/>
      <c r="AV18"/>
      <c r="AW18"/>
      <c r="AX18"/>
      <c r="AY18"/>
      <c r="AZ18"/>
      <c r="BA18" t="s">
        <v>585</v>
      </c>
      <c r="BB18"/>
      <c r="BC18"/>
      <c r="BD18"/>
      <c r="BE18"/>
      <c r="BF18"/>
      <c r="BG18"/>
      <c r="BH18"/>
      <c r="BI18"/>
      <c r="BJ18" t="s">
        <v>490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s="1" t="s">
        <v>892</v>
      </c>
    </row>
    <row r="19" spans="1:82" ht="12" customHeight="1" x14ac:dyDescent="0.25">
      <c r="A19" s="11" t="s">
        <v>270</v>
      </c>
      <c r="B19" s="11" t="s">
        <v>171</v>
      </c>
      <c r="C19" t="s">
        <v>259</v>
      </c>
      <c r="D19" t="s">
        <v>888</v>
      </c>
      <c r="E19" t="s">
        <v>259</v>
      </c>
      <c r="F19" t="s">
        <v>891</v>
      </c>
      <c r="G19" t="s">
        <v>259</v>
      </c>
      <c r="H19" t="s">
        <v>66</v>
      </c>
      <c r="I19"/>
      <c r="J19"/>
      <c r="K19"/>
      <c r="L19"/>
      <c r="M19"/>
      <c r="N19"/>
      <c r="O19"/>
      <c r="P19"/>
      <c r="Q19"/>
      <c r="R19">
        <v>75</v>
      </c>
      <c r="S19" t="s">
        <v>239</v>
      </c>
      <c r="T19" t="s">
        <v>350</v>
      </c>
      <c r="U19" t="s">
        <v>213</v>
      </c>
      <c r="V19" t="s">
        <v>213</v>
      </c>
      <c r="W19" t="s">
        <v>402</v>
      </c>
      <c r="X19" t="s">
        <v>213</v>
      </c>
      <c r="Y19" t="s">
        <v>403</v>
      </c>
      <c r="Z19" t="s">
        <v>404</v>
      </c>
      <c r="AA19" t="s">
        <v>52</v>
      </c>
      <c r="AB19" t="s">
        <v>52</v>
      </c>
      <c r="AC19" t="s">
        <v>52</v>
      </c>
      <c r="AD19" t="s">
        <v>284</v>
      </c>
      <c r="AE19"/>
      <c r="AF19"/>
      <c r="AG19"/>
      <c r="AH19"/>
      <c r="AI19"/>
      <c r="AJ19" t="s">
        <v>586</v>
      </c>
      <c r="AK19"/>
      <c r="AL19"/>
      <c r="AM19" t="s">
        <v>52</v>
      </c>
      <c r="AN19" t="s">
        <v>587</v>
      </c>
      <c r="AO19" t="s">
        <v>587</v>
      </c>
      <c r="AP19">
        <f t="shared" si="0"/>
        <v>10</v>
      </c>
      <c r="AQ19" t="s">
        <v>588</v>
      </c>
      <c r="AR19" t="s">
        <v>589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s">
        <v>490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s="1" t="s">
        <v>892</v>
      </c>
    </row>
    <row r="20" spans="1:82" ht="12" customHeight="1" x14ac:dyDescent="0.25">
      <c r="A20" s="11" t="s">
        <v>270</v>
      </c>
      <c r="B20" s="11" t="s">
        <v>171</v>
      </c>
      <c r="C20" t="s">
        <v>259</v>
      </c>
      <c r="D20" t="s">
        <v>888</v>
      </c>
      <c r="E20" t="s">
        <v>259</v>
      </c>
      <c r="F20" t="s">
        <v>891</v>
      </c>
      <c r="G20" t="s">
        <v>259</v>
      </c>
      <c r="H20" t="s">
        <v>66</v>
      </c>
      <c r="I20"/>
      <c r="J20"/>
      <c r="K20"/>
      <c r="L20"/>
      <c r="M20"/>
      <c r="N20"/>
      <c r="O20"/>
      <c r="P20"/>
      <c r="Q20"/>
      <c r="R20">
        <v>76</v>
      </c>
      <c r="S20" t="s">
        <v>197</v>
      </c>
      <c r="T20" t="s">
        <v>351</v>
      </c>
      <c r="U20" t="s">
        <v>33</v>
      </c>
      <c r="V20" t="s">
        <v>33</v>
      </c>
      <c r="W20" t="s">
        <v>405</v>
      </c>
      <c r="X20" t="s">
        <v>33</v>
      </c>
      <c r="Y20" t="s">
        <v>33</v>
      </c>
      <c r="Z20" t="s">
        <v>406</v>
      </c>
      <c r="AA20" t="s">
        <v>276</v>
      </c>
      <c r="AB20" t="s">
        <v>276</v>
      </c>
      <c r="AC20" t="s">
        <v>276</v>
      </c>
      <c r="AD20" t="s">
        <v>172</v>
      </c>
      <c r="AE20"/>
      <c r="AF20"/>
      <c r="AG20"/>
      <c r="AH20" t="s">
        <v>331</v>
      </c>
      <c r="AI20"/>
      <c r="AJ20" t="s">
        <v>590</v>
      </c>
      <c r="AK20" t="s">
        <v>331</v>
      </c>
      <c r="AL20" t="s">
        <v>591</v>
      </c>
      <c r="AM20" t="s">
        <v>276</v>
      </c>
      <c r="AN20" t="s">
        <v>592</v>
      </c>
      <c r="AO20" t="s">
        <v>592</v>
      </c>
      <c r="AP20">
        <f t="shared" si="0"/>
        <v>30</v>
      </c>
      <c r="AQ20" t="s">
        <v>593</v>
      </c>
      <c r="AR20" t="s">
        <v>488</v>
      </c>
      <c r="AS20"/>
      <c r="AT20"/>
      <c r="AU20"/>
      <c r="AV20"/>
      <c r="AW20"/>
      <c r="AX20"/>
      <c r="AY20"/>
      <c r="AZ20"/>
      <c r="BA20" t="s">
        <v>594</v>
      </c>
      <c r="BB20"/>
      <c r="BC20"/>
      <c r="BD20"/>
      <c r="BE20"/>
      <c r="BF20"/>
      <c r="BG20"/>
      <c r="BH20"/>
      <c r="BI20"/>
      <c r="BJ20" t="s">
        <v>490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s="1" t="s">
        <v>892</v>
      </c>
    </row>
    <row r="21" spans="1:82" ht="12" customHeight="1" x14ac:dyDescent="0.25">
      <c r="A21" s="11" t="s">
        <v>270</v>
      </c>
      <c r="B21" s="11" t="s">
        <v>171</v>
      </c>
      <c r="C21" t="s">
        <v>259</v>
      </c>
      <c r="D21" t="s">
        <v>888</v>
      </c>
      <c r="E21" t="s">
        <v>259</v>
      </c>
      <c r="F21" t="s">
        <v>891</v>
      </c>
      <c r="G21" t="s">
        <v>259</v>
      </c>
      <c r="H21" t="s">
        <v>66</v>
      </c>
      <c r="I21"/>
      <c r="J21"/>
      <c r="K21"/>
      <c r="L21"/>
      <c r="M21"/>
      <c r="N21"/>
      <c r="O21"/>
      <c r="P21"/>
      <c r="Q21"/>
      <c r="R21">
        <v>77</v>
      </c>
      <c r="S21" t="s">
        <v>197</v>
      </c>
      <c r="T21" t="s">
        <v>351</v>
      </c>
      <c r="U21" t="s">
        <v>194</v>
      </c>
      <c r="V21" t="s">
        <v>194</v>
      </c>
      <c r="W21" t="s">
        <v>405</v>
      </c>
      <c r="X21" t="s">
        <v>194</v>
      </c>
      <c r="Y21" t="s">
        <v>194</v>
      </c>
      <c r="Z21" t="s">
        <v>407</v>
      </c>
      <c r="AA21" t="s">
        <v>69</v>
      </c>
      <c r="AB21" t="s">
        <v>69</v>
      </c>
      <c r="AC21" t="s">
        <v>69</v>
      </c>
      <c r="AD21" t="s">
        <v>265</v>
      </c>
      <c r="AE21"/>
      <c r="AF21"/>
      <c r="AG21"/>
      <c r="AH21"/>
      <c r="AI21"/>
      <c r="AJ21" t="s">
        <v>595</v>
      </c>
      <c r="AK21"/>
      <c r="AL21"/>
      <c r="AM21" t="s">
        <v>69</v>
      </c>
      <c r="AN21" t="s">
        <v>596</v>
      </c>
      <c r="AO21" t="s">
        <v>596</v>
      </c>
      <c r="AP21">
        <f t="shared" si="0"/>
        <v>21</v>
      </c>
      <c r="AQ21" t="s">
        <v>597</v>
      </c>
      <c r="AR21" t="s">
        <v>598</v>
      </c>
      <c r="AS21" t="s">
        <v>599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t="s">
        <v>490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s="1" t="s">
        <v>892</v>
      </c>
    </row>
    <row r="22" spans="1:82" ht="12" customHeight="1" x14ac:dyDescent="0.25">
      <c r="A22" s="11" t="s">
        <v>270</v>
      </c>
      <c r="B22" s="11" t="s">
        <v>171</v>
      </c>
      <c r="C22" t="s">
        <v>259</v>
      </c>
      <c r="D22" t="s">
        <v>889</v>
      </c>
      <c r="E22" t="s">
        <v>259</v>
      </c>
      <c r="F22" t="s">
        <v>891</v>
      </c>
      <c r="G22" t="s">
        <v>259</v>
      </c>
      <c r="H22" t="s">
        <v>66</v>
      </c>
      <c r="I22"/>
      <c r="J22"/>
      <c r="K22"/>
      <c r="L22"/>
      <c r="M22"/>
      <c r="N22"/>
      <c r="O22"/>
      <c r="P22"/>
      <c r="Q22"/>
      <c r="R22">
        <v>78</v>
      </c>
      <c r="S22" t="s">
        <v>197</v>
      </c>
      <c r="T22" t="s">
        <v>351</v>
      </c>
      <c r="U22" t="s">
        <v>112</v>
      </c>
      <c r="V22" t="s">
        <v>112</v>
      </c>
      <c r="W22" t="s">
        <v>405</v>
      </c>
      <c r="X22" t="s">
        <v>112</v>
      </c>
      <c r="Y22" t="s">
        <v>112</v>
      </c>
      <c r="Z22" t="s">
        <v>408</v>
      </c>
      <c r="AA22" t="s">
        <v>40</v>
      </c>
      <c r="AB22" t="s">
        <v>40</v>
      </c>
      <c r="AC22" t="s">
        <v>40</v>
      </c>
      <c r="AD22" t="s">
        <v>172</v>
      </c>
      <c r="AE22"/>
      <c r="AF22"/>
      <c r="AG22"/>
      <c r="AH22" t="s">
        <v>331</v>
      </c>
      <c r="AI22"/>
      <c r="AJ22" t="s">
        <v>590</v>
      </c>
      <c r="AK22" t="s">
        <v>331</v>
      </c>
      <c r="AL22" t="s">
        <v>591</v>
      </c>
      <c r="AM22" t="s">
        <v>600</v>
      </c>
      <c r="AN22" t="s">
        <v>601</v>
      </c>
      <c r="AO22" t="s">
        <v>601</v>
      </c>
      <c r="AP22">
        <f t="shared" si="0"/>
        <v>67</v>
      </c>
      <c r="AQ22" t="s">
        <v>593</v>
      </c>
      <c r="AR22" t="s">
        <v>488</v>
      </c>
      <c r="AS22" t="s">
        <v>602</v>
      </c>
      <c r="AT22"/>
      <c r="AU22"/>
      <c r="AV22"/>
      <c r="AW22"/>
      <c r="AX22"/>
      <c r="AY22"/>
      <c r="AZ22"/>
      <c r="BA22" t="s">
        <v>603</v>
      </c>
      <c r="BB22"/>
      <c r="BC22"/>
      <c r="BD22" t="s">
        <v>604</v>
      </c>
      <c r="BE22"/>
      <c r="BF22"/>
      <c r="BG22"/>
      <c r="BH22"/>
      <c r="BI22"/>
      <c r="BJ22" t="s">
        <v>605</v>
      </c>
      <c r="BK22" t="s">
        <v>606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s="1" t="s">
        <v>892</v>
      </c>
    </row>
    <row r="23" spans="1:82" ht="12" customHeight="1" x14ac:dyDescent="0.25">
      <c r="A23" s="11" t="s">
        <v>270</v>
      </c>
      <c r="B23" s="11" t="s">
        <v>171</v>
      </c>
      <c r="C23" t="s">
        <v>259</v>
      </c>
      <c r="D23" t="s">
        <v>890</v>
      </c>
      <c r="E23" t="s">
        <v>259</v>
      </c>
      <c r="F23" t="s">
        <v>891</v>
      </c>
      <c r="G23" t="s">
        <v>259</v>
      </c>
      <c r="H23" t="s">
        <v>66</v>
      </c>
      <c r="I23"/>
      <c r="J23"/>
      <c r="K23"/>
      <c r="L23"/>
      <c r="M23"/>
      <c r="N23"/>
      <c r="O23"/>
      <c r="P23"/>
      <c r="Q23"/>
      <c r="R23">
        <v>79</v>
      </c>
      <c r="S23" t="s">
        <v>197</v>
      </c>
      <c r="T23" t="s">
        <v>351</v>
      </c>
      <c r="U23" t="s">
        <v>287</v>
      </c>
      <c r="V23" t="s">
        <v>287</v>
      </c>
      <c r="W23" t="s">
        <v>405</v>
      </c>
      <c r="X23" t="s">
        <v>287</v>
      </c>
      <c r="Y23" s="13" t="s">
        <v>409</v>
      </c>
      <c r="Z23" t="s">
        <v>410</v>
      </c>
      <c r="AA23" t="s">
        <v>109</v>
      </c>
      <c r="AB23" t="s">
        <v>109</v>
      </c>
      <c r="AC23" t="s">
        <v>109</v>
      </c>
      <c r="AD23" t="s">
        <v>269</v>
      </c>
      <c r="AE23"/>
      <c r="AF23"/>
      <c r="AG23"/>
      <c r="AH23" t="s">
        <v>267</v>
      </c>
      <c r="AI23"/>
      <c r="AJ23" t="s">
        <v>607</v>
      </c>
      <c r="AK23" t="s">
        <v>267</v>
      </c>
      <c r="AL23" t="s">
        <v>608</v>
      </c>
      <c r="AM23" s="14" t="s">
        <v>609</v>
      </c>
      <c r="AN23" t="s">
        <v>610</v>
      </c>
      <c r="AO23" t="s">
        <v>610</v>
      </c>
      <c r="AP23">
        <f t="shared" si="0"/>
        <v>36</v>
      </c>
      <c r="AQ23" t="s">
        <v>588</v>
      </c>
      <c r="AR23" t="s">
        <v>611</v>
      </c>
      <c r="AS23" t="s">
        <v>612</v>
      </c>
      <c r="AT23"/>
      <c r="AU23"/>
      <c r="AV23"/>
      <c r="AW23"/>
      <c r="AX23"/>
      <c r="AY23"/>
      <c r="AZ23"/>
      <c r="BA23" t="s">
        <v>613</v>
      </c>
      <c r="BB23"/>
      <c r="BC23"/>
      <c r="BD23"/>
      <c r="BE23"/>
      <c r="BF23"/>
      <c r="BG23"/>
      <c r="BH23"/>
      <c r="BI23"/>
      <c r="BJ23" t="s">
        <v>614</v>
      </c>
      <c r="BK23" t="s">
        <v>615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s="1" t="s">
        <v>892</v>
      </c>
    </row>
    <row r="24" spans="1:82" ht="12" customHeight="1" x14ac:dyDescent="0.25">
      <c r="A24" s="11" t="s">
        <v>270</v>
      </c>
      <c r="B24" s="11" t="s">
        <v>171</v>
      </c>
      <c r="C24" t="s">
        <v>259</v>
      </c>
      <c r="D24" t="s">
        <v>888</v>
      </c>
      <c r="E24" t="s">
        <v>259</v>
      </c>
      <c r="F24" t="s">
        <v>891</v>
      </c>
      <c r="G24" t="s">
        <v>259</v>
      </c>
      <c r="H24" t="s">
        <v>66</v>
      </c>
      <c r="I24"/>
      <c r="J24"/>
      <c r="K24"/>
      <c r="L24"/>
      <c r="M24"/>
      <c r="N24"/>
      <c r="O24"/>
      <c r="P24"/>
      <c r="Q24"/>
      <c r="R24">
        <v>80</v>
      </c>
      <c r="S24" t="s">
        <v>197</v>
      </c>
      <c r="T24" t="s">
        <v>351</v>
      </c>
      <c r="U24" t="s">
        <v>260</v>
      </c>
      <c r="V24" t="s">
        <v>260</v>
      </c>
      <c r="W24" t="s">
        <v>405</v>
      </c>
      <c r="X24" t="s">
        <v>260</v>
      </c>
      <c r="Y24" t="s">
        <v>411</v>
      </c>
      <c r="Z24" t="s">
        <v>412</v>
      </c>
      <c r="AA24" t="s">
        <v>0</v>
      </c>
      <c r="AB24" t="s">
        <v>0</v>
      </c>
      <c r="AC24" t="s">
        <v>0</v>
      </c>
      <c r="AD24" t="s">
        <v>150</v>
      </c>
      <c r="AE24"/>
      <c r="AF24"/>
      <c r="AG24"/>
      <c r="AH24"/>
      <c r="AI24"/>
      <c r="AJ24" t="s">
        <v>616</v>
      </c>
      <c r="AK24"/>
      <c r="AL24"/>
      <c r="AM24" t="s">
        <v>0</v>
      </c>
      <c r="AN24" t="s">
        <v>617</v>
      </c>
      <c r="AO24" t="s">
        <v>617</v>
      </c>
      <c r="AP24">
        <f t="shared" si="0"/>
        <v>12</v>
      </c>
      <c r="AQ24" t="s">
        <v>618</v>
      </c>
      <c r="AR24" t="s">
        <v>619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t="s">
        <v>490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s="1" t="s">
        <v>892</v>
      </c>
    </row>
    <row r="25" spans="1:82" ht="12" customHeight="1" x14ac:dyDescent="0.25">
      <c r="A25" s="11" t="s">
        <v>270</v>
      </c>
      <c r="B25" s="11" t="s">
        <v>171</v>
      </c>
      <c r="C25" t="s">
        <v>259</v>
      </c>
      <c r="D25" t="s">
        <v>888</v>
      </c>
      <c r="E25" t="s">
        <v>259</v>
      </c>
      <c r="F25" t="s">
        <v>891</v>
      </c>
      <c r="G25" t="s">
        <v>259</v>
      </c>
      <c r="H25" t="s">
        <v>66</v>
      </c>
      <c r="I25"/>
      <c r="J25"/>
      <c r="K25"/>
      <c r="L25"/>
      <c r="M25"/>
      <c r="N25"/>
      <c r="O25"/>
      <c r="P25"/>
      <c r="Q25"/>
      <c r="R25">
        <v>81</v>
      </c>
      <c r="S25" t="s">
        <v>197</v>
      </c>
      <c r="T25" t="s">
        <v>351</v>
      </c>
      <c r="U25" t="s">
        <v>45</v>
      </c>
      <c r="V25" t="s">
        <v>45</v>
      </c>
      <c r="W25" t="s">
        <v>405</v>
      </c>
      <c r="X25" t="s">
        <v>45</v>
      </c>
      <c r="Y25" t="s">
        <v>45</v>
      </c>
      <c r="Z25" t="s">
        <v>413</v>
      </c>
      <c r="AA25" t="s">
        <v>215</v>
      </c>
      <c r="AB25" t="s">
        <v>215</v>
      </c>
      <c r="AC25" t="s">
        <v>215</v>
      </c>
      <c r="AD25" t="s">
        <v>91</v>
      </c>
      <c r="AE25"/>
      <c r="AF25"/>
      <c r="AG25"/>
      <c r="AH25" t="s">
        <v>262</v>
      </c>
      <c r="AI25"/>
      <c r="AJ25" t="s">
        <v>616</v>
      </c>
      <c r="AK25"/>
      <c r="AL25"/>
      <c r="AM25" t="s">
        <v>215</v>
      </c>
      <c r="AN25" t="s">
        <v>620</v>
      </c>
      <c r="AO25" t="s">
        <v>620</v>
      </c>
      <c r="AP25">
        <f t="shared" si="0"/>
        <v>23</v>
      </c>
      <c r="AQ25" t="s">
        <v>621</v>
      </c>
      <c r="AR25"/>
      <c r="AS25"/>
      <c r="AT25"/>
      <c r="AU25"/>
      <c r="AV25"/>
      <c r="AW25"/>
      <c r="AX25"/>
      <c r="AY25"/>
      <c r="AZ25"/>
      <c r="BA25" t="s">
        <v>622</v>
      </c>
      <c r="BB25"/>
      <c r="BC25"/>
      <c r="BD25"/>
      <c r="BE25"/>
      <c r="BF25"/>
      <c r="BG25"/>
      <c r="BH25"/>
      <c r="BI25"/>
      <c r="BJ25" t="s">
        <v>490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s="1" t="s">
        <v>892</v>
      </c>
    </row>
    <row r="26" spans="1:82" ht="12" customHeight="1" x14ac:dyDescent="0.25">
      <c r="A26" s="11" t="s">
        <v>270</v>
      </c>
      <c r="B26" s="11" t="s">
        <v>171</v>
      </c>
      <c r="C26" t="s">
        <v>259</v>
      </c>
      <c r="D26" t="s">
        <v>889</v>
      </c>
      <c r="E26" t="s">
        <v>259</v>
      </c>
      <c r="F26" t="s">
        <v>891</v>
      </c>
      <c r="G26" t="s">
        <v>259</v>
      </c>
      <c r="H26" t="s">
        <v>66</v>
      </c>
      <c r="I26"/>
      <c r="J26"/>
      <c r="K26"/>
      <c r="L26"/>
      <c r="M26"/>
      <c r="N26"/>
      <c r="O26"/>
      <c r="P26"/>
      <c r="Q26"/>
      <c r="R26">
        <v>82</v>
      </c>
      <c r="S26" t="s">
        <v>21</v>
      </c>
      <c r="T26" t="s">
        <v>352</v>
      </c>
      <c r="U26" t="s">
        <v>42</v>
      </c>
      <c r="V26" t="s">
        <v>42</v>
      </c>
      <c r="W26" t="s">
        <v>414</v>
      </c>
      <c r="X26" t="s">
        <v>42</v>
      </c>
      <c r="Y26">
        <v>181447</v>
      </c>
      <c r="Z26" t="s">
        <v>415</v>
      </c>
      <c r="AA26" t="s">
        <v>177</v>
      </c>
      <c r="AB26" t="s">
        <v>177</v>
      </c>
      <c r="AC26" t="s">
        <v>177</v>
      </c>
      <c r="AD26" t="s">
        <v>87</v>
      </c>
      <c r="AE26"/>
      <c r="AF26"/>
      <c r="AG26"/>
      <c r="AH26"/>
      <c r="AI26" t="s">
        <v>339</v>
      </c>
      <c r="AJ26" t="s">
        <v>623</v>
      </c>
      <c r="AK26"/>
      <c r="AL26"/>
      <c r="AM26" s="14" t="s">
        <v>624</v>
      </c>
      <c r="AN26" t="s">
        <v>625</v>
      </c>
      <c r="AO26" t="s">
        <v>625</v>
      </c>
      <c r="AP26">
        <f t="shared" si="0"/>
        <v>41</v>
      </c>
      <c r="AQ26" t="s">
        <v>626</v>
      </c>
      <c r="AR26" t="s">
        <v>627</v>
      </c>
      <c r="AS26"/>
      <c r="AT26"/>
      <c r="AU26"/>
      <c r="AV26" t="s">
        <v>628</v>
      </c>
      <c r="AW26"/>
      <c r="AX26"/>
      <c r="AY26"/>
      <c r="AZ26"/>
      <c r="BA26"/>
      <c r="BB26"/>
      <c r="BC26"/>
      <c r="BD26"/>
      <c r="BE26"/>
      <c r="BF26" s="14" t="s">
        <v>339</v>
      </c>
      <c r="BG26"/>
      <c r="BH26"/>
      <c r="BI26"/>
      <c r="BJ26" t="s">
        <v>629</v>
      </c>
      <c r="BK26" t="s">
        <v>630</v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s="1" t="s">
        <v>892</v>
      </c>
    </row>
    <row r="27" spans="1:82" ht="12" customHeight="1" x14ac:dyDescent="0.25">
      <c r="A27" s="11" t="s">
        <v>270</v>
      </c>
      <c r="B27" s="11" t="s">
        <v>171</v>
      </c>
      <c r="C27" t="s">
        <v>259</v>
      </c>
      <c r="D27" t="s">
        <v>889</v>
      </c>
      <c r="E27" t="s">
        <v>259</v>
      </c>
      <c r="F27" t="s">
        <v>891</v>
      </c>
      <c r="G27" t="s">
        <v>259</v>
      </c>
      <c r="H27" t="s">
        <v>66</v>
      </c>
      <c r="I27"/>
      <c r="J27"/>
      <c r="K27"/>
      <c r="L27"/>
      <c r="M27"/>
      <c r="N27"/>
      <c r="O27"/>
      <c r="P27"/>
      <c r="Q27"/>
      <c r="R27">
        <v>83</v>
      </c>
      <c r="S27" t="s">
        <v>80</v>
      </c>
      <c r="T27" t="s">
        <v>353</v>
      </c>
      <c r="U27" t="s">
        <v>289</v>
      </c>
      <c r="V27" t="s">
        <v>289</v>
      </c>
      <c r="W27" t="s">
        <v>416</v>
      </c>
      <c r="X27" t="s">
        <v>289</v>
      </c>
      <c r="Y27" s="13" t="s">
        <v>289</v>
      </c>
      <c r="Z27" t="s">
        <v>417</v>
      </c>
      <c r="AA27" t="s">
        <v>24</v>
      </c>
      <c r="AB27" t="s">
        <v>24</v>
      </c>
      <c r="AC27" t="s">
        <v>24</v>
      </c>
      <c r="AD27" t="s">
        <v>321</v>
      </c>
      <c r="AE27"/>
      <c r="AF27"/>
      <c r="AG27"/>
      <c r="AH27"/>
      <c r="AI27"/>
      <c r="AJ27" t="s">
        <v>631</v>
      </c>
      <c r="AK27"/>
      <c r="AL27"/>
      <c r="AM27" s="15" t="s">
        <v>632</v>
      </c>
      <c r="AN27" t="s">
        <v>633</v>
      </c>
      <c r="AO27" t="s">
        <v>633</v>
      </c>
      <c r="AP27">
        <f t="shared" si="0"/>
        <v>18</v>
      </c>
      <c r="AQ27" s="15" t="s">
        <v>634</v>
      </c>
      <c r="AR27" s="14" t="s">
        <v>635</v>
      </c>
      <c r="AS27"/>
      <c r="AT27"/>
      <c r="AU27"/>
      <c r="AV27"/>
      <c r="AW27"/>
      <c r="AX27"/>
      <c r="AY27"/>
      <c r="AZ27"/>
      <c r="BA27" t="s">
        <v>636</v>
      </c>
      <c r="BB27"/>
      <c r="BC27"/>
      <c r="BD27"/>
      <c r="BE27"/>
      <c r="BF27"/>
      <c r="BG27"/>
      <c r="BH27"/>
      <c r="BI27"/>
      <c r="BJ27" t="s">
        <v>637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s="1" t="s">
        <v>892</v>
      </c>
    </row>
    <row r="28" spans="1:82" ht="12" customHeight="1" x14ac:dyDescent="0.25">
      <c r="A28" s="11" t="s">
        <v>270</v>
      </c>
      <c r="B28" s="11" t="s">
        <v>171</v>
      </c>
      <c r="C28" t="s">
        <v>259</v>
      </c>
      <c r="D28" t="s">
        <v>888</v>
      </c>
      <c r="E28" t="s">
        <v>259</v>
      </c>
      <c r="F28" t="s">
        <v>891</v>
      </c>
      <c r="G28" t="s">
        <v>259</v>
      </c>
      <c r="H28" t="s">
        <v>66</v>
      </c>
      <c r="I28"/>
      <c r="J28"/>
      <c r="K28"/>
      <c r="L28"/>
      <c r="M28"/>
      <c r="N28"/>
      <c r="O28"/>
      <c r="P28"/>
      <c r="Q28"/>
      <c r="R28">
        <v>84</v>
      </c>
      <c r="S28" t="s">
        <v>80</v>
      </c>
      <c r="T28" t="s">
        <v>353</v>
      </c>
      <c r="U28" t="s">
        <v>229</v>
      </c>
      <c r="V28" t="s">
        <v>229</v>
      </c>
      <c r="W28" t="s">
        <v>416</v>
      </c>
      <c r="X28" t="s">
        <v>229</v>
      </c>
      <c r="Y28" t="s">
        <v>229</v>
      </c>
      <c r="Z28" t="s">
        <v>418</v>
      </c>
      <c r="AA28" t="s">
        <v>205</v>
      </c>
      <c r="AB28" t="s">
        <v>205</v>
      </c>
      <c r="AC28" t="s">
        <v>205</v>
      </c>
      <c r="AD28" t="s">
        <v>237</v>
      </c>
      <c r="AE28"/>
      <c r="AF28"/>
      <c r="AG28"/>
      <c r="AH28"/>
      <c r="AI28"/>
      <c r="AJ28" t="s">
        <v>638</v>
      </c>
      <c r="AK28"/>
      <c r="AL28"/>
      <c r="AM28" t="s">
        <v>205</v>
      </c>
      <c r="AN28" t="s">
        <v>639</v>
      </c>
      <c r="AO28" t="s">
        <v>639</v>
      </c>
      <c r="AP28">
        <f t="shared" si="0"/>
        <v>20</v>
      </c>
      <c r="AQ28" t="s">
        <v>640</v>
      </c>
      <c r="AR28" t="s">
        <v>641</v>
      </c>
      <c r="AS28"/>
      <c r="AT28"/>
      <c r="AU28"/>
      <c r="AV28"/>
      <c r="AW28"/>
      <c r="AX28"/>
      <c r="AY28"/>
      <c r="AZ28"/>
      <c r="BA28" t="s">
        <v>642</v>
      </c>
      <c r="BB28"/>
      <c r="BC28"/>
      <c r="BD28"/>
      <c r="BE28"/>
      <c r="BF28"/>
      <c r="BG28"/>
      <c r="BH28"/>
      <c r="BI28"/>
      <c r="BJ28" t="s">
        <v>490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s="1" t="s">
        <v>892</v>
      </c>
    </row>
    <row r="29" spans="1:82" ht="12" customHeight="1" x14ac:dyDescent="0.25">
      <c r="A29" s="11" t="s">
        <v>270</v>
      </c>
      <c r="B29" s="11" t="s">
        <v>171</v>
      </c>
      <c r="C29" t="s">
        <v>259</v>
      </c>
      <c r="D29" t="s">
        <v>888</v>
      </c>
      <c r="E29" t="s">
        <v>259</v>
      </c>
      <c r="F29" t="s">
        <v>891</v>
      </c>
      <c r="G29" t="s">
        <v>259</v>
      </c>
      <c r="H29" t="s">
        <v>66</v>
      </c>
      <c r="I29"/>
      <c r="J29"/>
      <c r="K29"/>
      <c r="L29"/>
      <c r="M29"/>
      <c r="N29"/>
      <c r="O29"/>
      <c r="P29"/>
      <c r="Q29"/>
      <c r="R29">
        <v>85</v>
      </c>
      <c r="S29" t="s">
        <v>110</v>
      </c>
      <c r="T29" t="s">
        <v>354</v>
      </c>
      <c r="U29" t="s">
        <v>192</v>
      </c>
      <c r="V29" t="s">
        <v>192</v>
      </c>
      <c r="W29" t="s">
        <v>405</v>
      </c>
      <c r="X29" t="s">
        <v>192</v>
      </c>
      <c r="Y29" t="s">
        <v>419</v>
      </c>
      <c r="Z29" t="s">
        <v>420</v>
      </c>
      <c r="AA29" t="s">
        <v>176</v>
      </c>
      <c r="AB29" t="s">
        <v>176</v>
      </c>
      <c r="AC29" t="s">
        <v>176</v>
      </c>
      <c r="AD29" t="s">
        <v>152</v>
      </c>
      <c r="AE29"/>
      <c r="AF29"/>
      <c r="AG29"/>
      <c r="AH29"/>
      <c r="AI29"/>
      <c r="AJ29" t="s">
        <v>643</v>
      </c>
      <c r="AK29"/>
      <c r="AL29"/>
      <c r="AM29" t="s">
        <v>176</v>
      </c>
      <c r="AN29" t="s">
        <v>644</v>
      </c>
      <c r="AO29" t="s">
        <v>644</v>
      </c>
      <c r="AP29">
        <f t="shared" si="0"/>
        <v>22</v>
      </c>
      <c r="AQ29" t="s">
        <v>645</v>
      </c>
      <c r="AR29" t="s">
        <v>646</v>
      </c>
      <c r="AS29"/>
      <c r="AT29"/>
      <c r="AU29"/>
      <c r="AV29"/>
      <c r="AW29"/>
      <c r="AX29"/>
      <c r="AY29"/>
      <c r="AZ29"/>
      <c r="BA29"/>
      <c r="BB29" t="s">
        <v>647</v>
      </c>
      <c r="BC29"/>
      <c r="BD29"/>
      <c r="BE29"/>
      <c r="BF29"/>
      <c r="BG29"/>
      <c r="BH29"/>
      <c r="BI29"/>
      <c r="BJ29" t="s">
        <v>490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s="1" t="s">
        <v>892</v>
      </c>
    </row>
    <row r="30" spans="1:82" ht="12" customHeight="1" x14ac:dyDescent="0.25">
      <c r="A30" s="11" t="s">
        <v>270</v>
      </c>
      <c r="B30" s="11" t="s">
        <v>171</v>
      </c>
      <c r="C30" t="s">
        <v>259</v>
      </c>
      <c r="D30" t="s">
        <v>888</v>
      </c>
      <c r="E30" t="s">
        <v>259</v>
      </c>
      <c r="F30" t="s">
        <v>891</v>
      </c>
      <c r="G30" t="s">
        <v>259</v>
      </c>
      <c r="H30" t="s">
        <v>66</v>
      </c>
      <c r="I30"/>
      <c r="J30"/>
      <c r="K30"/>
      <c r="L30"/>
      <c r="M30"/>
      <c r="N30"/>
      <c r="O30"/>
      <c r="P30"/>
      <c r="Q30"/>
      <c r="R30">
        <v>86</v>
      </c>
      <c r="S30" t="s">
        <v>110</v>
      </c>
      <c r="T30" t="s">
        <v>354</v>
      </c>
      <c r="U30" t="s">
        <v>126</v>
      </c>
      <c r="V30" t="s">
        <v>126</v>
      </c>
      <c r="W30" t="s">
        <v>405</v>
      </c>
      <c r="X30" t="s">
        <v>126</v>
      </c>
      <c r="Y30">
        <v>83210</v>
      </c>
      <c r="Z30" t="s">
        <v>421</v>
      </c>
      <c r="AA30" t="s">
        <v>65</v>
      </c>
      <c r="AB30" t="s">
        <v>65</v>
      </c>
      <c r="AC30" t="s">
        <v>65</v>
      </c>
      <c r="AD30" t="s">
        <v>306</v>
      </c>
      <c r="AE30"/>
      <c r="AF30"/>
      <c r="AG30"/>
      <c r="AH30"/>
      <c r="AI30"/>
      <c r="AJ30" t="s">
        <v>648</v>
      </c>
      <c r="AK30"/>
      <c r="AL30"/>
      <c r="AM30" t="s">
        <v>65</v>
      </c>
      <c r="AN30" t="s">
        <v>649</v>
      </c>
      <c r="AO30" t="s">
        <v>649</v>
      </c>
      <c r="AP30">
        <f t="shared" si="0"/>
        <v>42</v>
      </c>
      <c r="AQ30" t="s">
        <v>650</v>
      </c>
      <c r="AR30" t="s">
        <v>651</v>
      </c>
      <c r="AS30" t="s">
        <v>652</v>
      </c>
      <c r="AT30"/>
      <c r="AU30"/>
      <c r="AV30"/>
      <c r="AW30"/>
      <c r="AX30"/>
      <c r="AY30"/>
      <c r="AZ30"/>
      <c r="BA30" t="s">
        <v>653</v>
      </c>
      <c r="BB30"/>
      <c r="BC30"/>
      <c r="BD30"/>
      <c r="BE30"/>
      <c r="BF30"/>
      <c r="BG30"/>
      <c r="BH30"/>
      <c r="BI30"/>
      <c r="BJ30" t="s">
        <v>490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s="1" t="s">
        <v>892</v>
      </c>
    </row>
    <row r="31" spans="1:82" ht="12" customHeight="1" x14ac:dyDescent="0.25">
      <c r="A31" s="11" t="s">
        <v>270</v>
      </c>
      <c r="B31" s="11" t="s">
        <v>171</v>
      </c>
      <c r="C31" t="s">
        <v>259</v>
      </c>
      <c r="D31" t="s">
        <v>888</v>
      </c>
      <c r="E31" t="s">
        <v>259</v>
      </c>
      <c r="F31" t="s">
        <v>891</v>
      </c>
      <c r="G31" t="s">
        <v>259</v>
      </c>
      <c r="H31" t="s">
        <v>66</v>
      </c>
      <c r="I31"/>
      <c r="J31"/>
      <c r="K31"/>
      <c r="L31"/>
      <c r="M31"/>
      <c r="N31"/>
      <c r="O31"/>
      <c r="P31"/>
      <c r="Q31"/>
      <c r="R31">
        <v>87</v>
      </c>
      <c r="S31" t="s">
        <v>110</v>
      </c>
      <c r="T31" t="s">
        <v>354</v>
      </c>
      <c r="U31" t="s">
        <v>214</v>
      </c>
      <c r="V31" t="s">
        <v>214</v>
      </c>
      <c r="W31" t="s">
        <v>405</v>
      </c>
      <c r="X31" t="s">
        <v>214</v>
      </c>
      <c r="Y31">
        <v>700040</v>
      </c>
      <c r="Z31" t="s">
        <v>422</v>
      </c>
      <c r="AA31" t="s">
        <v>326</v>
      </c>
      <c r="AB31" t="s">
        <v>326</v>
      </c>
      <c r="AC31" t="s">
        <v>326</v>
      </c>
      <c r="AD31" t="s">
        <v>4</v>
      </c>
      <c r="AE31"/>
      <c r="AF31"/>
      <c r="AG31"/>
      <c r="AH31"/>
      <c r="AI31"/>
      <c r="AJ31" t="s">
        <v>654</v>
      </c>
      <c r="AK31"/>
      <c r="AL31"/>
      <c r="AM31" t="s">
        <v>326</v>
      </c>
      <c r="AN31" t="s">
        <v>655</v>
      </c>
      <c r="AO31" t="s">
        <v>655</v>
      </c>
      <c r="AP31">
        <f t="shared" si="0"/>
        <v>19</v>
      </c>
      <c r="AQ31" t="s">
        <v>656</v>
      </c>
      <c r="AR31" t="s">
        <v>657</v>
      </c>
      <c r="AS31"/>
      <c r="AT31" t="s">
        <v>658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t="s">
        <v>490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s="1" t="s">
        <v>892</v>
      </c>
    </row>
    <row r="32" spans="1:82" ht="12" customHeight="1" x14ac:dyDescent="0.25">
      <c r="A32" s="11" t="s">
        <v>270</v>
      </c>
      <c r="B32" s="11" t="s">
        <v>171</v>
      </c>
      <c r="C32" t="s">
        <v>259</v>
      </c>
      <c r="D32" t="s">
        <v>888</v>
      </c>
      <c r="E32" t="s">
        <v>259</v>
      </c>
      <c r="F32" t="s">
        <v>891</v>
      </c>
      <c r="G32" t="s">
        <v>259</v>
      </c>
      <c r="H32" t="s">
        <v>66</v>
      </c>
      <c r="I32"/>
      <c r="J32"/>
      <c r="K32"/>
      <c r="L32"/>
      <c r="M32"/>
      <c r="N32"/>
      <c r="O32"/>
      <c r="P32"/>
      <c r="Q32"/>
      <c r="R32">
        <v>88</v>
      </c>
      <c r="S32" t="s">
        <v>185</v>
      </c>
      <c r="T32" t="s">
        <v>185</v>
      </c>
      <c r="U32" t="s">
        <v>168</v>
      </c>
      <c r="V32" t="s">
        <v>168</v>
      </c>
      <c r="W32" t="s">
        <v>185</v>
      </c>
      <c r="X32" t="s">
        <v>168</v>
      </c>
      <c r="Y32" t="s">
        <v>168</v>
      </c>
      <c r="Z32" t="s">
        <v>423</v>
      </c>
      <c r="AA32" t="s">
        <v>243</v>
      </c>
      <c r="AB32" t="s">
        <v>243</v>
      </c>
      <c r="AC32" t="s">
        <v>243</v>
      </c>
      <c r="AD32" t="s">
        <v>163</v>
      </c>
      <c r="AE32"/>
      <c r="AF32"/>
      <c r="AG32"/>
      <c r="AH32"/>
      <c r="AI32"/>
      <c r="AJ32" t="s">
        <v>659</v>
      </c>
      <c r="AK32"/>
      <c r="AL32"/>
      <c r="AM32" t="s">
        <v>243</v>
      </c>
      <c r="AN32" t="s">
        <v>660</v>
      </c>
      <c r="AO32" t="s">
        <v>660</v>
      </c>
      <c r="AP32">
        <f t="shared" si="0"/>
        <v>37</v>
      </c>
      <c r="AQ32" t="s">
        <v>661</v>
      </c>
      <c r="AR32" t="s">
        <v>662</v>
      </c>
      <c r="AS32" t="s">
        <v>663</v>
      </c>
      <c r="AT32"/>
      <c r="AU32"/>
      <c r="AV32"/>
      <c r="AW32"/>
      <c r="AX32"/>
      <c r="AY32"/>
      <c r="AZ32"/>
      <c r="BA32" t="s">
        <v>664</v>
      </c>
      <c r="BB32"/>
      <c r="BC32"/>
      <c r="BD32"/>
      <c r="BE32"/>
      <c r="BF32"/>
      <c r="BG32"/>
      <c r="BH32"/>
      <c r="BI32"/>
      <c r="BJ32" t="s">
        <v>490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s="1" t="s">
        <v>892</v>
      </c>
    </row>
    <row r="33" spans="1:82" ht="12" customHeight="1" x14ac:dyDescent="0.25">
      <c r="A33" s="11" t="s">
        <v>270</v>
      </c>
      <c r="B33" s="11" t="s">
        <v>171</v>
      </c>
      <c r="C33" t="s">
        <v>259</v>
      </c>
      <c r="D33" t="s">
        <v>889</v>
      </c>
      <c r="E33" t="s">
        <v>259</v>
      </c>
      <c r="F33" t="s">
        <v>891</v>
      </c>
      <c r="G33" t="s">
        <v>259</v>
      </c>
      <c r="H33" t="s">
        <v>66</v>
      </c>
      <c r="I33"/>
      <c r="J33"/>
      <c r="K33"/>
      <c r="L33"/>
      <c r="M33"/>
      <c r="N33"/>
      <c r="O33"/>
      <c r="P33"/>
      <c r="Q33"/>
      <c r="R33">
        <v>89</v>
      </c>
      <c r="S33" t="s">
        <v>185</v>
      </c>
      <c r="T33" t="s">
        <v>185</v>
      </c>
      <c r="U33" t="s">
        <v>170</v>
      </c>
      <c r="V33" t="s">
        <v>170</v>
      </c>
      <c r="W33" t="s">
        <v>185</v>
      </c>
      <c r="X33" t="s">
        <v>170</v>
      </c>
      <c r="Y33" t="s">
        <v>170</v>
      </c>
      <c r="Z33" t="s">
        <v>424</v>
      </c>
      <c r="AA33" t="s">
        <v>155</v>
      </c>
      <c r="AB33" t="s">
        <v>155</v>
      </c>
      <c r="AC33" t="s">
        <v>155</v>
      </c>
      <c r="AD33" t="s">
        <v>97</v>
      </c>
      <c r="AE33"/>
      <c r="AF33"/>
      <c r="AG33"/>
      <c r="AH33"/>
      <c r="AI33"/>
      <c r="AJ33" t="s">
        <v>665</v>
      </c>
      <c r="AK33"/>
      <c r="AL33"/>
      <c r="AM33" t="s">
        <v>155</v>
      </c>
      <c r="AN33" t="s">
        <v>666</v>
      </c>
      <c r="AO33" t="s">
        <v>666</v>
      </c>
      <c r="AP33">
        <f t="shared" si="0"/>
        <v>21</v>
      </c>
      <c r="AQ33" t="s">
        <v>667</v>
      </c>
      <c r="AR33" t="s">
        <v>668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t="s">
        <v>669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 s="1" t="s">
        <v>892</v>
      </c>
    </row>
    <row r="34" spans="1:82" ht="12" customHeight="1" x14ac:dyDescent="0.25">
      <c r="A34" s="11" t="s">
        <v>270</v>
      </c>
      <c r="B34" s="11" t="s">
        <v>171</v>
      </c>
      <c r="C34" t="s">
        <v>259</v>
      </c>
      <c r="D34" t="s">
        <v>889</v>
      </c>
      <c r="E34" t="s">
        <v>259</v>
      </c>
      <c r="F34" t="s">
        <v>891</v>
      </c>
      <c r="G34" t="s">
        <v>259</v>
      </c>
      <c r="H34" t="s">
        <v>66</v>
      </c>
      <c r="I34"/>
      <c r="J34"/>
      <c r="K34"/>
      <c r="L34"/>
      <c r="M34"/>
      <c r="N34"/>
      <c r="O34"/>
      <c r="P34"/>
      <c r="Q34"/>
      <c r="R34">
        <v>90</v>
      </c>
      <c r="S34" t="s">
        <v>301</v>
      </c>
      <c r="T34" t="s">
        <v>355</v>
      </c>
      <c r="U34" t="s">
        <v>228</v>
      </c>
      <c r="V34" t="s">
        <v>228</v>
      </c>
      <c r="W34" t="s">
        <v>425</v>
      </c>
      <c r="X34" t="s">
        <v>228</v>
      </c>
      <c r="Y34" t="s">
        <v>228</v>
      </c>
      <c r="Z34" t="s">
        <v>426</v>
      </c>
      <c r="AA34" t="s">
        <v>187</v>
      </c>
      <c r="AB34" t="s">
        <v>187</v>
      </c>
      <c r="AC34" t="s">
        <v>187</v>
      </c>
      <c r="AD34" t="s">
        <v>330</v>
      </c>
      <c r="AE34"/>
      <c r="AF34"/>
      <c r="AG34"/>
      <c r="AH34"/>
      <c r="AI34" t="s">
        <v>148</v>
      </c>
      <c r="AJ34" t="s">
        <v>670</v>
      </c>
      <c r="AK34"/>
      <c r="AL34"/>
      <c r="AM34" s="14" t="s">
        <v>671</v>
      </c>
      <c r="AN34" t="s">
        <v>672</v>
      </c>
      <c r="AO34" t="s">
        <v>672</v>
      </c>
      <c r="AP34">
        <f t="shared" si="0"/>
        <v>86</v>
      </c>
      <c r="AQ34" t="s">
        <v>673</v>
      </c>
      <c r="AR34" t="s">
        <v>674</v>
      </c>
      <c r="AS34" t="s">
        <v>675</v>
      </c>
      <c r="AT34"/>
      <c r="AU34"/>
      <c r="AV34" t="s">
        <v>676</v>
      </c>
      <c r="AW34"/>
      <c r="AX34"/>
      <c r="AY34"/>
      <c r="AZ34"/>
      <c r="BA34" s="14" t="s">
        <v>677</v>
      </c>
      <c r="BB34" s="14" t="s">
        <v>678</v>
      </c>
      <c r="BC34"/>
      <c r="BD34"/>
      <c r="BE34"/>
      <c r="BF34"/>
      <c r="BG34"/>
      <c r="BH34"/>
      <c r="BI34"/>
      <c r="BJ34" t="s">
        <v>679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 s="1" t="s">
        <v>892</v>
      </c>
    </row>
    <row r="35" spans="1:82" ht="12" customHeight="1" x14ac:dyDescent="0.25">
      <c r="A35" s="11" t="s">
        <v>270</v>
      </c>
      <c r="B35" s="11" t="s">
        <v>171</v>
      </c>
      <c r="C35" t="s">
        <v>259</v>
      </c>
      <c r="D35" t="s">
        <v>888</v>
      </c>
      <c r="E35" t="s">
        <v>259</v>
      </c>
      <c r="F35" t="s">
        <v>891</v>
      </c>
      <c r="G35" t="s">
        <v>259</v>
      </c>
      <c r="H35" t="s">
        <v>66</v>
      </c>
      <c r="I35"/>
      <c r="J35"/>
      <c r="K35"/>
      <c r="L35"/>
      <c r="M35"/>
      <c r="N35"/>
      <c r="O35"/>
      <c r="P35"/>
      <c r="Q35"/>
      <c r="R35">
        <v>91</v>
      </c>
      <c r="S35" t="s">
        <v>70</v>
      </c>
      <c r="T35" t="s">
        <v>356</v>
      </c>
      <c r="U35" t="s">
        <v>115</v>
      </c>
      <c r="V35" t="s">
        <v>115</v>
      </c>
      <c r="W35" t="s">
        <v>427</v>
      </c>
      <c r="X35" t="s">
        <v>115</v>
      </c>
      <c r="Y35" t="s">
        <v>115</v>
      </c>
      <c r="Z35" t="s">
        <v>428</v>
      </c>
      <c r="AA35" t="s">
        <v>22</v>
      </c>
      <c r="AB35" t="s">
        <v>22</v>
      </c>
      <c r="AC35" t="s">
        <v>22</v>
      </c>
      <c r="AD35" t="s">
        <v>67</v>
      </c>
      <c r="AE35"/>
      <c r="AF35"/>
      <c r="AG35"/>
      <c r="AH35" t="s">
        <v>20</v>
      </c>
      <c r="AI35" t="s">
        <v>175</v>
      </c>
      <c r="AJ35" t="s">
        <v>526</v>
      </c>
      <c r="AK35" t="s">
        <v>20</v>
      </c>
      <c r="AL35" t="s">
        <v>680</v>
      </c>
      <c r="AM35" t="s">
        <v>22</v>
      </c>
      <c r="AN35" t="s">
        <v>681</v>
      </c>
      <c r="AO35" t="s">
        <v>681</v>
      </c>
      <c r="AP35">
        <f t="shared" si="0"/>
        <v>27</v>
      </c>
      <c r="AQ35" t="s">
        <v>640</v>
      </c>
      <c r="AR35" t="s">
        <v>682</v>
      </c>
      <c r="AS35" t="s">
        <v>683</v>
      </c>
      <c r="AT35"/>
      <c r="AU35"/>
      <c r="AV35"/>
      <c r="AW35"/>
      <c r="AX35"/>
      <c r="AY35"/>
      <c r="AZ35"/>
      <c r="BA35"/>
      <c r="BB35"/>
      <c r="BC35"/>
      <c r="BD35"/>
      <c r="BE35"/>
      <c r="BF35" t="s">
        <v>175</v>
      </c>
      <c r="BG35"/>
      <c r="BH35"/>
      <c r="BI35"/>
      <c r="BJ35" t="s">
        <v>490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 s="1" t="s">
        <v>892</v>
      </c>
    </row>
    <row r="36" spans="1:82" ht="12" customHeight="1" x14ac:dyDescent="0.25">
      <c r="A36" s="11" t="s">
        <v>270</v>
      </c>
      <c r="B36" s="11" t="s">
        <v>171</v>
      </c>
      <c r="C36" t="s">
        <v>259</v>
      </c>
      <c r="D36" t="s">
        <v>888</v>
      </c>
      <c r="E36" t="s">
        <v>259</v>
      </c>
      <c r="F36" t="s">
        <v>891</v>
      </c>
      <c r="G36" t="s">
        <v>259</v>
      </c>
      <c r="H36" t="s">
        <v>66</v>
      </c>
      <c r="I36"/>
      <c r="J36"/>
      <c r="K36"/>
      <c r="L36"/>
      <c r="M36"/>
      <c r="N36"/>
      <c r="O36"/>
      <c r="P36"/>
      <c r="Q36"/>
      <c r="R36">
        <v>92</v>
      </c>
      <c r="S36" t="s">
        <v>70</v>
      </c>
      <c r="T36" t="s">
        <v>356</v>
      </c>
      <c r="U36" t="s">
        <v>169</v>
      </c>
      <c r="V36" t="s">
        <v>169</v>
      </c>
      <c r="W36" t="s">
        <v>427</v>
      </c>
      <c r="X36" t="s">
        <v>169</v>
      </c>
      <c r="Y36" t="s">
        <v>169</v>
      </c>
      <c r="Z36" t="s">
        <v>429</v>
      </c>
      <c r="AA36" t="s">
        <v>31</v>
      </c>
      <c r="AB36" t="s">
        <v>31</v>
      </c>
      <c r="AC36" t="s">
        <v>31</v>
      </c>
      <c r="AD36" t="s">
        <v>308</v>
      </c>
      <c r="AE36"/>
      <c r="AF36"/>
      <c r="AG36"/>
      <c r="AH36"/>
      <c r="AI36"/>
      <c r="AJ36" t="s">
        <v>684</v>
      </c>
      <c r="AK36"/>
      <c r="AL36"/>
      <c r="AM36" t="s">
        <v>31</v>
      </c>
      <c r="AN36" t="s">
        <v>685</v>
      </c>
      <c r="AO36" t="s">
        <v>685</v>
      </c>
      <c r="AP36">
        <f t="shared" si="0"/>
        <v>20</v>
      </c>
      <c r="AQ36" t="s">
        <v>686</v>
      </c>
      <c r="AR36" t="s">
        <v>488</v>
      </c>
      <c r="AS36"/>
      <c r="AT36" t="s">
        <v>658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t="s">
        <v>490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 s="1" t="s">
        <v>892</v>
      </c>
    </row>
    <row r="37" spans="1:82" ht="12" customHeight="1" x14ac:dyDescent="0.25">
      <c r="A37" s="11" t="s">
        <v>270</v>
      </c>
      <c r="B37" s="11" t="s">
        <v>171</v>
      </c>
      <c r="C37" t="s">
        <v>259</v>
      </c>
      <c r="D37" t="s">
        <v>888</v>
      </c>
      <c r="E37" t="s">
        <v>259</v>
      </c>
      <c r="F37" t="s">
        <v>891</v>
      </c>
      <c r="G37" t="s">
        <v>259</v>
      </c>
      <c r="H37" t="s">
        <v>66</v>
      </c>
      <c r="I37"/>
      <c r="J37"/>
      <c r="K37"/>
      <c r="L37"/>
      <c r="M37"/>
      <c r="N37"/>
      <c r="O37"/>
      <c r="P37"/>
      <c r="Q37"/>
      <c r="R37">
        <v>93</v>
      </c>
      <c r="S37" t="s">
        <v>70</v>
      </c>
      <c r="T37" t="s">
        <v>356</v>
      </c>
      <c r="U37" t="s">
        <v>128</v>
      </c>
      <c r="V37" t="s">
        <v>128</v>
      </c>
      <c r="W37" t="s">
        <v>427</v>
      </c>
      <c r="X37" t="s">
        <v>128</v>
      </c>
      <c r="Y37" t="s">
        <v>128</v>
      </c>
      <c r="Z37" t="s">
        <v>430</v>
      </c>
      <c r="AA37" t="s">
        <v>64</v>
      </c>
      <c r="AB37" t="s">
        <v>64</v>
      </c>
      <c r="AC37" t="s">
        <v>64</v>
      </c>
      <c r="AD37" t="s">
        <v>308</v>
      </c>
      <c r="AE37"/>
      <c r="AF37"/>
      <c r="AG37"/>
      <c r="AH37"/>
      <c r="AI37"/>
      <c r="AJ37" t="s">
        <v>684</v>
      </c>
      <c r="AK37"/>
      <c r="AL37"/>
      <c r="AM37" t="s">
        <v>64</v>
      </c>
      <c r="AN37" t="s">
        <v>687</v>
      </c>
      <c r="AO37" t="s">
        <v>687</v>
      </c>
      <c r="AP37">
        <f t="shared" si="0"/>
        <v>20</v>
      </c>
      <c r="AQ37" t="s">
        <v>686</v>
      </c>
      <c r="AR37" t="s">
        <v>488</v>
      </c>
      <c r="AS37"/>
      <c r="AT37" t="s">
        <v>688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t="s">
        <v>490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s="1" t="s">
        <v>892</v>
      </c>
    </row>
    <row r="38" spans="1:82" ht="12" customHeight="1" x14ac:dyDescent="0.25">
      <c r="A38" s="11" t="s">
        <v>270</v>
      </c>
      <c r="B38" s="11" t="s">
        <v>171</v>
      </c>
      <c r="C38" t="s">
        <v>259</v>
      </c>
      <c r="D38" t="s">
        <v>889</v>
      </c>
      <c r="E38" t="s">
        <v>259</v>
      </c>
      <c r="F38" t="s">
        <v>891</v>
      </c>
      <c r="G38" t="s">
        <v>259</v>
      </c>
      <c r="H38" t="s">
        <v>66</v>
      </c>
      <c r="I38"/>
      <c r="J38"/>
      <c r="K38"/>
      <c r="L38"/>
      <c r="M38"/>
      <c r="N38"/>
      <c r="O38"/>
      <c r="P38"/>
      <c r="Q38"/>
      <c r="R38">
        <v>94</v>
      </c>
      <c r="S38" t="s">
        <v>154</v>
      </c>
      <c r="T38" s="12" t="s">
        <v>357</v>
      </c>
      <c r="U38" t="s">
        <v>73</v>
      </c>
      <c r="V38" t="s">
        <v>368</v>
      </c>
      <c r="W38" t="s">
        <v>431</v>
      </c>
      <c r="X38" t="s">
        <v>368</v>
      </c>
      <c r="Y38" t="s">
        <v>73</v>
      </c>
      <c r="Z38" t="s">
        <v>432</v>
      </c>
      <c r="AA38" t="s">
        <v>137</v>
      </c>
      <c r="AB38" t="s">
        <v>137</v>
      </c>
      <c r="AC38" t="s">
        <v>137</v>
      </c>
      <c r="AD38" t="s">
        <v>300</v>
      </c>
      <c r="AE38"/>
      <c r="AF38"/>
      <c r="AG38"/>
      <c r="AH38" t="s">
        <v>10</v>
      </c>
      <c r="AI38" t="s">
        <v>8</v>
      </c>
      <c r="AJ38" t="s">
        <v>689</v>
      </c>
      <c r="AK38" t="s">
        <v>10</v>
      </c>
      <c r="AL38" t="s">
        <v>690</v>
      </c>
      <c r="AM38" t="s">
        <v>691</v>
      </c>
      <c r="AN38" t="s">
        <v>692</v>
      </c>
      <c r="AO38" t="s">
        <v>692</v>
      </c>
      <c r="AP38">
        <f t="shared" si="0"/>
        <v>20</v>
      </c>
      <c r="AQ38" t="s">
        <v>693</v>
      </c>
      <c r="AR38" t="s">
        <v>694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 t="s">
        <v>695</v>
      </c>
      <c r="BG38"/>
      <c r="BH38"/>
      <c r="BI38"/>
      <c r="BJ38" t="s">
        <v>696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s="1" t="s">
        <v>892</v>
      </c>
    </row>
    <row r="39" spans="1:82" ht="12" customHeight="1" x14ac:dyDescent="0.25">
      <c r="A39" s="11" t="s">
        <v>270</v>
      </c>
      <c r="B39" s="11" t="s">
        <v>171</v>
      </c>
      <c r="C39" t="s">
        <v>259</v>
      </c>
      <c r="D39" t="s">
        <v>888</v>
      </c>
      <c r="E39" t="s">
        <v>259</v>
      </c>
      <c r="F39" t="s">
        <v>891</v>
      </c>
      <c r="G39" t="s">
        <v>259</v>
      </c>
      <c r="H39" t="s">
        <v>66</v>
      </c>
      <c r="I39"/>
      <c r="J39"/>
      <c r="K39"/>
      <c r="L39"/>
      <c r="M39"/>
      <c r="N39"/>
      <c r="O39"/>
      <c r="P39"/>
      <c r="Q39"/>
      <c r="R39">
        <v>95</v>
      </c>
      <c r="S39" t="s">
        <v>68</v>
      </c>
      <c r="T39" t="s">
        <v>68</v>
      </c>
      <c r="U39" t="s">
        <v>222</v>
      </c>
      <c r="V39" t="s">
        <v>222</v>
      </c>
      <c r="W39" t="s">
        <v>433</v>
      </c>
      <c r="X39" t="s">
        <v>222</v>
      </c>
      <c r="Y39" t="s">
        <v>222</v>
      </c>
      <c r="Z39" t="s">
        <v>434</v>
      </c>
      <c r="AA39" t="s">
        <v>123</v>
      </c>
      <c r="AB39" t="s">
        <v>123</v>
      </c>
      <c r="AC39" t="s">
        <v>123</v>
      </c>
      <c r="AD39" t="s">
        <v>294</v>
      </c>
      <c r="AE39"/>
      <c r="AF39"/>
      <c r="AG39"/>
      <c r="AH39" t="s">
        <v>100</v>
      </c>
      <c r="AI39"/>
      <c r="AJ39" t="s">
        <v>697</v>
      </c>
      <c r="AK39" t="s">
        <v>100</v>
      </c>
      <c r="AL39" t="s">
        <v>698</v>
      </c>
      <c r="AM39" t="s">
        <v>123</v>
      </c>
      <c r="AN39" t="s">
        <v>699</v>
      </c>
      <c r="AO39" t="s">
        <v>699</v>
      </c>
      <c r="AP39">
        <f t="shared" si="0"/>
        <v>28</v>
      </c>
      <c r="AQ39" t="s">
        <v>700</v>
      </c>
      <c r="AR39" t="s">
        <v>701</v>
      </c>
      <c r="AS39"/>
      <c r="AT39"/>
      <c r="AU39"/>
      <c r="AV39"/>
      <c r="AW39"/>
      <c r="AX39"/>
      <c r="AY39"/>
      <c r="AZ39"/>
      <c r="BA39" t="s">
        <v>702</v>
      </c>
      <c r="BB39"/>
      <c r="BC39"/>
      <c r="BD39" t="s">
        <v>703</v>
      </c>
      <c r="BE39"/>
      <c r="BF39"/>
      <c r="BG39"/>
      <c r="BH39"/>
      <c r="BI39"/>
      <c r="BJ39" t="s">
        <v>490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s="1" t="s">
        <v>892</v>
      </c>
    </row>
    <row r="40" spans="1:82" ht="12" customHeight="1" x14ac:dyDescent="0.25">
      <c r="A40" s="11" t="s">
        <v>270</v>
      </c>
      <c r="B40" s="11" t="s">
        <v>171</v>
      </c>
      <c r="C40" t="s">
        <v>259</v>
      </c>
      <c r="D40" t="s">
        <v>888</v>
      </c>
      <c r="E40" t="s">
        <v>259</v>
      </c>
      <c r="F40" t="s">
        <v>891</v>
      </c>
      <c r="G40" t="s">
        <v>259</v>
      </c>
      <c r="H40" t="s">
        <v>66</v>
      </c>
      <c r="I40"/>
      <c r="J40"/>
      <c r="K40"/>
      <c r="L40"/>
      <c r="M40"/>
      <c r="N40"/>
      <c r="O40"/>
      <c r="P40"/>
      <c r="Q40"/>
      <c r="R40">
        <v>96</v>
      </c>
      <c r="S40" t="s">
        <v>30</v>
      </c>
      <c r="T40" t="s">
        <v>358</v>
      </c>
      <c r="U40" t="s">
        <v>50</v>
      </c>
      <c r="V40">
        <v>670550</v>
      </c>
      <c r="W40" t="s">
        <v>30</v>
      </c>
      <c r="X40">
        <v>670550</v>
      </c>
      <c r="Y40">
        <v>670550</v>
      </c>
      <c r="Z40" t="s">
        <v>435</v>
      </c>
      <c r="AA40" t="s">
        <v>279</v>
      </c>
      <c r="AB40" t="s">
        <v>279</v>
      </c>
      <c r="AC40" t="s">
        <v>279</v>
      </c>
      <c r="AD40" t="s">
        <v>252</v>
      </c>
      <c r="AE40"/>
      <c r="AF40"/>
      <c r="AG40"/>
      <c r="AH40"/>
      <c r="AI40"/>
      <c r="AJ40" t="s">
        <v>704</v>
      </c>
      <c r="AK40"/>
      <c r="AL40"/>
      <c r="AM40" t="s">
        <v>279</v>
      </c>
      <c r="AN40" t="s">
        <v>705</v>
      </c>
      <c r="AO40" t="s">
        <v>705</v>
      </c>
      <c r="AP40">
        <f t="shared" si="0"/>
        <v>30</v>
      </c>
      <c r="AQ40" t="s">
        <v>706</v>
      </c>
      <c r="AR40" t="s">
        <v>707</v>
      </c>
      <c r="AS40"/>
      <c r="AT40"/>
      <c r="AU40"/>
      <c r="AV40"/>
      <c r="AW40"/>
      <c r="AX40"/>
      <c r="AY40"/>
      <c r="AZ40"/>
      <c r="BA40" t="s">
        <v>578</v>
      </c>
      <c r="BB40"/>
      <c r="BC40"/>
      <c r="BD40"/>
      <c r="BE40"/>
      <c r="BF40" t="s">
        <v>708</v>
      </c>
      <c r="BG40"/>
      <c r="BH40"/>
      <c r="BI40"/>
      <c r="BJ40" t="s">
        <v>490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s="1" t="s">
        <v>892</v>
      </c>
    </row>
    <row r="41" spans="1:82" ht="12" customHeight="1" x14ac:dyDescent="0.25">
      <c r="A41" s="11" t="s">
        <v>270</v>
      </c>
      <c r="B41" s="11" t="s">
        <v>171</v>
      </c>
      <c r="C41" t="s">
        <v>259</v>
      </c>
      <c r="D41" t="s">
        <v>889</v>
      </c>
      <c r="E41" t="s">
        <v>259</v>
      </c>
      <c r="F41" t="s">
        <v>891</v>
      </c>
      <c r="G41" t="s">
        <v>259</v>
      </c>
      <c r="H41" t="s">
        <v>66</v>
      </c>
      <c r="I41"/>
      <c r="J41"/>
      <c r="K41"/>
      <c r="L41"/>
      <c r="M41"/>
      <c r="N41"/>
      <c r="O41"/>
      <c r="P41"/>
      <c r="Q41"/>
      <c r="R41">
        <v>97</v>
      </c>
      <c r="S41" t="s">
        <v>127</v>
      </c>
      <c r="T41" t="s">
        <v>359</v>
      </c>
      <c r="U41" t="s">
        <v>302</v>
      </c>
      <c r="V41" t="s">
        <v>302</v>
      </c>
      <c r="W41" t="s">
        <v>436</v>
      </c>
      <c r="X41" t="s">
        <v>302</v>
      </c>
      <c r="Y41" t="s">
        <v>302</v>
      </c>
      <c r="Z41" t="s">
        <v>437</v>
      </c>
      <c r="AA41" t="s">
        <v>74</v>
      </c>
      <c r="AB41" t="s">
        <v>74</v>
      </c>
      <c r="AC41" t="s">
        <v>74</v>
      </c>
      <c r="AD41" t="s">
        <v>165</v>
      </c>
      <c r="AE41"/>
      <c r="AF41"/>
      <c r="AG41"/>
      <c r="AH41" t="s">
        <v>341</v>
      </c>
      <c r="AI41" t="s">
        <v>201</v>
      </c>
      <c r="AJ41" t="s">
        <v>709</v>
      </c>
      <c r="AK41"/>
      <c r="AL41"/>
      <c r="AM41" s="14" t="s">
        <v>710</v>
      </c>
      <c r="AN41" t="s">
        <v>711</v>
      </c>
      <c r="AO41" t="s">
        <v>711</v>
      </c>
      <c r="AP41">
        <f t="shared" si="0"/>
        <v>73</v>
      </c>
      <c r="AQ41" t="s">
        <v>712</v>
      </c>
      <c r="AR41" t="s">
        <v>713</v>
      </c>
      <c r="AS41" s="14" t="s">
        <v>714</v>
      </c>
      <c r="AT41"/>
      <c r="AU41"/>
      <c r="AV41"/>
      <c r="AW41"/>
      <c r="AX41"/>
      <c r="AY41"/>
      <c r="AZ41"/>
      <c r="BA41"/>
      <c r="BB41"/>
      <c r="BC41"/>
      <c r="BD41" t="s">
        <v>580</v>
      </c>
      <c r="BE41" t="s">
        <v>514</v>
      </c>
      <c r="BF41" s="14" t="s">
        <v>715</v>
      </c>
      <c r="BG41" s="14" t="s">
        <v>515</v>
      </c>
      <c r="BH41" t="s">
        <v>516</v>
      </c>
      <c r="BI41"/>
      <c r="BJ41" t="s">
        <v>716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 s="1" t="s">
        <v>892</v>
      </c>
    </row>
    <row r="42" spans="1:82" ht="12" customHeight="1" x14ac:dyDescent="0.25">
      <c r="A42" s="11" t="s">
        <v>270</v>
      </c>
      <c r="B42" s="11" t="s">
        <v>171</v>
      </c>
      <c r="C42" t="s">
        <v>259</v>
      </c>
      <c r="D42" t="s">
        <v>888</v>
      </c>
      <c r="E42" t="s">
        <v>259</v>
      </c>
      <c r="F42" t="s">
        <v>891</v>
      </c>
      <c r="G42" t="s">
        <v>259</v>
      </c>
      <c r="H42" t="s">
        <v>66</v>
      </c>
      <c r="I42"/>
      <c r="J42"/>
      <c r="K42"/>
      <c r="L42"/>
      <c r="M42"/>
      <c r="N42"/>
      <c r="O42"/>
      <c r="P42"/>
      <c r="Q42"/>
      <c r="R42">
        <v>98</v>
      </c>
      <c r="S42" t="s">
        <v>127</v>
      </c>
      <c r="T42" t="s">
        <v>359</v>
      </c>
      <c r="U42" t="s">
        <v>88</v>
      </c>
      <c r="V42" t="s">
        <v>88</v>
      </c>
      <c r="W42" t="s">
        <v>436</v>
      </c>
      <c r="X42" t="s">
        <v>88</v>
      </c>
      <c r="Y42" t="s">
        <v>88</v>
      </c>
      <c r="Z42" t="s">
        <v>438</v>
      </c>
      <c r="AA42" t="s">
        <v>256</v>
      </c>
      <c r="AB42" t="s">
        <v>256</v>
      </c>
      <c r="AC42" t="s">
        <v>256</v>
      </c>
      <c r="AD42" t="s">
        <v>342</v>
      </c>
      <c r="AE42"/>
      <c r="AF42"/>
      <c r="AG42"/>
      <c r="AH42"/>
      <c r="AI42" t="s">
        <v>9</v>
      </c>
      <c r="AJ42" t="s">
        <v>717</v>
      </c>
      <c r="AK42"/>
      <c r="AL42"/>
      <c r="AM42" t="s">
        <v>256</v>
      </c>
      <c r="AN42" t="s">
        <v>718</v>
      </c>
      <c r="AO42" t="s">
        <v>718</v>
      </c>
      <c r="AP42">
        <f t="shared" si="0"/>
        <v>14</v>
      </c>
      <c r="AQ42" t="s">
        <v>645</v>
      </c>
      <c r="AR42" t="s">
        <v>719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t="s">
        <v>490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 s="1" t="s">
        <v>892</v>
      </c>
    </row>
    <row r="43" spans="1:82" ht="12" customHeight="1" x14ac:dyDescent="0.25">
      <c r="A43" s="11" t="s">
        <v>270</v>
      </c>
      <c r="B43" s="11" t="s">
        <v>171</v>
      </c>
      <c r="C43" t="s">
        <v>259</v>
      </c>
      <c r="D43" t="s">
        <v>890</v>
      </c>
      <c r="E43" t="s">
        <v>259</v>
      </c>
      <c r="F43" t="s">
        <v>891</v>
      </c>
      <c r="G43" t="s">
        <v>259</v>
      </c>
      <c r="H43" t="s">
        <v>66</v>
      </c>
      <c r="I43"/>
      <c r="J43"/>
      <c r="K43"/>
      <c r="L43"/>
      <c r="M43"/>
      <c r="N43"/>
      <c r="O43"/>
      <c r="P43"/>
      <c r="Q43"/>
      <c r="R43">
        <v>99</v>
      </c>
      <c r="S43" t="s">
        <v>281</v>
      </c>
      <c r="T43" t="s">
        <v>360</v>
      </c>
      <c r="U43" t="s">
        <v>141</v>
      </c>
      <c r="V43" t="s">
        <v>141</v>
      </c>
      <c r="W43" t="s">
        <v>436</v>
      </c>
      <c r="X43" t="s">
        <v>141</v>
      </c>
      <c r="Y43">
        <v>137515</v>
      </c>
      <c r="Z43" t="s">
        <v>439</v>
      </c>
      <c r="AA43" t="s">
        <v>225</v>
      </c>
      <c r="AB43" t="s">
        <v>225</v>
      </c>
      <c r="AC43" t="s">
        <v>225</v>
      </c>
      <c r="AD43" t="s">
        <v>84</v>
      </c>
      <c r="AE43"/>
      <c r="AF43"/>
      <c r="AG43"/>
      <c r="AH43"/>
      <c r="AI43" t="s">
        <v>9</v>
      </c>
      <c r="AJ43" t="s">
        <v>643</v>
      </c>
      <c r="AK43"/>
      <c r="AL43"/>
      <c r="AM43" s="14" t="s">
        <v>720</v>
      </c>
      <c r="AN43" t="s">
        <v>721</v>
      </c>
      <c r="AO43" t="s">
        <v>721</v>
      </c>
      <c r="AP43">
        <f t="shared" si="0"/>
        <v>71</v>
      </c>
      <c r="AQ43" t="s">
        <v>645</v>
      </c>
      <c r="AR43" t="s">
        <v>722</v>
      </c>
      <c r="AS43" t="s">
        <v>723</v>
      </c>
      <c r="AT43"/>
      <c r="AU43"/>
      <c r="AV43"/>
      <c r="AW43"/>
      <c r="AX43"/>
      <c r="AY43"/>
      <c r="AZ43"/>
      <c r="BA43" s="14" t="s">
        <v>724</v>
      </c>
      <c r="BB43" s="14" t="s">
        <v>725</v>
      </c>
      <c r="BC43"/>
      <c r="BD43"/>
      <c r="BE43" t="s">
        <v>726</v>
      </c>
      <c r="BF43"/>
      <c r="BG43" s="14" t="s">
        <v>515</v>
      </c>
      <c r="BH43"/>
      <c r="BI43"/>
      <c r="BJ43" t="s">
        <v>727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s="1" t="s">
        <v>892</v>
      </c>
    </row>
    <row r="44" spans="1:82" ht="12" customHeight="1" x14ac:dyDescent="0.25">
      <c r="A44" s="11" t="s">
        <v>270</v>
      </c>
      <c r="B44" s="11" t="s">
        <v>171</v>
      </c>
      <c r="C44" t="s">
        <v>259</v>
      </c>
      <c r="D44" t="s">
        <v>888</v>
      </c>
      <c r="E44" t="s">
        <v>259</v>
      </c>
      <c r="F44" t="s">
        <v>891</v>
      </c>
      <c r="G44" t="s">
        <v>259</v>
      </c>
      <c r="H44" t="s">
        <v>66</v>
      </c>
      <c r="I44"/>
      <c r="J44"/>
      <c r="K44"/>
      <c r="L44"/>
      <c r="M44"/>
      <c r="N44"/>
      <c r="O44"/>
      <c r="P44"/>
      <c r="Q44"/>
      <c r="R44">
        <v>100</v>
      </c>
      <c r="S44" t="s">
        <v>206</v>
      </c>
      <c r="T44" t="s">
        <v>361</v>
      </c>
      <c r="U44" t="s">
        <v>92</v>
      </c>
      <c r="V44" t="s">
        <v>92</v>
      </c>
      <c r="W44" t="s">
        <v>440</v>
      </c>
      <c r="X44" t="s">
        <v>92</v>
      </c>
      <c r="Y44">
        <v>78576</v>
      </c>
      <c r="Z44" t="s">
        <v>441</v>
      </c>
      <c r="AA44" t="s">
        <v>166</v>
      </c>
      <c r="AB44" t="s">
        <v>166</v>
      </c>
      <c r="AC44" t="s">
        <v>166</v>
      </c>
      <c r="AD44" t="s">
        <v>143</v>
      </c>
      <c r="AE44"/>
      <c r="AF44"/>
      <c r="AG44"/>
      <c r="AH44" t="s">
        <v>116</v>
      </c>
      <c r="AI44"/>
      <c r="AJ44" t="s">
        <v>728</v>
      </c>
      <c r="AK44" t="s">
        <v>116</v>
      </c>
      <c r="AL44" t="s">
        <v>729</v>
      </c>
      <c r="AM44" t="s">
        <v>166</v>
      </c>
      <c r="AN44" t="s">
        <v>730</v>
      </c>
      <c r="AO44" t="s">
        <v>730</v>
      </c>
      <c r="AP44">
        <f t="shared" si="0"/>
        <v>17</v>
      </c>
      <c r="AQ44" t="s">
        <v>731</v>
      </c>
      <c r="AR44" t="s">
        <v>732</v>
      </c>
      <c r="AS44" t="s">
        <v>733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t="s">
        <v>490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 s="1" t="s">
        <v>892</v>
      </c>
    </row>
    <row r="45" spans="1:82" ht="12" customHeight="1" x14ac:dyDescent="0.25">
      <c r="A45" s="11" t="s">
        <v>270</v>
      </c>
      <c r="B45" s="11" t="s">
        <v>171</v>
      </c>
      <c r="C45" t="s">
        <v>259</v>
      </c>
      <c r="D45" t="s">
        <v>889</v>
      </c>
      <c r="E45" t="s">
        <v>259</v>
      </c>
      <c r="F45" t="s">
        <v>891</v>
      </c>
      <c r="G45" t="s">
        <v>259</v>
      </c>
      <c r="H45" t="s">
        <v>66</v>
      </c>
      <c r="I45"/>
      <c r="J45"/>
      <c r="K45"/>
      <c r="L45"/>
      <c r="M45"/>
      <c r="N45"/>
      <c r="O45"/>
      <c r="P45"/>
      <c r="Q45"/>
      <c r="R45">
        <v>101</v>
      </c>
      <c r="S45" t="s">
        <v>57</v>
      </c>
      <c r="T45" t="s">
        <v>57</v>
      </c>
      <c r="U45" t="s">
        <v>151</v>
      </c>
      <c r="V45" t="s">
        <v>369</v>
      </c>
      <c r="W45" t="s">
        <v>290</v>
      </c>
      <c r="X45" t="s">
        <v>369</v>
      </c>
      <c r="Y45" t="s">
        <v>442</v>
      </c>
      <c r="Z45" t="s">
        <v>443</v>
      </c>
      <c r="AA45" t="s">
        <v>102</v>
      </c>
      <c r="AB45" t="s">
        <v>102</v>
      </c>
      <c r="AC45" t="s">
        <v>102</v>
      </c>
      <c r="AD45" t="s">
        <v>124</v>
      </c>
      <c r="AE45"/>
      <c r="AF45"/>
      <c r="AG45"/>
      <c r="AH45" t="s">
        <v>335</v>
      </c>
      <c r="AI45" t="s">
        <v>290</v>
      </c>
      <c r="AJ45" t="s">
        <v>546</v>
      </c>
      <c r="AK45"/>
      <c r="AL45"/>
      <c r="AM45" s="14" t="s">
        <v>734</v>
      </c>
      <c r="AN45" t="s">
        <v>735</v>
      </c>
      <c r="AO45" t="s">
        <v>735</v>
      </c>
      <c r="AP45">
        <f t="shared" si="0"/>
        <v>108</v>
      </c>
      <c r="AQ45" t="s">
        <v>548</v>
      </c>
      <c r="AR45" t="s">
        <v>736</v>
      </c>
      <c r="AS45"/>
      <c r="AT45"/>
      <c r="AU45"/>
      <c r="AV45" t="s">
        <v>737</v>
      </c>
      <c r="AW45"/>
      <c r="AX45"/>
      <c r="AY45"/>
      <c r="AZ45"/>
      <c r="BA45" s="14" t="s">
        <v>738</v>
      </c>
      <c r="BB45" s="14" t="s">
        <v>739</v>
      </c>
      <c r="BC45"/>
      <c r="BD45"/>
      <c r="BE45" t="s">
        <v>514</v>
      </c>
      <c r="BF45"/>
      <c r="BG45" s="14" t="s">
        <v>515</v>
      </c>
      <c r="BH45"/>
      <c r="BI45"/>
      <c r="BJ45" t="s">
        <v>740</v>
      </c>
      <c r="BK45" t="s">
        <v>741</v>
      </c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 s="1" t="s">
        <v>892</v>
      </c>
    </row>
    <row r="46" spans="1:82" ht="12" customHeight="1" x14ac:dyDescent="0.25">
      <c r="A46" s="11" t="s">
        <v>270</v>
      </c>
      <c r="B46" s="11" t="s">
        <v>171</v>
      </c>
      <c r="C46" t="s">
        <v>259</v>
      </c>
      <c r="D46" t="s">
        <v>889</v>
      </c>
      <c r="E46" t="s">
        <v>259</v>
      </c>
      <c r="F46" t="s">
        <v>891</v>
      </c>
      <c r="G46" t="s">
        <v>259</v>
      </c>
      <c r="H46" t="s">
        <v>66</v>
      </c>
      <c r="I46"/>
      <c r="J46"/>
      <c r="K46"/>
      <c r="L46"/>
      <c r="M46"/>
      <c r="N46"/>
      <c r="O46"/>
      <c r="P46"/>
      <c r="Q46"/>
      <c r="R46">
        <v>102</v>
      </c>
      <c r="S46" t="s">
        <v>57</v>
      </c>
      <c r="T46" t="s">
        <v>57</v>
      </c>
      <c r="U46" t="s">
        <v>257</v>
      </c>
      <c r="V46" t="s">
        <v>370</v>
      </c>
      <c r="W46" t="s">
        <v>290</v>
      </c>
      <c r="X46" t="s">
        <v>370</v>
      </c>
      <c r="Y46" t="s">
        <v>444</v>
      </c>
      <c r="Z46" t="s">
        <v>445</v>
      </c>
      <c r="AA46" t="s">
        <v>328</v>
      </c>
      <c r="AB46" t="s">
        <v>328</v>
      </c>
      <c r="AC46" t="s">
        <v>328</v>
      </c>
      <c r="AD46" t="s">
        <v>254</v>
      </c>
      <c r="AE46"/>
      <c r="AF46"/>
      <c r="AG46"/>
      <c r="AH46" t="s">
        <v>235</v>
      </c>
      <c r="AI46" t="s">
        <v>46</v>
      </c>
      <c r="AJ46" t="s">
        <v>742</v>
      </c>
      <c r="AK46" t="s">
        <v>235</v>
      </c>
      <c r="AL46" t="s">
        <v>743</v>
      </c>
      <c r="AM46" s="14" t="s">
        <v>744</v>
      </c>
      <c r="AN46" t="s">
        <v>745</v>
      </c>
      <c r="AO46" t="s">
        <v>745</v>
      </c>
      <c r="AP46">
        <f t="shared" si="0"/>
        <v>62</v>
      </c>
      <c r="AQ46" t="s">
        <v>746</v>
      </c>
      <c r="AR46" t="s">
        <v>747</v>
      </c>
      <c r="AS46"/>
      <c r="AT46" s="13" t="s">
        <v>748</v>
      </c>
      <c r="AU46"/>
      <c r="AV46" s="16" t="s">
        <v>749</v>
      </c>
      <c r="AW46"/>
      <c r="AX46"/>
      <c r="AY46"/>
      <c r="AZ46"/>
      <c r="BA46"/>
      <c r="BB46"/>
      <c r="BC46"/>
      <c r="BD46"/>
      <c r="BE46" t="s">
        <v>514</v>
      </c>
      <c r="BF46" s="14" t="s">
        <v>46</v>
      </c>
      <c r="BG46" s="14" t="s">
        <v>515</v>
      </c>
      <c r="BH46"/>
      <c r="BI46"/>
      <c r="BJ46" t="s">
        <v>750</v>
      </c>
      <c r="BK46" t="s">
        <v>741</v>
      </c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 s="1" t="s">
        <v>892</v>
      </c>
    </row>
    <row r="47" spans="1:82" ht="12" customHeight="1" x14ac:dyDescent="0.25">
      <c r="A47" s="11" t="s">
        <v>270</v>
      </c>
      <c r="B47" s="11" t="s">
        <v>171</v>
      </c>
      <c r="C47" t="s">
        <v>259</v>
      </c>
      <c r="D47" t="s">
        <v>890</v>
      </c>
      <c r="E47" t="s">
        <v>259</v>
      </c>
      <c r="F47" t="s">
        <v>891</v>
      </c>
      <c r="G47" t="s">
        <v>259</v>
      </c>
      <c r="H47" t="s">
        <v>66</v>
      </c>
      <c r="I47"/>
      <c r="J47"/>
      <c r="K47"/>
      <c r="L47"/>
      <c r="M47"/>
      <c r="N47"/>
      <c r="O47"/>
      <c r="P47"/>
      <c r="Q47"/>
      <c r="R47">
        <v>103</v>
      </c>
      <c r="S47" t="s">
        <v>57</v>
      </c>
      <c r="T47" t="s">
        <v>57</v>
      </c>
      <c r="U47" t="s">
        <v>186</v>
      </c>
      <c r="V47" t="s">
        <v>186</v>
      </c>
      <c r="W47" t="s">
        <v>290</v>
      </c>
      <c r="X47" t="s">
        <v>186</v>
      </c>
      <c r="Y47" t="s">
        <v>186</v>
      </c>
      <c r="Z47" t="s">
        <v>446</v>
      </c>
      <c r="AA47" t="s">
        <v>76</v>
      </c>
      <c r="AB47" t="s">
        <v>76</v>
      </c>
      <c r="AC47" t="s">
        <v>76</v>
      </c>
      <c r="AD47" t="s">
        <v>189</v>
      </c>
      <c r="AE47"/>
      <c r="AF47"/>
      <c r="AG47"/>
      <c r="AH47" t="s">
        <v>314</v>
      </c>
      <c r="AI47" t="s">
        <v>290</v>
      </c>
      <c r="AJ47" t="s">
        <v>751</v>
      </c>
      <c r="AK47" t="s">
        <v>314</v>
      </c>
      <c r="AL47" t="s">
        <v>752</v>
      </c>
      <c r="AM47" s="14" t="s">
        <v>753</v>
      </c>
      <c r="AN47" t="s">
        <v>754</v>
      </c>
      <c r="AO47" t="s">
        <v>754</v>
      </c>
      <c r="AP47">
        <f t="shared" si="0"/>
        <v>44</v>
      </c>
      <c r="AQ47" t="s">
        <v>535</v>
      </c>
      <c r="AR47" t="s">
        <v>755</v>
      </c>
      <c r="AS47" t="s">
        <v>756</v>
      </c>
      <c r="AT47"/>
      <c r="AU47"/>
      <c r="AV47"/>
      <c r="AW47"/>
      <c r="AX47"/>
      <c r="AY47"/>
      <c r="AZ47"/>
      <c r="BA47"/>
      <c r="BB47"/>
      <c r="BC47"/>
      <c r="BD47"/>
      <c r="BE47" t="s">
        <v>514</v>
      </c>
      <c r="BF47"/>
      <c r="BG47" s="14" t="s">
        <v>515</v>
      </c>
      <c r="BH47"/>
      <c r="BI47"/>
      <c r="BJ47" t="s">
        <v>757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 s="1" t="s">
        <v>892</v>
      </c>
    </row>
    <row r="48" spans="1:82" ht="12" customHeight="1" x14ac:dyDescent="0.25">
      <c r="A48" s="11" t="s">
        <v>270</v>
      </c>
      <c r="B48" s="11" t="s">
        <v>171</v>
      </c>
      <c r="C48" t="s">
        <v>259</v>
      </c>
      <c r="D48" t="s">
        <v>889</v>
      </c>
      <c r="E48" t="s">
        <v>259</v>
      </c>
      <c r="F48" t="s">
        <v>891</v>
      </c>
      <c r="G48" t="s">
        <v>259</v>
      </c>
      <c r="H48" t="s">
        <v>66</v>
      </c>
      <c r="I48"/>
      <c r="J48"/>
      <c r="K48"/>
      <c r="L48"/>
      <c r="M48"/>
      <c r="N48"/>
      <c r="O48"/>
      <c r="P48"/>
      <c r="Q48"/>
      <c r="R48">
        <v>104</v>
      </c>
      <c r="S48" t="s">
        <v>57</v>
      </c>
      <c r="T48" t="s">
        <v>57</v>
      </c>
      <c r="U48" t="s">
        <v>288</v>
      </c>
      <c r="V48" t="s">
        <v>371</v>
      </c>
      <c r="W48" t="s">
        <v>290</v>
      </c>
      <c r="X48" t="s">
        <v>371</v>
      </c>
      <c r="Y48" t="s">
        <v>447</v>
      </c>
      <c r="Z48" t="s">
        <v>448</v>
      </c>
      <c r="AA48" t="s">
        <v>90</v>
      </c>
      <c r="AB48" t="s">
        <v>90</v>
      </c>
      <c r="AC48" t="s">
        <v>90</v>
      </c>
      <c r="AD48" t="s">
        <v>273</v>
      </c>
      <c r="AE48"/>
      <c r="AF48"/>
      <c r="AG48"/>
      <c r="AH48" t="s">
        <v>305</v>
      </c>
      <c r="AI48" t="s">
        <v>184</v>
      </c>
      <c r="AJ48" t="s">
        <v>758</v>
      </c>
      <c r="AK48" t="s">
        <v>305</v>
      </c>
      <c r="AL48" t="s">
        <v>759</v>
      </c>
      <c r="AM48" s="14" t="s">
        <v>760</v>
      </c>
      <c r="AN48" t="s">
        <v>761</v>
      </c>
      <c r="AO48" t="s">
        <v>761</v>
      </c>
      <c r="AP48">
        <f t="shared" si="0"/>
        <v>80</v>
      </c>
      <c r="AQ48" t="s">
        <v>762</v>
      </c>
      <c r="AR48" t="s">
        <v>763</v>
      </c>
      <c r="AS48" s="14" t="s">
        <v>764</v>
      </c>
      <c r="AT48"/>
      <c r="AU48"/>
      <c r="AV48" t="s">
        <v>765</v>
      </c>
      <c r="AW48"/>
      <c r="AX48"/>
      <c r="AY48"/>
      <c r="AZ48"/>
      <c r="BA48" t="s">
        <v>766</v>
      </c>
      <c r="BB48"/>
      <c r="BC48"/>
      <c r="BD48"/>
      <c r="BE48" t="s">
        <v>514</v>
      </c>
      <c r="BF48" s="14" t="s">
        <v>767</v>
      </c>
      <c r="BG48" s="14" t="s">
        <v>515</v>
      </c>
      <c r="BH48"/>
      <c r="BI48"/>
      <c r="BJ48" t="s">
        <v>768</v>
      </c>
      <c r="BK48" t="s">
        <v>769</v>
      </c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 s="1" t="s">
        <v>892</v>
      </c>
    </row>
    <row r="49" spans="1:82" ht="12" customHeight="1" x14ac:dyDescent="0.25">
      <c r="A49" s="11" t="s">
        <v>270</v>
      </c>
      <c r="B49" s="11" t="s">
        <v>171</v>
      </c>
      <c r="C49" t="s">
        <v>259</v>
      </c>
      <c r="D49" t="s">
        <v>889</v>
      </c>
      <c r="E49" t="s">
        <v>259</v>
      </c>
      <c r="F49" t="s">
        <v>891</v>
      </c>
      <c r="G49" t="s">
        <v>259</v>
      </c>
      <c r="H49" t="s">
        <v>66</v>
      </c>
      <c r="I49"/>
      <c r="J49"/>
      <c r="K49"/>
      <c r="L49"/>
      <c r="M49"/>
      <c r="N49"/>
      <c r="O49"/>
      <c r="P49"/>
      <c r="Q49"/>
      <c r="R49">
        <v>105</v>
      </c>
      <c r="S49" t="s">
        <v>7</v>
      </c>
      <c r="T49" t="s">
        <v>362</v>
      </c>
      <c r="U49" t="s">
        <v>303</v>
      </c>
      <c r="V49" t="s">
        <v>303</v>
      </c>
      <c r="W49" t="s">
        <v>449</v>
      </c>
      <c r="X49" t="s">
        <v>303</v>
      </c>
      <c r="Y49" t="s">
        <v>303</v>
      </c>
      <c r="Z49" t="s">
        <v>450</v>
      </c>
      <c r="AA49" t="s">
        <v>236</v>
      </c>
      <c r="AB49" t="s">
        <v>236</v>
      </c>
      <c r="AC49" t="s">
        <v>236</v>
      </c>
      <c r="AD49" t="s">
        <v>336</v>
      </c>
      <c r="AE49"/>
      <c r="AF49"/>
      <c r="AG49"/>
      <c r="AH49" t="s">
        <v>341</v>
      </c>
      <c r="AI49" t="s">
        <v>274</v>
      </c>
      <c r="AJ49" t="s">
        <v>770</v>
      </c>
      <c r="AK49"/>
      <c r="AL49"/>
      <c r="AM49" s="14" t="s">
        <v>771</v>
      </c>
      <c r="AN49" t="s">
        <v>772</v>
      </c>
      <c r="AO49" t="s">
        <v>772</v>
      </c>
      <c r="AP49">
        <f t="shared" si="0"/>
        <v>80</v>
      </c>
      <c r="AQ49" s="14" t="s">
        <v>773</v>
      </c>
      <c r="AR49" t="s">
        <v>774</v>
      </c>
      <c r="AS49" s="14" t="s">
        <v>775</v>
      </c>
      <c r="AT49"/>
      <c r="AU49"/>
      <c r="AV49"/>
      <c r="AW49"/>
      <c r="AX49"/>
      <c r="AY49"/>
      <c r="AZ49"/>
      <c r="BA49" t="s">
        <v>776</v>
      </c>
      <c r="BB49"/>
      <c r="BC49"/>
      <c r="BD49"/>
      <c r="BE49" t="s">
        <v>726</v>
      </c>
      <c r="BF49" s="14" t="s">
        <v>274</v>
      </c>
      <c r="BG49" s="14" t="s">
        <v>515</v>
      </c>
      <c r="BH49"/>
      <c r="BI49"/>
      <c r="BJ49" t="s">
        <v>777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 s="1" t="s">
        <v>892</v>
      </c>
    </row>
    <row r="50" spans="1:82" ht="12" customHeight="1" x14ac:dyDescent="0.25">
      <c r="A50" s="11" t="s">
        <v>270</v>
      </c>
      <c r="B50" s="11" t="s">
        <v>171</v>
      </c>
      <c r="C50" t="s">
        <v>259</v>
      </c>
      <c r="D50" t="s">
        <v>889</v>
      </c>
      <c r="E50" t="s">
        <v>259</v>
      </c>
      <c r="F50" t="s">
        <v>891</v>
      </c>
      <c r="G50" t="s">
        <v>259</v>
      </c>
      <c r="H50" t="s">
        <v>66</v>
      </c>
      <c r="I50"/>
      <c r="J50"/>
      <c r="K50"/>
      <c r="L50"/>
      <c r="M50"/>
      <c r="N50"/>
      <c r="O50"/>
      <c r="P50"/>
      <c r="Q50"/>
      <c r="R50">
        <v>106</v>
      </c>
      <c r="S50" t="s">
        <v>7</v>
      </c>
      <c r="T50" t="s">
        <v>362</v>
      </c>
      <c r="U50" t="s">
        <v>75</v>
      </c>
      <c r="V50" t="s">
        <v>75</v>
      </c>
      <c r="W50" t="s">
        <v>449</v>
      </c>
      <c r="X50" t="s">
        <v>75</v>
      </c>
      <c r="Y50" t="s">
        <v>75</v>
      </c>
      <c r="Z50" t="s">
        <v>451</v>
      </c>
      <c r="AA50" t="s">
        <v>23</v>
      </c>
      <c r="AB50" t="s">
        <v>23</v>
      </c>
      <c r="AC50" t="s">
        <v>23</v>
      </c>
      <c r="AD50" t="s">
        <v>245</v>
      </c>
      <c r="AE50"/>
      <c r="AF50"/>
      <c r="AG50"/>
      <c r="AH50" t="s">
        <v>341</v>
      </c>
      <c r="AI50" t="s">
        <v>277</v>
      </c>
      <c r="AJ50" t="s">
        <v>581</v>
      </c>
      <c r="AK50"/>
      <c r="AL50"/>
      <c r="AM50" s="14" t="s">
        <v>778</v>
      </c>
      <c r="AN50" t="s">
        <v>779</v>
      </c>
      <c r="AO50" t="s">
        <v>779</v>
      </c>
      <c r="AP50">
        <f t="shared" si="0"/>
        <v>53</v>
      </c>
      <c r="AQ50" t="s">
        <v>583</v>
      </c>
      <c r="AR50" t="s">
        <v>780</v>
      </c>
      <c r="AS50" t="s">
        <v>781</v>
      </c>
      <c r="AT50"/>
      <c r="AU50"/>
      <c r="AV50"/>
      <c r="AW50"/>
      <c r="AX50"/>
      <c r="AY50"/>
      <c r="AZ50"/>
      <c r="BA50"/>
      <c r="BB50"/>
      <c r="BC50"/>
      <c r="BD50"/>
      <c r="BE50" t="s">
        <v>726</v>
      </c>
      <c r="BF50" s="14" t="s">
        <v>277</v>
      </c>
      <c r="BG50" s="14" t="s">
        <v>515</v>
      </c>
      <c r="BH50"/>
      <c r="BI50"/>
      <c r="BJ50" t="s">
        <v>782</v>
      </c>
      <c r="BK50" t="s">
        <v>783</v>
      </c>
      <c r="BL50"/>
      <c r="BM50"/>
      <c r="BN50"/>
      <c r="BO50" t="s">
        <v>784</v>
      </c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 s="1" t="s">
        <v>892</v>
      </c>
    </row>
    <row r="51" spans="1:82" ht="12" customHeight="1" x14ac:dyDescent="0.25">
      <c r="A51" s="11" t="s">
        <v>270</v>
      </c>
      <c r="B51" s="11" t="s">
        <v>171</v>
      </c>
      <c r="C51" t="s">
        <v>259</v>
      </c>
      <c r="D51" t="s">
        <v>890</v>
      </c>
      <c r="E51" t="s">
        <v>259</v>
      </c>
      <c r="F51" t="s">
        <v>891</v>
      </c>
      <c r="G51" t="s">
        <v>259</v>
      </c>
      <c r="H51" t="s">
        <v>66</v>
      </c>
      <c r="I51"/>
      <c r="J51"/>
      <c r="K51"/>
      <c r="L51"/>
      <c r="M51"/>
      <c r="N51"/>
      <c r="O51"/>
      <c r="P51"/>
      <c r="Q51"/>
      <c r="R51">
        <v>107</v>
      </c>
      <c r="S51" t="s">
        <v>7</v>
      </c>
      <c r="T51" t="s">
        <v>362</v>
      </c>
      <c r="U51" t="s">
        <v>248</v>
      </c>
      <c r="V51" t="s">
        <v>248</v>
      </c>
      <c r="W51" t="s">
        <v>449</v>
      </c>
      <c r="X51" t="s">
        <v>248</v>
      </c>
      <c r="Y51" t="s">
        <v>248</v>
      </c>
      <c r="Z51" t="s">
        <v>452</v>
      </c>
      <c r="AA51" t="s">
        <v>3</v>
      </c>
      <c r="AB51" t="s">
        <v>3</v>
      </c>
      <c r="AC51" t="s">
        <v>3</v>
      </c>
      <c r="AD51" t="s">
        <v>131</v>
      </c>
      <c r="AE51"/>
      <c r="AF51"/>
      <c r="AG51"/>
      <c r="AH51"/>
      <c r="AI51" t="s">
        <v>2</v>
      </c>
      <c r="AJ51" t="s">
        <v>581</v>
      </c>
      <c r="AK51"/>
      <c r="AL51"/>
      <c r="AM51" t="s">
        <v>785</v>
      </c>
      <c r="AN51" t="s">
        <v>786</v>
      </c>
      <c r="AO51" t="s">
        <v>786</v>
      </c>
      <c r="AP51">
        <f t="shared" si="0"/>
        <v>58</v>
      </c>
      <c r="AQ51" t="s">
        <v>583</v>
      </c>
      <c r="AR51" t="s">
        <v>780</v>
      </c>
      <c r="AS51" t="s">
        <v>781</v>
      </c>
      <c r="AT51"/>
      <c r="AU51"/>
      <c r="AV51"/>
      <c r="AW51"/>
      <c r="AX51"/>
      <c r="AY51"/>
      <c r="AZ51"/>
      <c r="BA51" t="s">
        <v>2</v>
      </c>
      <c r="BB51"/>
      <c r="BC51"/>
      <c r="BD51"/>
      <c r="BE51" t="s">
        <v>726</v>
      </c>
      <c r="BF51" s="14" t="s">
        <v>277</v>
      </c>
      <c r="BG51" s="14" t="s">
        <v>515</v>
      </c>
      <c r="BH51"/>
      <c r="BI51"/>
      <c r="BJ51" t="s">
        <v>787</v>
      </c>
      <c r="BK51"/>
      <c r="BL51"/>
      <c r="BM51"/>
      <c r="BN51"/>
      <c r="BO51" t="s">
        <v>784</v>
      </c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 s="1" t="s">
        <v>892</v>
      </c>
    </row>
    <row r="52" spans="1:82" ht="12" customHeight="1" x14ac:dyDescent="0.25">
      <c r="A52" s="11" t="s">
        <v>270</v>
      </c>
      <c r="B52" s="11" t="s">
        <v>171</v>
      </c>
      <c r="C52" t="s">
        <v>259</v>
      </c>
      <c r="D52" t="s">
        <v>890</v>
      </c>
      <c r="E52" t="s">
        <v>259</v>
      </c>
      <c r="F52" t="s">
        <v>891</v>
      </c>
      <c r="G52" t="s">
        <v>259</v>
      </c>
      <c r="H52" t="s">
        <v>66</v>
      </c>
      <c r="I52"/>
      <c r="J52"/>
      <c r="K52"/>
      <c r="L52"/>
      <c r="M52"/>
      <c r="N52"/>
      <c r="O52"/>
      <c r="P52"/>
      <c r="Q52"/>
      <c r="R52">
        <v>108</v>
      </c>
      <c r="S52" t="s">
        <v>263</v>
      </c>
      <c r="T52" t="s">
        <v>349</v>
      </c>
      <c r="U52" t="s">
        <v>195</v>
      </c>
      <c r="V52" t="s">
        <v>195</v>
      </c>
      <c r="W52" t="s">
        <v>400</v>
      </c>
      <c r="X52" t="s">
        <v>195</v>
      </c>
      <c r="Y52" t="s">
        <v>195</v>
      </c>
      <c r="Z52" t="s">
        <v>453</v>
      </c>
      <c r="AA52" t="s">
        <v>298</v>
      </c>
      <c r="AB52" t="s">
        <v>298</v>
      </c>
      <c r="AC52" t="s">
        <v>298</v>
      </c>
      <c r="AD52" t="s">
        <v>79</v>
      </c>
      <c r="AE52"/>
      <c r="AF52"/>
      <c r="AG52"/>
      <c r="AH52" t="s">
        <v>36</v>
      </c>
      <c r="AI52" t="s">
        <v>51</v>
      </c>
      <c r="AJ52" t="s">
        <v>788</v>
      </c>
      <c r="AK52" t="s">
        <v>36</v>
      </c>
      <c r="AL52" t="s">
        <v>789</v>
      </c>
      <c r="AM52" t="s">
        <v>790</v>
      </c>
      <c r="AN52" t="s">
        <v>791</v>
      </c>
      <c r="AO52" t="s">
        <v>791</v>
      </c>
      <c r="AP52">
        <f t="shared" si="0"/>
        <v>33</v>
      </c>
      <c r="AQ52" t="s">
        <v>792</v>
      </c>
      <c r="AR52" t="s">
        <v>793</v>
      </c>
      <c r="AS52"/>
      <c r="AT52"/>
      <c r="AU52"/>
      <c r="AV52"/>
      <c r="AW52"/>
      <c r="AX52"/>
      <c r="AY52"/>
      <c r="AZ52"/>
      <c r="BA52" t="s">
        <v>794</v>
      </c>
      <c r="BB52"/>
      <c r="BC52"/>
      <c r="BD52"/>
      <c r="BE52"/>
      <c r="BF52" t="s">
        <v>51</v>
      </c>
      <c r="BG52"/>
      <c r="BH52"/>
      <c r="BI52"/>
      <c r="BJ52" t="s">
        <v>795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 s="1" t="s">
        <v>892</v>
      </c>
    </row>
    <row r="53" spans="1:82" ht="12" customHeight="1" x14ac:dyDescent="0.25">
      <c r="A53" s="11" t="s">
        <v>270</v>
      </c>
      <c r="B53" s="11" t="s">
        <v>171</v>
      </c>
      <c r="C53" t="s">
        <v>259</v>
      </c>
      <c r="D53" t="s">
        <v>888</v>
      </c>
      <c r="E53" t="s">
        <v>259</v>
      </c>
      <c r="F53" t="s">
        <v>891</v>
      </c>
      <c r="G53" t="s">
        <v>259</v>
      </c>
      <c r="H53" t="s">
        <v>66</v>
      </c>
      <c r="I53"/>
      <c r="J53"/>
      <c r="K53"/>
      <c r="L53"/>
      <c r="M53"/>
      <c r="N53"/>
      <c r="O53"/>
      <c r="P53"/>
      <c r="Q53"/>
      <c r="R53">
        <v>109</v>
      </c>
      <c r="S53" t="s">
        <v>263</v>
      </c>
      <c r="T53" t="s">
        <v>349</v>
      </c>
      <c r="U53" t="s">
        <v>238</v>
      </c>
      <c r="V53" t="s">
        <v>238</v>
      </c>
      <c r="W53" t="s">
        <v>400</v>
      </c>
      <c r="X53" t="s">
        <v>238</v>
      </c>
      <c r="Y53" t="s">
        <v>238</v>
      </c>
      <c r="Z53" t="s">
        <v>454</v>
      </c>
      <c r="AA53" t="s">
        <v>317</v>
      </c>
      <c r="AB53" t="s">
        <v>317</v>
      </c>
      <c r="AC53" t="s">
        <v>317</v>
      </c>
      <c r="AD53" t="s">
        <v>29</v>
      </c>
      <c r="AE53"/>
      <c r="AF53"/>
      <c r="AG53"/>
      <c r="AH53"/>
      <c r="AI53"/>
      <c r="AJ53" t="s">
        <v>796</v>
      </c>
      <c r="AK53"/>
      <c r="AL53"/>
      <c r="AM53" t="s">
        <v>317</v>
      </c>
      <c r="AN53" t="s">
        <v>797</v>
      </c>
      <c r="AO53" t="s">
        <v>797</v>
      </c>
      <c r="AP53">
        <f t="shared" si="0"/>
        <v>28</v>
      </c>
      <c r="AQ53" t="s">
        <v>798</v>
      </c>
      <c r="AR53"/>
      <c r="AS53" t="s">
        <v>799</v>
      </c>
      <c r="AT53"/>
      <c r="AU53"/>
      <c r="AV53"/>
      <c r="AW53"/>
      <c r="AX53"/>
      <c r="AY53"/>
      <c r="AZ53"/>
      <c r="BA53" t="s">
        <v>800</v>
      </c>
      <c r="BB53"/>
      <c r="BC53"/>
      <c r="BD53"/>
      <c r="BE53"/>
      <c r="BF53"/>
      <c r="BG53"/>
      <c r="BH53"/>
      <c r="BI53"/>
      <c r="BJ53" t="s">
        <v>490</v>
      </c>
      <c r="BK53"/>
      <c r="BL53"/>
      <c r="BM53"/>
      <c r="BN53"/>
      <c r="BO53" t="s">
        <v>784</v>
      </c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 s="1" t="s">
        <v>892</v>
      </c>
    </row>
    <row r="54" spans="1:82" ht="12" customHeight="1" x14ac:dyDescent="0.25">
      <c r="A54" s="11" t="s">
        <v>270</v>
      </c>
      <c r="B54" s="11" t="s">
        <v>171</v>
      </c>
      <c r="C54" t="s">
        <v>259</v>
      </c>
      <c r="D54" t="s">
        <v>890</v>
      </c>
      <c r="E54" t="s">
        <v>259</v>
      </c>
      <c r="F54" t="s">
        <v>891</v>
      </c>
      <c r="G54" t="s">
        <v>259</v>
      </c>
      <c r="H54" t="s">
        <v>66</v>
      </c>
      <c r="I54"/>
      <c r="J54"/>
      <c r="K54"/>
      <c r="L54"/>
      <c r="M54"/>
      <c r="N54"/>
      <c r="O54"/>
      <c r="P54"/>
      <c r="Q54"/>
      <c r="R54">
        <v>110</v>
      </c>
      <c r="S54" t="s">
        <v>264</v>
      </c>
      <c r="T54" t="s">
        <v>363</v>
      </c>
      <c r="U54" t="s">
        <v>107</v>
      </c>
      <c r="V54" t="s">
        <v>107</v>
      </c>
      <c r="W54" t="s">
        <v>455</v>
      </c>
      <c r="X54" t="s">
        <v>107</v>
      </c>
      <c r="Y54" t="s">
        <v>456</v>
      </c>
      <c r="Z54" t="s">
        <v>457</v>
      </c>
      <c r="AA54" t="s">
        <v>193</v>
      </c>
      <c r="AB54" t="s">
        <v>193</v>
      </c>
      <c r="AC54" t="s">
        <v>193</v>
      </c>
      <c r="AD54" t="s">
        <v>234</v>
      </c>
      <c r="AE54"/>
      <c r="AF54"/>
      <c r="AG54"/>
      <c r="AH54"/>
      <c r="AI54"/>
      <c r="AJ54" t="s">
        <v>801</v>
      </c>
      <c r="AK54"/>
      <c r="AL54"/>
      <c r="AM54" t="s">
        <v>802</v>
      </c>
      <c r="AN54" t="s">
        <v>803</v>
      </c>
      <c r="AO54" t="s">
        <v>803</v>
      </c>
      <c r="AP54">
        <f t="shared" si="0"/>
        <v>39</v>
      </c>
      <c r="AQ54" t="s">
        <v>804</v>
      </c>
      <c r="AR54" t="s">
        <v>805</v>
      </c>
      <c r="AS54"/>
      <c r="AT54" t="s">
        <v>688</v>
      </c>
      <c r="AU54"/>
      <c r="AV54"/>
      <c r="AW54"/>
      <c r="AX54"/>
      <c r="AY54"/>
      <c r="AZ54" t="s">
        <v>806</v>
      </c>
      <c r="BA54" t="s">
        <v>807</v>
      </c>
      <c r="BB54"/>
      <c r="BC54"/>
      <c r="BD54"/>
      <c r="BE54"/>
      <c r="BF54"/>
      <c r="BG54"/>
      <c r="BH54"/>
      <c r="BI54"/>
      <c r="BJ54" t="s">
        <v>808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s="1" t="s">
        <v>892</v>
      </c>
    </row>
    <row r="55" spans="1:82" ht="12" customHeight="1" x14ac:dyDescent="0.25">
      <c r="A55" s="11" t="s">
        <v>270</v>
      </c>
      <c r="B55" s="11" t="s">
        <v>171</v>
      </c>
      <c r="C55" t="s">
        <v>259</v>
      </c>
      <c r="D55" t="s">
        <v>890</v>
      </c>
      <c r="E55" t="s">
        <v>259</v>
      </c>
      <c r="F55" t="s">
        <v>891</v>
      </c>
      <c r="G55" t="s">
        <v>259</v>
      </c>
      <c r="H55" t="s">
        <v>66</v>
      </c>
      <c r="I55"/>
      <c r="J55"/>
      <c r="K55"/>
      <c r="L55"/>
      <c r="M55"/>
      <c r="N55"/>
      <c r="O55"/>
      <c r="P55"/>
      <c r="Q55"/>
      <c r="R55">
        <v>111</v>
      </c>
      <c r="S55" t="s">
        <v>264</v>
      </c>
      <c r="T55" t="s">
        <v>363</v>
      </c>
      <c r="U55" t="s">
        <v>164</v>
      </c>
      <c r="V55" t="s">
        <v>164</v>
      </c>
      <c r="W55" t="s">
        <v>455</v>
      </c>
      <c r="X55" t="s">
        <v>164</v>
      </c>
      <c r="Y55" t="s">
        <v>458</v>
      </c>
      <c r="Z55" t="s">
        <v>459</v>
      </c>
      <c r="AA55" t="s">
        <v>221</v>
      </c>
      <c r="AB55" t="s">
        <v>221</v>
      </c>
      <c r="AC55" t="s">
        <v>221</v>
      </c>
      <c r="AD55" t="s">
        <v>234</v>
      </c>
      <c r="AE55"/>
      <c r="AF55"/>
      <c r="AG55"/>
      <c r="AH55"/>
      <c r="AI55"/>
      <c r="AJ55" t="s">
        <v>801</v>
      </c>
      <c r="AK55"/>
      <c r="AL55"/>
      <c r="AM55" t="s">
        <v>809</v>
      </c>
      <c r="AN55" t="s">
        <v>810</v>
      </c>
      <c r="AO55" t="s">
        <v>810</v>
      </c>
      <c r="AP55">
        <f t="shared" si="0"/>
        <v>40</v>
      </c>
      <c r="AQ55" t="s">
        <v>804</v>
      </c>
      <c r="AR55" t="s">
        <v>805</v>
      </c>
      <c r="AS55"/>
      <c r="AT55" t="s">
        <v>811</v>
      </c>
      <c r="AU55"/>
      <c r="AV55"/>
      <c r="AW55"/>
      <c r="AX55"/>
      <c r="AY55"/>
      <c r="AZ55" t="s">
        <v>806</v>
      </c>
      <c r="BA55" t="s">
        <v>807</v>
      </c>
      <c r="BB55"/>
      <c r="BC55"/>
      <c r="BD55"/>
      <c r="BE55"/>
      <c r="BF55"/>
      <c r="BG55"/>
      <c r="BH55"/>
      <c r="BI55"/>
      <c r="BJ55" t="s">
        <v>812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 s="1" t="s">
        <v>892</v>
      </c>
    </row>
    <row r="56" spans="1:82" ht="12" customHeight="1" x14ac:dyDescent="0.25">
      <c r="A56" s="11" t="s">
        <v>270</v>
      </c>
      <c r="B56" s="11" t="s">
        <v>171</v>
      </c>
      <c r="C56" t="s">
        <v>259</v>
      </c>
      <c r="D56" t="s">
        <v>888</v>
      </c>
      <c r="E56" t="s">
        <v>259</v>
      </c>
      <c r="F56" t="s">
        <v>891</v>
      </c>
      <c r="G56" t="s">
        <v>259</v>
      </c>
      <c r="H56" t="s">
        <v>66</v>
      </c>
      <c r="I56"/>
      <c r="J56"/>
      <c r="K56"/>
      <c r="L56"/>
      <c r="M56"/>
      <c r="N56"/>
      <c r="O56"/>
      <c r="P56"/>
      <c r="Q56"/>
      <c r="R56">
        <v>112</v>
      </c>
      <c r="S56" t="s">
        <v>233</v>
      </c>
      <c r="T56" t="s">
        <v>364</v>
      </c>
      <c r="U56" t="s">
        <v>285</v>
      </c>
      <c r="V56" t="s">
        <v>285</v>
      </c>
      <c r="W56" t="s">
        <v>460</v>
      </c>
      <c r="X56" t="s">
        <v>285</v>
      </c>
      <c r="Y56" t="s">
        <v>461</v>
      </c>
      <c r="Z56" t="s">
        <v>462</v>
      </c>
      <c r="AA56" t="s">
        <v>244</v>
      </c>
      <c r="AB56" t="s">
        <v>244</v>
      </c>
      <c r="AC56" t="s">
        <v>244</v>
      </c>
      <c r="AD56" t="s">
        <v>114</v>
      </c>
      <c r="AE56"/>
      <c r="AF56"/>
      <c r="AG56"/>
      <c r="AH56"/>
      <c r="AI56"/>
      <c r="AJ56" t="s">
        <v>813</v>
      </c>
      <c r="AK56"/>
      <c r="AL56"/>
      <c r="AM56" t="s">
        <v>244</v>
      </c>
      <c r="AN56" t="s">
        <v>814</v>
      </c>
      <c r="AO56" t="s">
        <v>814</v>
      </c>
      <c r="AP56">
        <f t="shared" si="0"/>
        <v>15</v>
      </c>
      <c r="AQ56" t="s">
        <v>588</v>
      </c>
      <c r="AR56" t="s">
        <v>815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t="s">
        <v>490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 s="1" t="s">
        <v>892</v>
      </c>
    </row>
    <row r="57" spans="1:82" ht="12" customHeight="1" x14ac:dyDescent="0.25">
      <c r="A57" s="11" t="s">
        <v>270</v>
      </c>
      <c r="B57" s="11" t="s">
        <v>171</v>
      </c>
      <c r="C57" t="s">
        <v>259</v>
      </c>
      <c r="D57" t="s">
        <v>889</v>
      </c>
      <c r="E57" t="s">
        <v>259</v>
      </c>
      <c r="F57" t="s">
        <v>891</v>
      </c>
      <c r="G57" t="s">
        <v>259</v>
      </c>
      <c r="H57" t="s">
        <v>66</v>
      </c>
      <c r="I57"/>
      <c r="J57"/>
      <c r="K57"/>
      <c r="L57"/>
      <c r="M57"/>
      <c r="N57"/>
      <c r="O57"/>
      <c r="P57"/>
      <c r="Q57"/>
      <c r="R57">
        <v>113</v>
      </c>
      <c r="S57" t="s">
        <v>55</v>
      </c>
      <c r="T57" t="s">
        <v>365</v>
      </c>
      <c r="U57" t="s">
        <v>200</v>
      </c>
      <c r="V57" t="s">
        <v>200</v>
      </c>
      <c r="W57" t="s">
        <v>463</v>
      </c>
      <c r="X57" t="s">
        <v>200</v>
      </c>
      <c r="Y57">
        <v>359207</v>
      </c>
      <c r="Z57" t="s">
        <v>464</v>
      </c>
      <c r="AA57" t="s">
        <v>153</v>
      </c>
      <c r="AB57" t="s">
        <v>153</v>
      </c>
      <c r="AC57" t="s">
        <v>153</v>
      </c>
      <c r="AD57" t="s">
        <v>286</v>
      </c>
      <c r="AE57"/>
      <c r="AF57"/>
      <c r="AG57"/>
      <c r="AH57" t="s">
        <v>341</v>
      </c>
      <c r="AI57" t="s">
        <v>9</v>
      </c>
      <c r="AJ57" t="s">
        <v>816</v>
      </c>
      <c r="AK57" t="s">
        <v>817</v>
      </c>
      <c r="AL57" t="s">
        <v>818</v>
      </c>
      <c r="AM57" s="14" t="s">
        <v>819</v>
      </c>
      <c r="AN57" t="s">
        <v>820</v>
      </c>
      <c r="AO57" t="s">
        <v>820</v>
      </c>
      <c r="AP57">
        <f t="shared" si="0"/>
        <v>52</v>
      </c>
      <c r="AQ57" t="s">
        <v>821</v>
      </c>
      <c r="AR57" t="s">
        <v>822</v>
      </c>
      <c r="AS57"/>
      <c r="AT57"/>
      <c r="AU57"/>
      <c r="AV57"/>
      <c r="AW57"/>
      <c r="AX57"/>
      <c r="AY57"/>
      <c r="AZ57"/>
      <c r="BA57" s="14" t="s">
        <v>823</v>
      </c>
      <c r="BB57"/>
      <c r="BC57"/>
      <c r="BD57"/>
      <c r="BE57" t="s">
        <v>726</v>
      </c>
      <c r="BF57"/>
      <c r="BG57" s="14" t="s">
        <v>515</v>
      </c>
      <c r="BH57"/>
      <c r="BI57"/>
      <c r="BJ57" t="s">
        <v>824</v>
      </c>
      <c r="BK57" t="s">
        <v>825</v>
      </c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 s="1" t="s">
        <v>892</v>
      </c>
    </row>
    <row r="58" spans="1:82" ht="12" customHeight="1" x14ac:dyDescent="0.25">
      <c r="A58" s="11" t="s">
        <v>270</v>
      </c>
      <c r="B58" s="11" t="s">
        <v>171</v>
      </c>
      <c r="C58" t="s">
        <v>259</v>
      </c>
      <c r="D58" t="s">
        <v>889</v>
      </c>
      <c r="E58" t="s">
        <v>259</v>
      </c>
      <c r="F58" t="s">
        <v>891</v>
      </c>
      <c r="G58" t="s">
        <v>259</v>
      </c>
      <c r="H58" t="s">
        <v>66</v>
      </c>
      <c r="I58"/>
      <c r="J58"/>
      <c r="K58"/>
      <c r="L58"/>
      <c r="M58"/>
      <c r="N58"/>
      <c r="O58"/>
      <c r="P58"/>
      <c r="Q58"/>
      <c r="R58">
        <v>114</v>
      </c>
      <c r="S58" t="s">
        <v>55</v>
      </c>
      <c r="T58" t="s">
        <v>365</v>
      </c>
      <c r="U58" t="s">
        <v>241</v>
      </c>
      <c r="V58" t="s">
        <v>241</v>
      </c>
      <c r="W58" t="s">
        <v>463</v>
      </c>
      <c r="X58" t="s">
        <v>241</v>
      </c>
      <c r="Y58">
        <v>355006</v>
      </c>
      <c r="Z58" t="s">
        <v>465</v>
      </c>
      <c r="AA58" t="s">
        <v>77</v>
      </c>
      <c r="AB58" t="s">
        <v>77</v>
      </c>
      <c r="AC58" t="s">
        <v>77</v>
      </c>
      <c r="AD58" t="s">
        <v>117</v>
      </c>
      <c r="AE58"/>
      <c r="AF58"/>
      <c r="AG58"/>
      <c r="AH58" t="s">
        <v>341</v>
      </c>
      <c r="AI58" t="s">
        <v>9</v>
      </c>
      <c r="AJ58" t="s">
        <v>826</v>
      </c>
      <c r="AK58"/>
      <c r="AL58"/>
      <c r="AM58" s="14" t="s">
        <v>827</v>
      </c>
      <c r="AN58" t="s">
        <v>828</v>
      </c>
      <c r="AO58" t="s">
        <v>828</v>
      </c>
      <c r="AP58">
        <f t="shared" si="0"/>
        <v>48</v>
      </c>
      <c r="AQ58" t="s">
        <v>673</v>
      </c>
      <c r="AR58" t="s">
        <v>829</v>
      </c>
      <c r="AS58" s="14" t="s">
        <v>830</v>
      </c>
      <c r="AT58"/>
      <c r="AU58"/>
      <c r="AV58"/>
      <c r="AW58"/>
      <c r="AX58"/>
      <c r="AY58"/>
      <c r="AZ58"/>
      <c r="BA58"/>
      <c r="BB58"/>
      <c r="BC58"/>
      <c r="BD58"/>
      <c r="BE58" t="s">
        <v>726</v>
      </c>
      <c r="BF58"/>
      <c r="BG58" s="14" t="s">
        <v>515</v>
      </c>
      <c r="BH58"/>
      <c r="BI58"/>
      <c r="BJ58" t="s">
        <v>831</v>
      </c>
      <c r="BK58" t="s">
        <v>832</v>
      </c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 s="1" t="s">
        <v>892</v>
      </c>
    </row>
    <row r="59" spans="1:82" ht="12" customHeight="1" x14ac:dyDescent="0.25">
      <c r="A59" s="11" t="s">
        <v>270</v>
      </c>
      <c r="B59" s="11" t="s">
        <v>171</v>
      </c>
      <c r="C59" t="s">
        <v>259</v>
      </c>
      <c r="D59" t="s">
        <v>889</v>
      </c>
      <c r="E59" t="s">
        <v>259</v>
      </c>
      <c r="F59" t="s">
        <v>891</v>
      </c>
      <c r="G59" t="s">
        <v>259</v>
      </c>
      <c r="H59" t="s">
        <v>66</v>
      </c>
      <c r="I59"/>
      <c r="J59"/>
      <c r="K59"/>
      <c r="L59"/>
      <c r="M59"/>
      <c r="N59"/>
      <c r="O59"/>
      <c r="P59"/>
      <c r="Q59"/>
      <c r="R59">
        <v>115</v>
      </c>
      <c r="S59" t="s">
        <v>55</v>
      </c>
      <c r="T59" t="s">
        <v>365</v>
      </c>
      <c r="U59" t="s">
        <v>25</v>
      </c>
      <c r="V59" t="s">
        <v>25</v>
      </c>
      <c r="W59" t="s">
        <v>463</v>
      </c>
      <c r="X59" t="s">
        <v>25</v>
      </c>
      <c r="Y59">
        <v>39443</v>
      </c>
      <c r="Z59" t="s">
        <v>466</v>
      </c>
      <c r="AA59" t="s">
        <v>191</v>
      </c>
      <c r="AB59" t="s">
        <v>191</v>
      </c>
      <c r="AC59" t="s">
        <v>191</v>
      </c>
      <c r="AD59" t="s">
        <v>304</v>
      </c>
      <c r="AE59"/>
      <c r="AF59"/>
      <c r="AG59"/>
      <c r="AH59" t="s">
        <v>341</v>
      </c>
      <c r="AI59" t="s">
        <v>9</v>
      </c>
      <c r="AJ59" t="s">
        <v>833</v>
      </c>
      <c r="AK59"/>
      <c r="AL59"/>
      <c r="AM59" s="14" t="s">
        <v>834</v>
      </c>
      <c r="AN59" t="s">
        <v>835</v>
      </c>
      <c r="AO59" t="s">
        <v>835</v>
      </c>
      <c r="AP59">
        <f t="shared" si="0"/>
        <v>44</v>
      </c>
      <c r="AQ59" s="14" t="s">
        <v>836</v>
      </c>
      <c r="AR59" t="s">
        <v>837</v>
      </c>
      <c r="AS59"/>
      <c r="AT59"/>
      <c r="AU59"/>
      <c r="AV59"/>
      <c r="AW59"/>
      <c r="AX59"/>
      <c r="AY59"/>
      <c r="AZ59"/>
      <c r="BA59"/>
      <c r="BB59"/>
      <c r="BC59"/>
      <c r="BD59"/>
      <c r="BE59" t="s">
        <v>726</v>
      </c>
      <c r="BF59"/>
      <c r="BG59" s="14" t="s">
        <v>515</v>
      </c>
      <c r="BH59"/>
      <c r="BI59"/>
      <c r="BJ59" t="s">
        <v>838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 s="1" t="s">
        <v>892</v>
      </c>
    </row>
    <row r="60" spans="1:82" ht="12" customHeight="1" x14ac:dyDescent="0.25">
      <c r="A60" s="11" t="s">
        <v>270</v>
      </c>
      <c r="B60" s="11" t="s">
        <v>171</v>
      </c>
      <c r="C60" t="s">
        <v>259</v>
      </c>
      <c r="D60" t="s">
        <v>889</v>
      </c>
      <c r="E60" t="s">
        <v>259</v>
      </c>
      <c r="F60" t="s">
        <v>891</v>
      </c>
      <c r="G60" t="s">
        <v>259</v>
      </c>
      <c r="H60" t="s">
        <v>66</v>
      </c>
      <c r="I60"/>
      <c r="J60"/>
      <c r="K60"/>
      <c r="L60"/>
      <c r="M60"/>
      <c r="N60"/>
      <c r="O60"/>
      <c r="P60"/>
      <c r="Q60"/>
      <c r="R60">
        <v>116</v>
      </c>
      <c r="S60" t="s">
        <v>55</v>
      </c>
      <c r="T60" t="s">
        <v>365</v>
      </c>
      <c r="U60" t="s">
        <v>209</v>
      </c>
      <c r="V60" t="s">
        <v>372</v>
      </c>
      <c r="W60" t="s">
        <v>463</v>
      </c>
      <c r="X60" t="s">
        <v>372</v>
      </c>
      <c r="Y60" s="13" t="s">
        <v>209</v>
      </c>
      <c r="Z60" t="s">
        <v>467</v>
      </c>
      <c r="AA60" t="s">
        <v>37</v>
      </c>
      <c r="AB60" t="s">
        <v>37</v>
      </c>
      <c r="AC60" t="s">
        <v>37</v>
      </c>
      <c r="AD60" t="s">
        <v>35</v>
      </c>
      <c r="AE60"/>
      <c r="AF60"/>
      <c r="AG60"/>
      <c r="AH60" t="s">
        <v>12</v>
      </c>
      <c r="AI60" t="s">
        <v>333</v>
      </c>
      <c r="AJ60" t="s">
        <v>839</v>
      </c>
      <c r="AK60" t="s">
        <v>12</v>
      </c>
      <c r="AL60" t="s">
        <v>840</v>
      </c>
      <c r="AM60" t="s">
        <v>841</v>
      </c>
      <c r="AN60" t="s">
        <v>842</v>
      </c>
      <c r="AO60" t="s">
        <v>842</v>
      </c>
      <c r="AP60">
        <f t="shared" si="0"/>
        <v>51</v>
      </c>
      <c r="AQ60" t="s">
        <v>642</v>
      </c>
      <c r="AR60" t="s">
        <v>843</v>
      </c>
      <c r="AS60"/>
      <c r="AT60"/>
      <c r="AU60"/>
      <c r="AV60"/>
      <c r="AW60"/>
      <c r="AX60"/>
      <c r="AY60"/>
      <c r="AZ60"/>
      <c r="BA60"/>
      <c r="BB60"/>
      <c r="BC60"/>
      <c r="BD60"/>
      <c r="BE60" t="s">
        <v>514</v>
      </c>
      <c r="BF60" t="s">
        <v>844</v>
      </c>
      <c r="BG60" s="14" t="s">
        <v>515</v>
      </c>
      <c r="BH60"/>
      <c r="BI60"/>
      <c r="BJ60" t="s">
        <v>845</v>
      </c>
      <c r="BK60">
        <v>142029</v>
      </c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 s="1" t="s">
        <v>892</v>
      </c>
    </row>
    <row r="61" spans="1:82" ht="12" customHeight="1" x14ac:dyDescent="0.25">
      <c r="A61" s="11" t="s">
        <v>270</v>
      </c>
      <c r="B61" s="11" t="s">
        <v>171</v>
      </c>
      <c r="C61" t="s">
        <v>259</v>
      </c>
      <c r="D61" t="s">
        <v>888</v>
      </c>
      <c r="E61" t="s">
        <v>259</v>
      </c>
      <c r="F61" t="s">
        <v>891</v>
      </c>
      <c r="G61" t="s">
        <v>259</v>
      </c>
      <c r="H61" t="s">
        <v>66</v>
      </c>
      <c r="I61"/>
      <c r="J61"/>
      <c r="K61"/>
      <c r="L61"/>
      <c r="M61"/>
      <c r="N61"/>
      <c r="O61"/>
      <c r="P61"/>
      <c r="Q61"/>
      <c r="R61">
        <v>411</v>
      </c>
      <c r="S61" t="s">
        <v>139</v>
      </c>
      <c r="T61" t="s">
        <v>139</v>
      </c>
      <c r="U61" t="s">
        <v>266</v>
      </c>
      <c r="V61" t="s">
        <v>266</v>
      </c>
      <c r="W61" t="s">
        <v>468</v>
      </c>
      <c r="X61" t="s">
        <v>266</v>
      </c>
      <c r="Y61" t="s">
        <v>266</v>
      </c>
      <c r="Z61" t="s">
        <v>469</v>
      </c>
      <c r="AA61" t="s">
        <v>161</v>
      </c>
      <c r="AB61" t="s">
        <v>161</v>
      </c>
      <c r="AC61" t="s">
        <v>161</v>
      </c>
      <c r="AD61" t="s">
        <v>19</v>
      </c>
      <c r="AE61"/>
      <c r="AF61"/>
      <c r="AG61"/>
      <c r="AH61"/>
      <c r="AI61" t="s">
        <v>156</v>
      </c>
      <c r="AJ61" t="s">
        <v>846</v>
      </c>
      <c r="AK61"/>
      <c r="AL61"/>
      <c r="AM61" t="s">
        <v>161</v>
      </c>
      <c r="AN61" t="s">
        <v>847</v>
      </c>
      <c r="AO61" t="s">
        <v>847</v>
      </c>
      <c r="AP61">
        <f t="shared" si="0"/>
        <v>35</v>
      </c>
      <c r="AQ61" t="s">
        <v>848</v>
      </c>
      <c r="AR61" t="s">
        <v>849</v>
      </c>
      <c r="AS61"/>
      <c r="AT61"/>
      <c r="AU61"/>
      <c r="AV61"/>
      <c r="AW61"/>
      <c r="AX61"/>
      <c r="AY61"/>
      <c r="AZ61"/>
      <c r="BA61" s="14" t="s">
        <v>850</v>
      </c>
      <c r="BB61"/>
      <c r="BC61"/>
      <c r="BD61"/>
      <c r="BE61"/>
      <c r="BF61" s="14" t="s">
        <v>156</v>
      </c>
      <c r="BG61"/>
      <c r="BH61"/>
      <c r="BI61"/>
      <c r="BJ61" t="s">
        <v>490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s="1" t="s">
        <v>892</v>
      </c>
    </row>
    <row r="62" spans="1:82" ht="12" customHeight="1" x14ac:dyDescent="0.25">
      <c r="A62" s="11" t="s">
        <v>270</v>
      </c>
      <c r="B62" s="11" t="s">
        <v>171</v>
      </c>
      <c r="C62" t="s">
        <v>259</v>
      </c>
      <c r="D62" t="s">
        <v>889</v>
      </c>
      <c r="E62" t="s">
        <v>259</v>
      </c>
      <c r="F62" t="s">
        <v>891</v>
      </c>
      <c r="G62" t="s">
        <v>259</v>
      </c>
      <c r="H62" t="s">
        <v>66</v>
      </c>
      <c r="I62"/>
      <c r="J62"/>
      <c r="K62"/>
      <c r="L62"/>
      <c r="M62"/>
      <c r="N62"/>
      <c r="O62"/>
      <c r="P62"/>
      <c r="Q62"/>
      <c r="R62">
        <v>412</v>
      </c>
      <c r="S62" t="s">
        <v>250</v>
      </c>
      <c r="T62" t="s">
        <v>366</v>
      </c>
      <c r="U62" t="s">
        <v>216</v>
      </c>
      <c r="V62">
        <v>1012911</v>
      </c>
      <c r="W62" t="s">
        <v>470</v>
      </c>
      <c r="X62">
        <v>1012911</v>
      </c>
      <c r="Y62">
        <v>1012911</v>
      </c>
      <c r="Z62" t="s">
        <v>471</v>
      </c>
      <c r="AA62" t="s">
        <v>121</v>
      </c>
      <c r="AB62" t="s">
        <v>121</v>
      </c>
      <c r="AC62" t="s">
        <v>121</v>
      </c>
      <c r="AD62" t="s">
        <v>136</v>
      </c>
      <c r="AE62"/>
      <c r="AF62"/>
      <c r="AG62"/>
      <c r="AH62" t="s">
        <v>101</v>
      </c>
      <c r="AI62"/>
      <c r="AJ62" t="s">
        <v>851</v>
      </c>
      <c r="AK62" t="s">
        <v>101</v>
      </c>
      <c r="AL62" t="s">
        <v>852</v>
      </c>
      <c r="AM62" s="14" t="s">
        <v>853</v>
      </c>
      <c r="AN62" t="s">
        <v>854</v>
      </c>
      <c r="AO62" t="s">
        <v>854</v>
      </c>
      <c r="AP62">
        <f t="shared" si="0"/>
        <v>87</v>
      </c>
      <c r="AQ62" t="s">
        <v>569</v>
      </c>
      <c r="AR62" t="s">
        <v>855</v>
      </c>
      <c r="AS62" s="14" t="s">
        <v>856</v>
      </c>
      <c r="AT62"/>
      <c r="AU62"/>
      <c r="AV62"/>
      <c r="AW62"/>
      <c r="AX62"/>
      <c r="AY62"/>
      <c r="AZ62"/>
      <c r="BA62" s="14" t="s">
        <v>857</v>
      </c>
      <c r="BB62"/>
      <c r="BC62"/>
      <c r="BD62" s="14" t="s">
        <v>858</v>
      </c>
      <c r="BE62" t="s">
        <v>726</v>
      </c>
      <c r="BF62"/>
      <c r="BG62" s="14" t="s">
        <v>515</v>
      </c>
      <c r="BH62"/>
      <c r="BI62"/>
      <c r="BJ62" t="s">
        <v>859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 s="1" t="s">
        <v>892</v>
      </c>
    </row>
    <row r="63" spans="1:82" ht="12" customHeight="1" x14ac:dyDescent="0.25">
      <c r="A63" s="11" t="s">
        <v>270</v>
      </c>
      <c r="B63" s="11" t="s">
        <v>171</v>
      </c>
      <c r="C63" t="s">
        <v>259</v>
      </c>
      <c r="D63" t="s">
        <v>889</v>
      </c>
      <c r="E63" t="s">
        <v>259</v>
      </c>
      <c r="F63" t="s">
        <v>891</v>
      </c>
      <c r="G63" t="s">
        <v>259</v>
      </c>
      <c r="H63" t="s">
        <v>66</v>
      </c>
      <c r="I63"/>
      <c r="J63"/>
      <c r="K63"/>
      <c r="L63"/>
      <c r="M63"/>
      <c r="N63"/>
      <c r="O63"/>
      <c r="P63"/>
      <c r="Q63"/>
      <c r="R63">
        <v>413</v>
      </c>
      <c r="S63" t="s">
        <v>250</v>
      </c>
      <c r="T63" t="s">
        <v>367</v>
      </c>
      <c r="U63" t="s">
        <v>145</v>
      </c>
      <c r="V63" t="s">
        <v>373</v>
      </c>
      <c r="W63" t="s">
        <v>472</v>
      </c>
      <c r="X63" t="s">
        <v>373</v>
      </c>
      <c r="Y63" t="s">
        <v>473</v>
      </c>
      <c r="Z63" t="s">
        <v>474</v>
      </c>
      <c r="AA63" t="s">
        <v>14</v>
      </c>
      <c r="AB63" t="s">
        <v>14</v>
      </c>
      <c r="AC63" t="s">
        <v>14</v>
      </c>
      <c r="AD63"/>
      <c r="AE63"/>
      <c r="AF63"/>
      <c r="AG63"/>
      <c r="AH63"/>
      <c r="AI63"/>
      <c r="AJ63" t="s">
        <v>860</v>
      </c>
      <c r="AK63"/>
      <c r="AL63"/>
      <c r="AM63" s="14" t="s">
        <v>861</v>
      </c>
      <c r="AN63" t="s">
        <v>862</v>
      </c>
      <c r="AO63" t="s">
        <v>862</v>
      </c>
      <c r="AP63">
        <f t="shared" si="0"/>
        <v>101</v>
      </c>
      <c r="AQ63" t="s">
        <v>642</v>
      </c>
      <c r="AR63" t="s">
        <v>863</v>
      </c>
      <c r="AS63"/>
      <c r="AT63"/>
      <c r="AU63"/>
      <c r="AV63"/>
      <c r="AW63"/>
      <c r="AX63"/>
      <c r="AY63"/>
      <c r="AZ63"/>
      <c r="BA63" s="14" t="s">
        <v>864</v>
      </c>
      <c r="BB63"/>
      <c r="BC63"/>
      <c r="BD63"/>
      <c r="BE63"/>
      <c r="BF63"/>
      <c r="BG63" s="14" t="s">
        <v>515</v>
      </c>
      <c r="BH63"/>
      <c r="BI63"/>
      <c r="BJ63" t="s">
        <v>865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 s="1" t="s">
        <v>892</v>
      </c>
    </row>
    <row r="64" spans="1:82" ht="12" customHeight="1" x14ac:dyDescent="0.25">
      <c r="A64" s="11" t="s">
        <v>270</v>
      </c>
      <c r="B64" s="11" t="s">
        <v>171</v>
      </c>
      <c r="C64" t="s">
        <v>259</v>
      </c>
      <c r="D64" t="s">
        <v>888</v>
      </c>
      <c r="E64" t="s">
        <v>259</v>
      </c>
      <c r="F64" t="s">
        <v>891</v>
      </c>
      <c r="G64" t="s">
        <v>259</v>
      </c>
      <c r="H64" t="s">
        <v>66</v>
      </c>
      <c r="I64"/>
      <c r="J64"/>
      <c r="K64"/>
      <c r="L64"/>
      <c r="M64"/>
      <c r="N64"/>
      <c r="O64"/>
      <c r="P64"/>
      <c r="Q64"/>
      <c r="R64">
        <v>414</v>
      </c>
      <c r="S64" t="s">
        <v>250</v>
      </c>
      <c r="T64" t="s">
        <v>250</v>
      </c>
      <c r="U64" t="s">
        <v>271</v>
      </c>
      <c r="V64" t="s">
        <v>271</v>
      </c>
      <c r="W64" t="s">
        <v>475</v>
      </c>
      <c r="X64" t="s">
        <v>271</v>
      </c>
      <c r="Y64" t="s">
        <v>271</v>
      </c>
      <c r="Z64" t="s">
        <v>476</v>
      </c>
      <c r="AA64" t="s">
        <v>18</v>
      </c>
      <c r="AB64" t="s">
        <v>18</v>
      </c>
      <c r="AC64" t="s">
        <v>18</v>
      </c>
      <c r="AD64"/>
      <c r="AE64"/>
      <c r="AF64"/>
      <c r="AG64"/>
      <c r="AH64"/>
      <c r="AI64"/>
      <c r="AJ64" t="s">
        <v>866</v>
      </c>
      <c r="AK64"/>
      <c r="AL64"/>
      <c r="AM64" t="s">
        <v>18</v>
      </c>
      <c r="AN64" t="s">
        <v>867</v>
      </c>
      <c r="AO64" t="s">
        <v>867</v>
      </c>
      <c r="AP64">
        <f t="shared" si="0"/>
        <v>24</v>
      </c>
      <c r="AQ64" t="s">
        <v>868</v>
      </c>
      <c r="AR64" t="s">
        <v>869</v>
      </c>
      <c r="AS64"/>
      <c r="AT64" t="s">
        <v>870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t="s">
        <v>490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 s="1" t="s">
        <v>892</v>
      </c>
    </row>
    <row r="65" spans="1:82" ht="12" customHeight="1" x14ac:dyDescent="0.25">
      <c r="A65" s="11" t="s">
        <v>270</v>
      </c>
      <c r="B65" s="11" t="s">
        <v>171</v>
      </c>
      <c r="C65" t="s">
        <v>259</v>
      </c>
      <c r="D65" t="s">
        <v>889</v>
      </c>
      <c r="E65" t="s">
        <v>259</v>
      </c>
      <c r="F65" t="s">
        <v>891</v>
      </c>
      <c r="G65" t="s">
        <v>259</v>
      </c>
      <c r="H65" t="s">
        <v>66</v>
      </c>
      <c r="I65"/>
      <c r="J65"/>
      <c r="K65"/>
      <c r="L65"/>
      <c r="M65"/>
      <c r="N65"/>
      <c r="O65"/>
      <c r="P65"/>
      <c r="Q65"/>
      <c r="R65">
        <v>415</v>
      </c>
      <c r="S65" t="s">
        <v>250</v>
      </c>
      <c r="T65" t="s">
        <v>367</v>
      </c>
      <c r="U65" t="s">
        <v>34</v>
      </c>
      <c r="V65" t="s">
        <v>34</v>
      </c>
      <c r="W65" t="s">
        <v>472</v>
      </c>
      <c r="X65" t="s">
        <v>34</v>
      </c>
      <c r="Y65" s="13" t="s">
        <v>477</v>
      </c>
      <c r="Z65" t="s">
        <v>478</v>
      </c>
      <c r="AA65" t="s">
        <v>120</v>
      </c>
      <c r="AB65" t="s">
        <v>120</v>
      </c>
      <c r="AC65" t="s">
        <v>120</v>
      </c>
      <c r="AD65"/>
      <c r="AE65"/>
      <c r="AF65"/>
      <c r="AG65"/>
      <c r="AH65"/>
      <c r="AI65"/>
      <c r="AJ65" t="s">
        <v>871</v>
      </c>
      <c r="AK65"/>
      <c r="AL65"/>
      <c r="AM65" s="14" t="s">
        <v>872</v>
      </c>
      <c r="AN65" t="s">
        <v>873</v>
      </c>
      <c r="AO65" t="s">
        <v>873</v>
      </c>
      <c r="AP65">
        <f t="shared" si="0"/>
        <v>73</v>
      </c>
      <c r="AQ65" t="s">
        <v>874</v>
      </c>
      <c r="AR65" t="s">
        <v>488</v>
      </c>
      <c r="AS65" s="14" t="s">
        <v>875</v>
      </c>
      <c r="AT65"/>
      <c r="AU65" s="14" t="s">
        <v>876</v>
      </c>
      <c r="AV65"/>
      <c r="AW65" t="s">
        <v>877</v>
      </c>
      <c r="AX65"/>
      <c r="AY65"/>
      <c r="AZ65"/>
      <c r="BA65" s="14" t="s">
        <v>878</v>
      </c>
      <c r="BB65" s="14" t="s">
        <v>725</v>
      </c>
      <c r="BC65"/>
      <c r="BD65"/>
      <c r="BE65"/>
      <c r="BF65"/>
      <c r="BG65"/>
      <c r="BH65"/>
      <c r="BI65"/>
      <c r="BJ65" t="s">
        <v>879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s="1" t="s">
        <v>892</v>
      </c>
    </row>
    <row r="66" spans="1:82" ht="12" customHeight="1" x14ac:dyDescent="0.25">
      <c r="A66" s="11" t="s">
        <v>270</v>
      </c>
      <c r="B66" s="11" t="s">
        <v>171</v>
      </c>
      <c r="C66" t="s">
        <v>259</v>
      </c>
      <c r="D66" t="s">
        <v>888</v>
      </c>
      <c r="E66" t="s">
        <v>259</v>
      </c>
      <c r="F66" t="s">
        <v>891</v>
      </c>
      <c r="G66" t="s">
        <v>259</v>
      </c>
      <c r="H66" t="s">
        <v>66</v>
      </c>
      <c r="I66"/>
      <c r="J66"/>
      <c r="K66"/>
      <c r="L66"/>
      <c r="M66"/>
      <c r="N66"/>
      <c r="O66"/>
      <c r="P66"/>
      <c r="Q66"/>
      <c r="R66">
        <v>416</v>
      </c>
      <c r="S66" t="s">
        <v>250</v>
      </c>
      <c r="T66" t="s">
        <v>250</v>
      </c>
      <c r="U66" t="s">
        <v>218</v>
      </c>
      <c r="V66" t="s">
        <v>218</v>
      </c>
      <c r="W66" t="s">
        <v>475</v>
      </c>
      <c r="X66" t="s">
        <v>218</v>
      </c>
      <c r="Y66" t="s">
        <v>479</v>
      </c>
      <c r="Z66" t="s">
        <v>480</v>
      </c>
      <c r="AA66" t="s">
        <v>147</v>
      </c>
      <c r="AB66" t="s">
        <v>147</v>
      </c>
      <c r="AC66" t="s">
        <v>147</v>
      </c>
      <c r="AD66"/>
      <c r="AE66"/>
      <c r="AF66"/>
      <c r="AG66"/>
      <c r="AH66" t="s">
        <v>47</v>
      </c>
      <c r="AI66"/>
      <c r="AJ66" t="s">
        <v>880</v>
      </c>
      <c r="AK66" t="s">
        <v>47</v>
      </c>
      <c r="AL66" t="s">
        <v>881</v>
      </c>
      <c r="AM66" t="s">
        <v>147</v>
      </c>
      <c r="AN66" t="s">
        <v>882</v>
      </c>
      <c r="AO66" t="s">
        <v>882</v>
      </c>
      <c r="AP66">
        <f t="shared" si="0"/>
        <v>32</v>
      </c>
      <c r="AQ66" t="s">
        <v>548</v>
      </c>
      <c r="AR66" t="s">
        <v>883</v>
      </c>
      <c r="AS66"/>
      <c r="AT66"/>
      <c r="AU66"/>
      <c r="AV66"/>
      <c r="AW66"/>
      <c r="AX66"/>
      <c r="AY66"/>
      <c r="AZ66"/>
      <c r="BA66" s="14" t="s">
        <v>884</v>
      </c>
      <c r="BB66"/>
      <c r="BC66"/>
      <c r="BD66"/>
      <c r="BE66"/>
      <c r="BF66"/>
      <c r="BG66"/>
      <c r="BH66"/>
      <c r="BI66"/>
      <c r="BJ66" t="s">
        <v>490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 s="1" t="s">
        <v>892</v>
      </c>
    </row>
    <row r="67" spans="1:82" ht="12" customHeight="1" x14ac:dyDescent="0.25">
      <c r="A67" s="11" t="s">
        <v>270</v>
      </c>
      <c r="B67" s="11" t="s">
        <v>171</v>
      </c>
      <c r="C67" t="s">
        <v>259</v>
      </c>
      <c r="D67" t="s">
        <v>888</v>
      </c>
      <c r="E67" t="s">
        <v>259</v>
      </c>
      <c r="F67" t="s">
        <v>891</v>
      </c>
      <c r="G67" t="s">
        <v>259</v>
      </c>
      <c r="H67" t="s">
        <v>66</v>
      </c>
      <c r="I67"/>
      <c r="J67"/>
      <c r="K67"/>
      <c r="L67"/>
      <c r="M67"/>
      <c r="N67"/>
      <c r="O67"/>
      <c r="P67"/>
      <c r="Q67"/>
      <c r="R67">
        <v>417</v>
      </c>
      <c r="S67" t="s">
        <v>250</v>
      </c>
      <c r="T67" t="s">
        <v>250</v>
      </c>
      <c r="U67" t="s">
        <v>258</v>
      </c>
      <c r="V67" t="s">
        <v>258</v>
      </c>
      <c r="W67" t="s">
        <v>475</v>
      </c>
      <c r="X67" t="s">
        <v>258</v>
      </c>
      <c r="Y67" s="13" t="s">
        <v>481</v>
      </c>
      <c r="Z67" t="s">
        <v>482</v>
      </c>
      <c r="AA67" t="s">
        <v>122</v>
      </c>
      <c r="AB67" t="s">
        <v>122</v>
      </c>
      <c r="AC67" t="s">
        <v>122</v>
      </c>
      <c r="AD67"/>
      <c r="AE67"/>
      <c r="AF67"/>
      <c r="AG67"/>
      <c r="AH67"/>
      <c r="AI67"/>
      <c r="AJ67" t="s">
        <v>880</v>
      </c>
      <c r="AK67" t="s">
        <v>47</v>
      </c>
      <c r="AL67" t="s">
        <v>881</v>
      </c>
      <c r="AM67" t="s">
        <v>122</v>
      </c>
      <c r="AN67" t="s">
        <v>885</v>
      </c>
      <c r="AO67" t="s">
        <v>885</v>
      </c>
      <c r="AP67">
        <f t="shared" ref="AP67:AP68" si="1">LEN(SUBSTITUTE(AO67, ", "," "))</f>
        <v>29</v>
      </c>
      <c r="AQ67" t="s">
        <v>645</v>
      </c>
      <c r="AR67" t="s">
        <v>886</v>
      </c>
      <c r="AS67"/>
      <c r="AT67" t="s">
        <v>688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t="s">
        <v>490</v>
      </c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 s="1" t="s">
        <v>892</v>
      </c>
    </row>
    <row r="68" spans="1:82" ht="12" customHeight="1" x14ac:dyDescent="0.25">
      <c r="A68" s="11" t="s">
        <v>270</v>
      </c>
      <c r="B68" s="11" t="s">
        <v>171</v>
      </c>
      <c r="C68" t="s">
        <v>259</v>
      </c>
      <c r="D68" t="s">
        <v>888</v>
      </c>
      <c r="E68" t="s">
        <v>259</v>
      </c>
      <c r="F68" t="s">
        <v>891</v>
      </c>
      <c r="G68" t="s">
        <v>259</v>
      </c>
      <c r="H68" t="s">
        <v>66</v>
      </c>
      <c r="I68"/>
      <c r="J68"/>
      <c r="K68"/>
      <c r="L68"/>
      <c r="M68"/>
      <c r="N68"/>
      <c r="O68"/>
      <c r="P68"/>
      <c r="Q68"/>
      <c r="R68">
        <v>418</v>
      </c>
      <c r="S68" t="s">
        <v>250</v>
      </c>
      <c r="T68" t="s">
        <v>250</v>
      </c>
      <c r="U68" t="s">
        <v>293</v>
      </c>
      <c r="V68" t="s">
        <v>293</v>
      </c>
      <c r="W68" t="s">
        <v>475</v>
      </c>
      <c r="X68" t="s">
        <v>293</v>
      </c>
      <c r="Y68" s="13" t="s">
        <v>483</v>
      </c>
      <c r="Z68" t="s">
        <v>484</v>
      </c>
      <c r="AA68" t="s">
        <v>94</v>
      </c>
      <c r="AB68" t="s">
        <v>94</v>
      </c>
      <c r="AC68" t="s">
        <v>94</v>
      </c>
      <c r="AD68"/>
      <c r="AE68"/>
      <c r="AF68"/>
      <c r="AG68"/>
      <c r="AH68"/>
      <c r="AI68"/>
      <c r="AJ68" t="s">
        <v>880</v>
      </c>
      <c r="AK68" t="s">
        <v>47</v>
      </c>
      <c r="AL68" t="s">
        <v>881</v>
      </c>
      <c r="AM68" t="s">
        <v>94</v>
      </c>
      <c r="AN68" t="s">
        <v>887</v>
      </c>
      <c r="AO68" t="s">
        <v>887</v>
      </c>
      <c r="AP68">
        <f t="shared" si="1"/>
        <v>29</v>
      </c>
      <c r="AQ68" t="s">
        <v>645</v>
      </c>
      <c r="AR68" t="s">
        <v>886</v>
      </c>
      <c r="AS68"/>
      <c r="AT68" t="s">
        <v>658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t="s">
        <v>490</v>
      </c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 s="1" t="s">
        <v>892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2023-05-18T12:59:05Z</dcterms:modified>
  <cp:category/>
</cp:coreProperties>
</file>