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Sheet1!$A$1:$CG$23</definedName>
  </definedNames>
  <calcPr calcId="145621"/>
  <webPublishing codePage="0"/>
</workbook>
</file>

<file path=xl/calcChain.xml><?xml version="1.0" encoding="utf-8"?>
<calcChain xmlns="http://schemas.openxmlformats.org/spreadsheetml/2006/main">
  <c r="AU23" i="1" l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<sst xmlns="http://schemas.openxmlformats.org/spreadsheetml/2006/main" count="1207" uniqueCount="602">
  <si>
    <t>558255</t>
  </si>
  <si>
    <t>15326813</t>
  </si>
  <si>
    <t>DRAPE EQUIP C-ARM ELITE CFD</t>
  </si>
  <si>
    <t>MESH HERNIA CIRCLE 4.5 IN WITH ECHO 2 POSITIONING SYSTEM POLYPROPYLENE VENTRALIGHT ST</t>
  </si>
  <si>
    <t>Sterile</t>
  </si>
  <si>
    <t>5990011</t>
  </si>
  <si>
    <t>MICRAVR2SYSTEM</t>
  </si>
  <si>
    <t>MEDLINE INDUSTRIES INC</t>
  </si>
  <si>
    <t>102456</t>
  </si>
  <si>
    <t>KIT PERFUS ANGIOVAC C180</t>
  </si>
  <si>
    <t>ITEM</t>
  </si>
  <si>
    <t>GLOVE EXAM POWDER FREE SMALL CUFFED CHEMOTHERAPY PURPLE STERILE NITRILEXTRA LATEXFREE</t>
  </si>
  <si>
    <t>BSMH_SIZE</t>
  </si>
  <si>
    <t>ABBOTT VASCULAR</t>
  </si>
  <si>
    <t>C1781</t>
  </si>
  <si>
    <t>BrandName1</t>
  </si>
  <si>
    <t>VG0108</t>
  </si>
  <si>
    <t>38353299</t>
  </si>
  <si>
    <t>333933</t>
  </si>
  <si>
    <t>TOWEL OR XRAY BLUE</t>
  </si>
  <si>
    <t>True Metrix Blood Glucose Level 1 Control Ea</t>
  </si>
  <si>
    <t>BAXTER BIOSCIENCE</t>
  </si>
  <si>
    <t>Location</t>
  </si>
  <si>
    <t>102469</t>
  </si>
  <si>
    <t>ANGIODYNAMICS INC</t>
  </si>
  <si>
    <t>GLOVE EXAM POWDER FREE LARGE TEXTURED FINGER TIP CUFFED PAIRS PURPLE STERILE NITRILEXTRA LATEXFREE</t>
  </si>
  <si>
    <t>GLOVE PRPNTLX CHEMO SM 12IN</t>
  </si>
  <si>
    <t>14261</t>
  </si>
  <si>
    <t>14260</t>
  </si>
  <si>
    <t>ASIS Description (Long  Desc 4000)</t>
  </si>
  <si>
    <t>Material</t>
  </si>
  <si>
    <t>40926272</t>
  </si>
  <si>
    <t>MANUF-DIVISION</t>
  </si>
  <si>
    <t>DE Code</t>
  </si>
  <si>
    <t>RefCat</t>
  </si>
  <si>
    <t>TOWEL SURGICAL 26X17 IN XRAY DETECTABLE MASTER TAG WITH LOOP OR BLUE STERILE STRYKER O. R. TOWELS  MASTERTAGGED 17IN X 26IN</t>
  </si>
  <si>
    <t>BSMH_AGE</t>
  </si>
  <si>
    <t>Job No</t>
  </si>
  <si>
    <t>Short Desc 30</t>
  </si>
  <si>
    <t>MICRO-TECH ENDOSCOPY</t>
  </si>
  <si>
    <t>Disposable</t>
  </si>
  <si>
    <t>Remarks</t>
  </si>
  <si>
    <t>PrimaryDimension(IDXODXWXHXDXTHKXL)</t>
  </si>
  <si>
    <t>CONTROL LEV 1 BLOOD GLUCOSE</t>
  </si>
  <si>
    <t>US5088</t>
  </si>
  <si>
    <t>SYSTEM PP SGL MICRA AV2</t>
  </si>
  <si>
    <t>OM</t>
  </si>
  <si>
    <t>552772</t>
  </si>
  <si>
    <t>US5087</t>
  </si>
  <si>
    <t>VEN-ITEM</t>
  </si>
  <si>
    <t>Description Duplicate</t>
  </si>
  <si>
    <t>13318081</t>
  </si>
  <si>
    <t>37310882</t>
  </si>
  <si>
    <t>GLOVE PRPNTLX CHEMO MED 12IN</t>
  </si>
  <si>
    <t>42294993</t>
  </si>
  <si>
    <t>Classification Remarks</t>
  </si>
  <si>
    <t>UNSPSC v24.0301</t>
  </si>
  <si>
    <t>Long Description Creation | UNSPSC Classification</t>
  </si>
  <si>
    <t>BSMH Long 254 Desc</t>
  </si>
  <si>
    <t>BARD DAVOL</t>
  </si>
  <si>
    <t>SL62521</t>
  </si>
  <si>
    <t>HOOD ENDSCP SHORT DH-28GR</t>
  </si>
  <si>
    <t>Latex</t>
  </si>
  <si>
    <t>CATHETER ANGIOPLASTY L135CM BALLOON L80MM DIA4MM GUIDEWIRE 0.018IN SHEATH 4FR RATED BURST PRESSURE 14ATM LOWER EXTREMITY OVER THE WIRE LOW PROFILE SEMI COMPLIANT NON SCORED FG STERLING</t>
  </si>
  <si>
    <t>URL</t>
  </si>
  <si>
    <t>42222201</t>
  </si>
  <si>
    <t>ROI - CSC ONLY</t>
  </si>
  <si>
    <t>US5062</t>
  </si>
  <si>
    <t>42132203</t>
  </si>
  <si>
    <t>BSMH_Volume/Weight</t>
  </si>
  <si>
    <t>42295406</t>
  </si>
  <si>
    <t>HALYARD O &amp; M</t>
  </si>
  <si>
    <t>SYSTEM LAPAROSCOPIC ALEXIS MEDIUM 18 CM 59</t>
  </si>
  <si>
    <t>HCPCS Description</t>
  </si>
  <si>
    <t>GE HEALTHCARE</t>
  </si>
  <si>
    <t>16426426</t>
  </si>
  <si>
    <t>Accepted Date</t>
  </si>
  <si>
    <t>2013132</t>
  </si>
  <si>
    <t>GLOVE PRPNTLX CHEMO LG 12IN</t>
  </si>
  <si>
    <t>M00515220</t>
  </si>
  <si>
    <t>LongDescription</t>
  </si>
  <si>
    <t>Production User</t>
  </si>
  <si>
    <t>CANNULA INTRAVENOUS DRAINAGE 180 DEGREE WITH DILATOR ANGIOVAC</t>
  </si>
  <si>
    <t>Volume/Weight</t>
  </si>
  <si>
    <t>MEDTRONIC USA INC</t>
  </si>
  <si>
    <t>GE HEALTHCARE OEC</t>
  </si>
  <si>
    <t>R5H01-1</t>
  </si>
  <si>
    <t>42295513</t>
  </si>
  <si>
    <t>54053</t>
  </si>
  <si>
    <t>BOSTON SCIENTIFIC CORP</t>
  </si>
  <si>
    <t>015-Diff138-22</t>
  </si>
  <si>
    <t>Start Date</t>
  </si>
  <si>
    <t>102463</t>
  </si>
  <si>
    <t>1254036</t>
  </si>
  <si>
    <t>Ref#</t>
  </si>
  <si>
    <t>SlNo</t>
  </si>
  <si>
    <t>MANUF-NBR</t>
  </si>
  <si>
    <t>14262</t>
  </si>
  <si>
    <t>VENTRALIGHT ST MESH WITH ECHO 2 POSITIONING SYSTEM</t>
  </si>
  <si>
    <t>MICRO-TECH ENDOSCOPY USA INC</t>
  </si>
  <si>
    <t>1984766</t>
  </si>
  <si>
    <t>QE Comments</t>
  </si>
  <si>
    <t>PDG</t>
  </si>
  <si>
    <t>PATCH CV VASCU-GUARD .8 X..8CM</t>
  </si>
  <si>
    <t>HALYARD</t>
  </si>
  <si>
    <t>ProdigoReferenceID</t>
  </si>
  <si>
    <t>505014</t>
  </si>
  <si>
    <t>BLUEBOOST</t>
  </si>
  <si>
    <t>MEDTRONIC</t>
  </si>
  <si>
    <t/>
  </si>
  <si>
    <t>CONTROL LEV 3 BLOOD GLUCOSE</t>
  </si>
  <si>
    <t>1358586</t>
  </si>
  <si>
    <t>Corrected By</t>
  </si>
  <si>
    <t>Verified MFR Num</t>
  </si>
  <si>
    <t>SYSTEM PP DC MICRA AV2</t>
  </si>
  <si>
    <t>Len</t>
  </si>
  <si>
    <t>Quality A/R</t>
  </si>
  <si>
    <t>GLOVE EXAM POWDER FREE MEDIUM TEXTURED FINGER TIP CUFFED PAIRS PURPLE STERILE NITRILEXTRA LATEXFREE NITRILE XTRA LATEX FINGERTIP</t>
  </si>
  <si>
    <t>SE Code</t>
  </si>
  <si>
    <t>AGENT LIFTING 10 ML SUBMUCOSAL INJECTABLE STERILE BLUEBOOST DISPOSABLE SOLUTION</t>
  </si>
  <si>
    <t>True Metrix Blood Glucose Level 3 Control Ea</t>
  </si>
  <si>
    <t>COREDX</t>
  </si>
  <si>
    <t>0613-160-050</t>
  </si>
  <si>
    <t>BOSTON SCIENTIFIC</t>
  </si>
  <si>
    <t>Modifier</t>
  </si>
  <si>
    <t>1254034</t>
  </si>
  <si>
    <t>H74939032402010</t>
  </si>
  <si>
    <t>OXYGENATOR INFANT AMG PMP</t>
  </si>
  <si>
    <t>40926276</t>
  </si>
  <si>
    <t>Ref</t>
  </si>
  <si>
    <t>ABBOTT</t>
  </si>
  <si>
    <t>MANUF-CODE</t>
  </si>
  <si>
    <t>42203405</t>
  </si>
  <si>
    <t>10457714</t>
  </si>
  <si>
    <t>TOWEL SURGICAL 26X17 IN XRAY DETECTABLE MASTER TAG WITH LOOP OR BLUE STERILE</t>
  </si>
  <si>
    <t>BSMH_SecondaryDimension(IDXODXLXWXHXDXTHK)</t>
  </si>
  <si>
    <t>BSMH_Material</t>
  </si>
  <si>
    <t>102455</t>
  </si>
  <si>
    <t>Secondary Dimension(IDXODXWXHXDXTHKXL)</t>
  </si>
  <si>
    <t>333075</t>
  </si>
  <si>
    <t>ITEMMAST#DESCRIPTION</t>
  </si>
  <si>
    <t>102454</t>
  </si>
  <si>
    <t>STRYKER MEDICAL INSTRUM (ACI)</t>
  </si>
  <si>
    <t>BSMH_Adjective</t>
  </si>
  <si>
    <t>5845455</t>
  </si>
  <si>
    <t>APPLIED MEDICAL</t>
  </si>
  <si>
    <t>102461</t>
  </si>
  <si>
    <t>Sort Comment</t>
  </si>
  <si>
    <t>54049</t>
  </si>
  <si>
    <t>TRIVIDIA HEALTH INC</t>
  </si>
  <si>
    <t>FORCEP ENDOSCOPIC BIOPSY MINI 1.2 MM 130 CM PULMONARY FOR ENDOBRONCHIAL ULTRASOUND STERILE COREDX LATEXFREE DISPOSABLE MINIFORCEPS</t>
  </si>
  <si>
    <t>BSMH_PrimaryDimension(IDXODXLXWXHXDXTHK)</t>
  </si>
  <si>
    <t>Packaging Comment</t>
  </si>
  <si>
    <t>SYSTEM LAPAROSCOPIC ALEXIS MEDIUM 18 CM 59 CM</t>
  </si>
  <si>
    <t>13606960</t>
  </si>
  <si>
    <t>31811780</t>
  </si>
  <si>
    <t>OXYGENATOR ADULT AMG PMP</t>
  </si>
  <si>
    <t>102462</t>
  </si>
  <si>
    <t>1000430</t>
  </si>
  <si>
    <t>FORCEP ENDOSCOPIC BIOPSY MINI 1.2 MM 130 CM PULMONARY FOR ENDOBRONCHIAL ULTRASOUND STERILE COREDX LATEXFREE DISPOSABLE</t>
  </si>
  <si>
    <t>Activities</t>
  </si>
  <si>
    <t>QE Code</t>
  </si>
  <si>
    <t>NITRILEXTRA</t>
  </si>
  <si>
    <t>AIRWY LRYNGL SIZE 5 ADLT</t>
  </si>
  <si>
    <t>OXYGENATOR PEDS AMG PMP</t>
  </si>
  <si>
    <t>102471</t>
  </si>
  <si>
    <t>102457</t>
  </si>
  <si>
    <t>1001860</t>
  </si>
  <si>
    <t>102467</t>
  </si>
  <si>
    <t>Conc</t>
  </si>
  <si>
    <t>1028868</t>
  </si>
  <si>
    <t>Customer Code</t>
  </si>
  <si>
    <t>102459</t>
  </si>
  <si>
    <t>40926274</t>
  </si>
  <si>
    <t>SOL INJECT BLUEBOOST 10ML</t>
  </si>
  <si>
    <t>Size</t>
  </si>
  <si>
    <t>Orlando Long 300 Desc</t>
  </si>
  <si>
    <t>Status</t>
  </si>
  <si>
    <t>ANGIODYNAMICS</t>
  </si>
  <si>
    <t>102458</t>
  </si>
  <si>
    <t>504001</t>
  </si>
  <si>
    <t>102468</t>
  </si>
  <si>
    <t>Verified MFR Name</t>
  </si>
  <si>
    <t>CLEAR TRANSPARENT ST HOOD SHORT TYPE 5 PER PACK</t>
  </si>
  <si>
    <t>SZ 5 DISP SOFT MASK LARYNGEAL PVC</t>
  </si>
  <si>
    <t>1043528</t>
  </si>
  <si>
    <t>FORCEP BX PULM 130CMX1.22MM</t>
  </si>
  <si>
    <t>BSMH_Modifier</t>
  </si>
  <si>
    <t>CATH STERLING OTW 4/80/135</t>
  </si>
  <si>
    <t>FUJIFILMS HEALTHCARE AMERICAS</t>
  </si>
  <si>
    <t>1010921</t>
  </si>
  <si>
    <t>GLOVE EXAM POWDER FREE LARGE TEXTURED FINGER TIP CUFFED PAIRS PURPLE STERILE NITRILEXTRA LATEXFREE NITRILE XTRA LATEX FINGERTIP</t>
  </si>
  <si>
    <t>Color</t>
  </si>
  <si>
    <t>500875</t>
  </si>
  <si>
    <t>STRYKER INSTRUMENTS</t>
  </si>
  <si>
    <t>DAVOL INC</t>
  </si>
  <si>
    <t>159165</t>
  </si>
  <si>
    <t>MESH HERNIA VENTRALIGHT 11CM</t>
  </si>
  <si>
    <t>DYND300050S</t>
  </si>
  <si>
    <t>BSMH_Brandname</t>
  </si>
  <si>
    <t>500876</t>
  </si>
  <si>
    <t>GLOVE EXAM POWDER FREE MEDIUM TEXTURED FINGER TIP CUFFED PAIRS PURPLE STERILE NITRILEXTRA LATEXFREE</t>
  </si>
  <si>
    <t>HCPCS</t>
  </si>
  <si>
    <t>574513</t>
  </si>
  <si>
    <t>42271902</t>
  </si>
  <si>
    <t>3877427</t>
  </si>
  <si>
    <t>BSMH_NOUN</t>
  </si>
  <si>
    <t>GlobalUNSPSC</t>
  </si>
  <si>
    <t>102460</t>
  </si>
  <si>
    <t>VENDOR</t>
  </si>
  <si>
    <t>1008299</t>
  </si>
  <si>
    <t>BSMH_Location</t>
  </si>
  <si>
    <t>R5H01-3</t>
  </si>
  <si>
    <t>AGENT LIFTING 10 ML SUBMUCOSAL INJECTABLE STERILE BLUEBOOST DISPOSABLE</t>
  </si>
  <si>
    <t>40926275</t>
  </si>
  <si>
    <t>102464</t>
  </si>
  <si>
    <t>42294908</t>
  </si>
  <si>
    <t>BrandName</t>
  </si>
  <si>
    <t>DVOL</t>
  </si>
  <si>
    <t>102465</t>
  </si>
  <si>
    <t>H965251940</t>
  </si>
  <si>
    <t>HENRY SCHEIN INC</t>
  </si>
  <si>
    <t>A4649</t>
  </si>
  <si>
    <t>BSMH_Gender</t>
  </si>
  <si>
    <t>Noun</t>
  </si>
  <si>
    <t>GLOVEEXAMNITRILESTERILEPURPLES</t>
  </si>
  <si>
    <t>1035728</t>
  </si>
  <si>
    <t>RefName</t>
  </si>
  <si>
    <t>APVENMAST#VENDOR-VNAME</t>
  </si>
  <si>
    <t>Final</t>
  </si>
  <si>
    <t>102470</t>
  </si>
  <si>
    <t>102466</t>
  </si>
  <si>
    <t>38277617</t>
  </si>
  <si>
    <t>CATHETER ANGIOPLASTY L135CM BALLOON L20MM DIA4MM GUIDEWIRE 0.018IN SHEATH 4FR RATED BURST PRESSURE 14ATM LOWER EXTREMITY OVER THE WIRE LOW PROFILE SEMI COMPLIANT NON SCORED FG STERLING</t>
  </si>
  <si>
    <t>CATH STERLING OTW 4/20/135</t>
  </si>
  <si>
    <t>41116215</t>
  </si>
  <si>
    <t>FUJIFILM MEDICAL SYSTEMS USA</t>
  </si>
  <si>
    <t>HCPCS1</t>
  </si>
  <si>
    <t>40926273</t>
  </si>
  <si>
    <t>Short Desc</t>
  </si>
  <si>
    <t>15600362</t>
  </si>
  <si>
    <t>A4930</t>
  </si>
  <si>
    <t>Property</t>
  </si>
  <si>
    <t>CND</t>
  </si>
  <si>
    <t>BSMH_Property</t>
  </si>
  <si>
    <t>MICRAAV2SYSTEM</t>
  </si>
  <si>
    <t>ANGIOVAC</t>
  </si>
  <si>
    <t>ShortDescription</t>
  </si>
  <si>
    <t>CE Comments</t>
  </si>
  <si>
    <t>1032583</t>
  </si>
  <si>
    <t>15311339</t>
  </si>
  <si>
    <t>Potential Duplicate</t>
  </si>
  <si>
    <t>1991348</t>
  </si>
  <si>
    <t>Production Comments</t>
  </si>
  <si>
    <t>Miscellaneous</t>
  </si>
  <si>
    <t>39149358</t>
  </si>
  <si>
    <t>APPLIED MEDICAL DISTRIBUTION</t>
  </si>
  <si>
    <t>C8502</t>
  </si>
  <si>
    <t>BSMH_Packaging for drugs and solutions</t>
  </si>
  <si>
    <t>MEDLINE INDUSTRIES</t>
  </si>
  <si>
    <t>42296339</t>
  </si>
  <si>
    <t>1136339</t>
  </si>
  <si>
    <t>STERLING</t>
  </si>
  <si>
    <t>Potential / Duplicate Across Consolidated</t>
  </si>
  <si>
    <t>SE Comments</t>
  </si>
  <si>
    <t>H74939032408010</t>
  </si>
  <si>
    <t>PTA BALLOON DILATATION CATHETER</t>
  </si>
  <si>
    <t>9691261</t>
  </si>
  <si>
    <t>SHEATH ENDO MED 18CM 5-9CM</t>
  </si>
  <si>
    <t>C1725</t>
  </si>
  <si>
    <t>SOURCED</t>
  </si>
  <si>
    <t>THIRD PARTY</t>
  </si>
  <si>
    <t>OK</t>
  </si>
  <si>
    <t>ABBOTT CARDIOVASCULAR INC</t>
  </si>
  <si>
    <t>MEDTRONIC INC</t>
  </si>
  <si>
    <t>APPLIED MEDICAL RESOURCES CORP</t>
  </si>
  <si>
    <t>BAXTER INTERNATIONAL INC</t>
  </si>
  <si>
    <t>STRYKER CORP</t>
  </si>
  <si>
    <t>HALYARD HEALTH</t>
  </si>
  <si>
    <t>FUJIFILM MEDICAL SYSTEMS USA INC</t>
  </si>
  <si>
    <t>ABBOTT_US5088</t>
  </si>
  <si>
    <t>MEDTRONIC_MICRAVR2SYSTEM</t>
  </si>
  <si>
    <t>TRIVIDIA</t>
  </si>
  <si>
    <t>R5H011</t>
  </si>
  <si>
    <t>TRIVIDIA_R5H011</t>
  </si>
  <si>
    <t>GE</t>
  </si>
  <si>
    <t>GE_5845455</t>
  </si>
  <si>
    <t>MEDLINE</t>
  </si>
  <si>
    <t>MEDLINE_DYND300050S</t>
  </si>
  <si>
    <t>APPLIED MEDICAL_C8502</t>
  </si>
  <si>
    <t>BAXTER</t>
  </si>
  <si>
    <t>BAXTER_VG0108</t>
  </si>
  <si>
    <t>STRYKER</t>
  </si>
  <si>
    <t>0613160050</t>
  </si>
  <si>
    <t>STRYKER_0613160050</t>
  </si>
  <si>
    <t>BOSTON</t>
  </si>
  <si>
    <t>BOSTON_1522</t>
  </si>
  <si>
    <t>MEDTRONIC_MICRAAV2SYSTEM</t>
  </si>
  <si>
    <t>HALYARD_14261</t>
  </si>
  <si>
    <t>ABBOTT_US5062</t>
  </si>
  <si>
    <t>BOSTON_3903240801</t>
  </si>
  <si>
    <t>BARD</t>
  </si>
  <si>
    <t>BARD_5990011</t>
  </si>
  <si>
    <t>HALYARD_14262</t>
  </si>
  <si>
    <t>HALYARD_14260</t>
  </si>
  <si>
    <t>MICRO-TECH</t>
  </si>
  <si>
    <t>MICRO-TECH_SL62521</t>
  </si>
  <si>
    <t>ABBOTT_US5087</t>
  </si>
  <si>
    <t>R5H013</t>
  </si>
  <si>
    <t>TRIVIDIA_R5H013</t>
  </si>
  <si>
    <t>ANGIODYNAMICS_25194</t>
  </si>
  <si>
    <t>BOSTON_3903240201</t>
  </si>
  <si>
    <t>FUJI</t>
  </si>
  <si>
    <t>FUJI_16426426</t>
  </si>
  <si>
    <t>42294713  Perfusion oxygenators</t>
  </si>
  <si>
    <t>AMG PMP Infant Oxygenator</t>
  </si>
  <si>
    <t>OXYGENATOR, PERFUSION, INFANT, INTEGRATED ARTERIAL AND VENOUS LUER PORT, POLYMETHYLPENTENE, STERILE, AMG, LATEX</t>
  </si>
  <si>
    <t>OXYGENATOR, PERFUSION, AMG, INFANT, POLYMETHYLPENTENE, INTEGRATED ARTERIAL AND VENOUS LUER PORT, STERILE, LATEX</t>
  </si>
  <si>
    <t>OXGNTR, PERFUS, AMG, INFANT, POLYMETHYLPENTENE, INTEGRATED ARTAL AND VENOUS LUER PORT</t>
  </si>
  <si>
    <t>OXYGENATOR, PERFUS, AMG, INFANT</t>
  </si>
  <si>
    <t>OXYGENATOR</t>
  </si>
  <si>
    <t>PERFUSION</t>
  </si>
  <si>
    <t>AMG</t>
  </si>
  <si>
    <t>INFANT</t>
  </si>
  <si>
    <t>POLYMETHYLPENTENE</t>
  </si>
  <si>
    <t>INTEGRATED ARTERIAL AND VENOUS LUER PORT</t>
  </si>
  <si>
    <t>STERILE</t>
  </si>
  <si>
    <t>LATEX</t>
  </si>
  <si>
    <t>https://www.cardiovascular.abbott/content/dam/bss/divisionalsites/cv/hcp/products/heart-failure/centrimag/documents/hf-centrimag-amg-pmp-infant-oxygenator-spec-sheet.pdf</t>
  </si>
  <si>
    <t>42203501  Cardiac pacemaker generators or cardiac resynchronization therapy pacemakers CRT-P</t>
  </si>
  <si>
    <t>C1786</t>
  </si>
  <si>
    <t>PACEMAKER, SINGLE CHAMBER, RATE-RESPONSIVE (IMPLANTABLE)</t>
  </si>
  <si>
    <t>Micra VR2 leadless pacemaker</t>
  </si>
  <si>
    <t>PACEMAKER, CARDIAC, LEADLESS, 0.8 CC, 1.75 GM, SINGLE CHAMBER, STERILE, MICRA VR2, LATEX</t>
  </si>
  <si>
    <t>PACEMAKER, CARDIAC, MICRA VR2, 0.8ML, 1.75GM, LEADLESS, SINGLE CHAMBER, STERILE, LATEX</t>
  </si>
  <si>
    <t>PP, CARD, MICRA VR2, 0.8ML, 1.75GM, LEADLESS, SGL CHMBR, STRL, LTX</t>
  </si>
  <si>
    <t>PACEMAKER, CARD, VR, 0.8ML, 1.75GM</t>
  </si>
  <si>
    <t>PACEMAKER</t>
  </si>
  <si>
    <t>CARDIAC</t>
  </si>
  <si>
    <t>MICRA VR2</t>
  </si>
  <si>
    <t>LEADLESS</t>
  </si>
  <si>
    <t>0.8ML, 1.75GM</t>
  </si>
  <si>
    <t>0.8 CC, 1.75 GM</t>
  </si>
  <si>
    <t>LEADLESS, SINGLE CHAMBER</t>
  </si>
  <si>
    <t>SINGLE CHAMBER</t>
  </si>
  <si>
    <t>SYSTEM</t>
  </si>
  <si>
    <t>https://www.medtronic.com/us-en/healthcare-professionals/products/cardiac-rhythm/pacemakers/micra-vr2.html, https://accessgudid.nlm.nih.gov/devices/00763000078683</t>
  </si>
  <si>
    <t>41116107  Chemistry quality controls or calibrators or standards</t>
  </si>
  <si>
    <t>CONTROL, CHEMISTRY, BLOOD GLUCOSE, LEVEL 1, TRUE METRIX</t>
  </si>
  <si>
    <t>CONTROL, CHEMISTRY, TRUE METRIX, BLOOD GLUCOSE, LEVEL 1</t>
  </si>
  <si>
    <t>CNTRL, CHEM, TRUE METRIX, BLOOD GLUCOSE, LVL1</t>
  </si>
  <si>
    <t>CONTROL, CHEM, TRUE METRIX, LVL1</t>
  </si>
  <si>
    <t>CONTROL</t>
  </si>
  <si>
    <t>CHEMISTRY</t>
  </si>
  <si>
    <t>TRUE METRIX</t>
  </si>
  <si>
    <t>BLOOD GLUCOSE</t>
  </si>
  <si>
    <t>LEVEL 1</t>
  </si>
  <si>
    <t>https://www.henryschein.com/us-en/Shopping/ProductDetails.aspx?productid=1254034&amp;cdivId=specialmarkets_d&amp;name=True%20Metrix%20Control%20Blood%20Glucose%20Level%201%20Ea&amp;ShowProductCompare=true&amp;FullPageMode=true</t>
  </si>
  <si>
    <t>42295415  Surgical equipment covers</t>
  </si>
  <si>
    <t>C-arm pack Flat panel plate protector X-ray tube footswitch cover.</t>
  </si>
  <si>
    <t>DRAPE, EQUIPMENT, C-ARM, PACK, FLAT PANEL PLATE PROTECTOR, X-RAY TUBE, FOOTSWITCH COVER, ELITE CFD</t>
  </si>
  <si>
    <t>DRAPE, EQUIPMENT, ELITE CFD, C-ARM, PACK, FLAT PANEL PLATE PROTECTOR, X-RAY TUBE, FOOTSWITCH COVER</t>
  </si>
  <si>
    <t>DRAPE, EQUIP, ELITE CFD, C-ARM, PK, FLAT PANEL PLT PROTECTOR, X-RAY TUBE, FOOTSWITCH CVR</t>
  </si>
  <si>
    <t>DRAPE, EQUIP, ELITE CFD, C-ARM, PK</t>
  </si>
  <si>
    <t>DRAPE</t>
  </si>
  <si>
    <t>EQUIPMENT</t>
  </si>
  <si>
    <t>ELITE CFD</t>
  </si>
  <si>
    <t>C-ARM</t>
  </si>
  <si>
    <t>C-ARM, PACK, FLAT PANEL PLATE PROTECTOR, X-RAY TUBE, FOOTSWITCH COVER</t>
  </si>
  <si>
    <t>PACK, FLAT PANEL PLATE PROTECTOR, X-RAY TUBE, FOOTSWITCH COVER</t>
  </si>
  <si>
    <t>https://services.gehealthcare.com/gehcstorefront/p/5845455</t>
  </si>
  <si>
    <t>42271730  Laryngeal mask airway (LMA)</t>
  </si>
  <si>
    <t>Flexible Laryngeal Mask Airway PVC Disposable Size 5</t>
  </si>
  <si>
    <t>AIRWAY, MASK, LARYNGEAL, 5, ADULT, FLEXIBLE, SOFT, PVC, LATEX-FREE, DISPOSABLE</t>
  </si>
  <si>
    <t>AIRWAY, MASK, 5, ADULT, PVC, LARYNGEAL, FLEXIBLE, SOFT, LATEX FREE, DISPOSABLE</t>
  </si>
  <si>
    <t>AIRWY, MASK, 5, ADLT, PVC, LRYNGL, FLXB, SOFT, LTXFREE, DISP</t>
  </si>
  <si>
    <t>AIRWAY, MASK, 5, ADLT, PVC, LRYNGL</t>
  </si>
  <si>
    <t>AIRWAY</t>
  </si>
  <si>
    <t>MASK</t>
  </si>
  <si>
    <t>LARYNGEAL</t>
  </si>
  <si>
    <t>5, ADULT</t>
  </si>
  <si>
    <t>ADULT</t>
  </si>
  <si>
    <t>PVC</t>
  </si>
  <si>
    <t>FLEXIBLE, SOFT</t>
  </si>
  <si>
    <t>LATEX FREE</t>
  </si>
  <si>
    <t>DISPOSABLE</t>
  </si>
  <si>
    <t>https://punchout.medline.com/sku/item/MDPDYND300050S;ecomsessionid=UhmFSezbyt1MngAofb8_QcpV4F5feyG3DPqaSnhn.OCC02-b2b?skuIndex=S9&amp;question=&amp;flowType=&amp;indexCount=</t>
  </si>
  <si>
    <t>42294978  Endoscopic trocar or sheath or obturator or cannula</t>
  </si>
  <si>
    <t>A4270</t>
  </si>
  <si>
    <t>DISPOSABLE ENDOSCOPE SHEATH, EACH</t>
  </si>
  <si>
    <t>Alexis Laparoscopic System  Medium 18cm 5-9cm</t>
  </si>
  <si>
    <t>SHEATH, ENDOSCOPIC, MEDIUM, 18 CM, 5-9 CM, LAPAROSCOPIC SYSTEM, STERILE, ALEXIS, LATEX-FREE</t>
  </si>
  <si>
    <t>SHEATH, ENDOSCOPIC, ALEXIS, MEDIUM, 18CM, 5-9CM, LAPAROSCOPIC SYSTEM, STERILE, LATEX FREE</t>
  </si>
  <si>
    <t>SHTH, ENDO, ALEXIS, MED, 18CM, 5-9CM, LPRSCPC SYS, STRL, LTXFREE</t>
  </si>
  <si>
    <t>SHEATH, ENDO, MED, 18CM, 5-9CM</t>
  </si>
  <si>
    <t>SHEATH</t>
  </si>
  <si>
    <t>ENDOSCOPIC</t>
  </si>
  <si>
    <t>ALEXIS</t>
  </si>
  <si>
    <t>MEDIUM</t>
  </si>
  <si>
    <t>18CM</t>
  </si>
  <si>
    <t>18 CM</t>
  </si>
  <si>
    <t>5-9CM</t>
  </si>
  <si>
    <t>5-9 CM</t>
  </si>
  <si>
    <t>LAPAROSCOPIC SYSTEM</t>
  </si>
  <si>
    <t>https://www.appliedmedical.eu/Content/Resources/AlexisFamily/278699-EN-EURrevA.pdf, https://accessgudid.nlm.nih.gov/devices/00607915119935</t>
  </si>
  <si>
    <t>42296006  Vascular grafts</t>
  </si>
  <si>
    <t>C1768</t>
  </si>
  <si>
    <t>GRAFT, VASCULAR</t>
  </si>
  <si>
    <t>VASCU-GUARD Patch 0.8X0.8CM TAPERED END</t>
  </si>
  <si>
    <t>PATCH, CARDIOVASCULAR, TAPERED END, 8X0.8 CM, BOVINE PERICARDIUM, GLUTARALDEHYDE, STERILE, VASCU-GUARD, LATEX</t>
  </si>
  <si>
    <t>PATCH, CARDIOVASCULAR, VASCU-GUARD, 0.8X8CM, BOVINE PERICARDIUM, GLUTARALDEHYDE, TAPERED END, STERILE, LATEX</t>
  </si>
  <si>
    <t>PATCH, CV, VASCU-GUARD, 0.8X8CM, BOVINE PERICARD, GLUTARALDEHYDE, TPRD END, STRL, LTX</t>
  </si>
  <si>
    <t>PATCH, CV, VASCU-GUARD, 0.8X8CM</t>
  </si>
  <si>
    <t>PATCH</t>
  </si>
  <si>
    <t>CARDIOVASCULAR</t>
  </si>
  <si>
    <t>VASCU-GUARD</t>
  </si>
  <si>
    <t>TAPERED END</t>
  </si>
  <si>
    <t>0.8X8CM</t>
  </si>
  <si>
    <t>8X0.8 CM</t>
  </si>
  <si>
    <t>BOVINE PERICARDIUM, GLUTARALDEHYDE</t>
  </si>
  <si>
    <t>https://advancedsurgery.baxter.com/sites/g/files/ebysai3136/files/2019-01/USMP-MG98-15-0004%281%29a%20Tissue%20Guard%20Family%20Brochure%20FINAL%20022018.pdf, https://accessgudid.nlm.nih.gov/devices/00085412818498</t>
  </si>
  <si>
    <t>42295406  Laparotomy or surgical x ray detectable sponge or towel</t>
  </si>
  <si>
    <t>O. R. Towels - Master-Tagged X-ray Detectable O. R. Towels Blue 17 x 26</t>
  </si>
  <si>
    <t>TOWEL, SURGICAL, OPERATING ROOM, 26X17 IN, MASTER-TAGGED, X-RAY DETECTABLE, WITH LOOP, BLUE, STERILE, LATEX-FREE, DISPOSABLE</t>
  </si>
  <si>
    <t>TOWEL, SURGICAL, 17X26IN, BLUE, OPERATING ROOM, MASTER-TAGGED, X-RAY DETECTABLE, WITH LOOP, STERILE, LATEX FREE, DISPOSABLE</t>
  </si>
  <si>
    <t>TOWEL, SURG, 17X26IN, BLUE, OPERATING ROOM, MASTER-TAGGED, X-RAY DETECTABLE, W/ LOOP, STRL, LTXFREE, DISP</t>
  </si>
  <si>
    <t>TOWEL, SURG, 17X26IN, BLUE, LOOP</t>
  </si>
  <si>
    <t>TOWEL</t>
  </si>
  <si>
    <t>SURGICAL</t>
  </si>
  <si>
    <t>OPERATING ROOM</t>
  </si>
  <si>
    <t>17X26IN</t>
  </si>
  <si>
    <t>26X17 IN</t>
  </si>
  <si>
    <t>BLUE</t>
  </si>
  <si>
    <t>OPERATING ROOM, MASTER-TAGGED, X-RAY DETECTABLE, WITH LOOP</t>
  </si>
  <si>
    <t>MASTER-TAGGED, X-RAY DETECTABLE, WITH LOOP</t>
  </si>
  <si>
    <t>https://www.graylinemedical.com/products/stryker-o-r-towels-master-tagged-x-ray-detectable-o-r-towels-blue-17-x-26-0613-160-050</t>
  </si>
  <si>
    <t>42294908  Endoscopic clamp or dissector or grasper or forceps</t>
  </si>
  <si>
    <t>Pulmonary Mini-Forceps 1.2mm 130cm</t>
  </si>
  <si>
    <t>FORCEP, ENDOSCOPIC, BIOPSY, MINI, 130 CM, 1.2 MM, PULMONARY, FOR ENDOBRONCHIAL ULTRASOUND, STERILE, COREDX, LATEX-FREE, DISPOSABLE</t>
  </si>
  <si>
    <t>FORCEP, ENDOSCOPIC, COREDX, MINI, 130CM, 1.2MM, PULMONARY, BIOPSY, FOR ENDOBRONCHIAL ULTRASOUND, STERILE, LATEX FREE, DISPOSABLE</t>
  </si>
  <si>
    <t>FORCEP, ENDO, COREDX, MNI, 130CM, 1.2MM, PULM, BIOPSY, FOR ENDBR ULTRSND, STRL, LTXFREE, DISP</t>
  </si>
  <si>
    <t>FORCEP, ENDO, MNI, 130CM, 1.2MM</t>
  </si>
  <si>
    <t>FORCEP</t>
  </si>
  <si>
    <t>BIOPSY</t>
  </si>
  <si>
    <t>MINI</t>
  </si>
  <si>
    <t>130CM</t>
  </si>
  <si>
    <t>130 CM</t>
  </si>
  <si>
    <t>1.2MM</t>
  </si>
  <si>
    <t>1.2 MM</t>
  </si>
  <si>
    <t>PULMONARY</t>
  </si>
  <si>
    <t>BIOPSY, FOR ENDOBRONCHIAL ULTRASOUND</t>
  </si>
  <si>
    <t>FOR ENDOBRONCHIAL ULTRASOUND</t>
  </si>
  <si>
    <t>https://www.bostonscientific.com/en-US/products/forceps/coredx-pulmonary-mini-forceps.html</t>
  </si>
  <si>
    <t>C1785</t>
  </si>
  <si>
    <t>PACEMAKER, DUAL CHAMBER, RATE-RESPONSIVE (IMPLANTABLE)</t>
  </si>
  <si>
    <t>Micra AV2 leadless pacemaker</t>
  </si>
  <si>
    <t>PACEMAKER, CARDIAC, LEADLESS, 0.8 CC, 1.75 GM, DUAL CHAMBER, STERILE, MICRA AV2, LATEX</t>
  </si>
  <si>
    <t>PACEMAKER, CARDIAC, MICRA AV2, 0.8ML, 1.75GM, LEADLESS, DUAL CHAMBER, STERILE, LATEX</t>
  </si>
  <si>
    <t>PP, CARD, MICRA AV2, 0.8ML, 1.75GM, LEADLESS, DUAL CHMBR, STRL, LTX</t>
  </si>
  <si>
    <t>PACEMAKER, CARD, AV, 0.8ML, 1.75GM</t>
  </si>
  <si>
    <t>MICRA AV2</t>
  </si>
  <si>
    <t>LEADLESS, DUAL CHAMBER</t>
  </si>
  <si>
    <t>DUAL CHAMBER</t>
  </si>
  <si>
    <t>https://www.medtronic.com/us-en/healthcare-professionals/products/cardiac-rhythm/pacemakers/micra-av2.html, https://accessgudid.nlm.nih.gov/devices/00763000078645</t>
  </si>
  <si>
    <t>42132203  Medical exam or non surgical procedure gloves</t>
  </si>
  <si>
    <t>GLOVES, STERILE, PER PAIR</t>
  </si>
  <si>
    <t>PURPLE NITRILE-XTRA Exam Glove Medium</t>
  </si>
  <si>
    <t>GLOVE, EXAM, POWDER FREE, MEDIUM, 12 IN, CHEMOTHERAPY, TEXTURED FINGER TIP, CUFFED, PAIR, NITRILE, PURPLE, STERILE, NITRILE-XTRA, LATEX-FREE</t>
  </si>
  <si>
    <t>GLOVE, EXAM, NITRILE-XTRA, MEDIUM, 12IN, NITRILE, PURPLE, POWDER FREE, CHEMOTHERAPY, TEXTURED FINGER TIP, CUFFED, PAIR, STERILE, LATEX FREE</t>
  </si>
  <si>
    <t>GLV, EXAM, NITRILE-XTRA, MED, 12IN, NITRILE, PRPL, PWDR FREE, CHEMOTHERAPY, TEXTURED FINGER TIP, CUFFED, PAIR, STRL, LTXFREE</t>
  </si>
  <si>
    <t>GLOVE, EXAM, NTRLEXT, MED, 12IN</t>
  </si>
  <si>
    <t>GLOVE</t>
  </si>
  <si>
    <t>EXAM</t>
  </si>
  <si>
    <t>NITRILE-XTRA</t>
  </si>
  <si>
    <t>POWDER FREE</t>
  </si>
  <si>
    <t>12IN</t>
  </si>
  <si>
    <t>12 IN</t>
  </si>
  <si>
    <t>NITRILE</t>
  </si>
  <si>
    <t>PURPLE</t>
  </si>
  <si>
    <t>POWDER FREE, CHEMOTHERAPY, TEXTURED FINGER TIP, CUFFED, PAIR</t>
  </si>
  <si>
    <t>CHEMOTHERAPY, TEXTURED FINGER TIP, CUFFED, PAIR</t>
  </si>
  <si>
    <t>https://products.halyardhealth.com/personal-protection-1/medical-exam-gloves/nitrile/purple-nitrile-xtra-exam-glove.html</t>
  </si>
  <si>
    <t>AMG PMP Adult Oxygenator</t>
  </si>
  <si>
    <t>OXYGENATOR, PERFUSION, ADULT, INTEGRATED ARTERIAL AND VENOUS LUER PORT, POLYMETHYLPENTENE, STERILE, AMG, LATEX</t>
  </si>
  <si>
    <t>OXYGENATOR, PERFUSION, AMG, ADULT, POLYMETHYLPENTENE, INTEGRATED ARTERIAL AND VENOUS LUER PORT, STERILE, LATEX</t>
  </si>
  <si>
    <t>OXGNTR, PERFUS, AMG, ADLT, POLYMETHYLPENTENE, INTEGRATED ARTAL AND VENOUS LUER PORT, STRL, LTX</t>
  </si>
  <si>
    <t>OXYGENATOR, PERFUS, AMG, ADLT, LTX</t>
  </si>
  <si>
    <t>https://www.cardiovascular.abbott/content/dam/bss/divisionalsites/cv/pdf/guides/oxygenator-spec-sheet.pdf, https://accessgudid.nlm.nih.gov/devices/08034013782020</t>
  </si>
  <si>
    <t>42203405  Angioplasty balloon catheters</t>
  </si>
  <si>
    <t>CATHETER, TRANSLUMINAL ANGIOPLASTY, NON-LASER (MAY INCLUDE GUIDANCE, INFUSION/PERFUSION CAPABILITY)</t>
  </si>
  <si>
    <t>Sterling OTW Balloon Catheter 4 x 80 x 135</t>
  </si>
  <si>
    <t>CATHETER, ANGIOPLASTY, OVER THE WIRE, 0.018 IN, 14 ATM, 4 FRX135 CM, 4X80 MM, LOW PROFILE, SEMI COMPLIANT, NON SCORED, STERILE, STERLING, LATEX</t>
  </si>
  <si>
    <t>CATHETER, ANGIOPLASTY, STERLING, 0.018IN, 14ATM, 4FRX135CM, 4X80MM, OVER THE WIRE, LOW PROFILE, SEMI COMPLIANT, NON SCORED, STERILE, LATEX</t>
  </si>
  <si>
    <t>CATH, DIL, STRLNG, 0.018IN, 14ATM, 4FRX135CM, 4X80MM, OTW, LO PROF, SEMI COMPLIANT, NON SCORED, STRL, LTX</t>
  </si>
  <si>
    <t>CATH, DIL, 4FRX135CM, 4X80MM</t>
  </si>
  <si>
    <t>CATHETER</t>
  </si>
  <si>
    <t>ANGIOPLASTY</t>
  </si>
  <si>
    <t>OVER THE WIRE</t>
  </si>
  <si>
    <t>0.018IN, 14ATM</t>
  </si>
  <si>
    <t>0.018 IN, 14 ATM</t>
  </si>
  <si>
    <t>4FRX135CM</t>
  </si>
  <si>
    <t>4 FRX135 CM</t>
  </si>
  <si>
    <t>4X80MM</t>
  </si>
  <si>
    <t>4X80 MM</t>
  </si>
  <si>
    <t>OVER THE WIRE, LOW PROFILE, SEMI COMPLIANT, NON SCORED</t>
  </si>
  <si>
    <t>LOW PROFILE, SEMI COMPLIANT, NON SCORED</t>
  </si>
  <si>
    <t>https://www.bostonscientific.com/content/dam/bostonscientific/pi/portfolio-group/catheter-balloon/PI-210406-AA_Sterling_UPN_Brochure_FINAL.pdf, https://accessgudid.nlm.nih.gov/devices/08714729123668</t>
  </si>
  <si>
    <t>42295513  Surgical mesh or tissue barriers</t>
  </si>
  <si>
    <t>MESH (IMPLANTABLE)</t>
  </si>
  <si>
    <t>Circle 11 cm</t>
  </si>
  <si>
    <t>MESH, HERNIA, CIRCLE, 11 CM, WITH ECHO 2 POSITIONING SYSTEM, POLYPROPYLENE, STERILE, VENTRALIGHT ST, LATEX</t>
  </si>
  <si>
    <t>MESH, HERNIA, VENTRALIGHT ST, 11CM, POLYPROPYLENE, CIRCLE, WITH ECHO 2 POSITIONING SYSTEM, STERILE, LATEX</t>
  </si>
  <si>
    <t>MESH, HERNIA, VNGTST, 11CM, POLYPRPLN, CIRCLE, W/ ECHO 2 PSTNG SYS, STRL, LTX</t>
  </si>
  <si>
    <t>MESH, HERNIA, VNGTST, 11CM, CIRCLE</t>
  </si>
  <si>
    <t>MESH</t>
  </si>
  <si>
    <t>HERNIA</t>
  </si>
  <si>
    <t>VENTRALIGHT ST</t>
  </si>
  <si>
    <t>CIRCLE</t>
  </si>
  <si>
    <t>11CM</t>
  </si>
  <si>
    <t>11 CM</t>
  </si>
  <si>
    <t>POLYPROPYLENE</t>
  </si>
  <si>
    <t>CIRCLE, WITH ECHO 2 POSITIONING SYSTEM</t>
  </si>
  <si>
    <t>WITH ECHO 2 POSITIONING SYSTEM</t>
  </si>
  <si>
    <t>https://www.bd.com/assets/documents/PDH/BD-2761_VentralightST-w-Echo2-brochure_BD%20update_v6_PF10576.pdf, https://accessgudid.nlm.nih.gov/devices/00801741130977</t>
  </si>
  <si>
    <t>PURPLE NITRILE-XTRA Exam Glove large</t>
  </si>
  <si>
    <t>GLOVE, EXAM, POWDER FREE, LARGE, 12 IN, CHEMOTHERAPY, TEXTURED FINGER TIP, CUFFED, PAIR, NITRILE, PURPLE, STERILE, NITRILE-XTRA, LATEX-FREE</t>
  </si>
  <si>
    <t>GLOVE, EXAM, NITRILE-XTRA, LARGE, 12IN, NITRILE, PURPLE, POWDER FREE, CHEMOTHERAPY, TEXTURED FINGER TIP, CUFFED, PAIR, STERILE, LATEX FREE</t>
  </si>
  <si>
    <t>GLV, EXAM, NITRILE-XTRA, LRG, 12IN, NITRILE, PRPL, PWDR FREE, CHEMOTHERAPY, TEXTURED FINGER TIP, CUFFED, PAIR, STRL, LTXFREE</t>
  </si>
  <si>
    <t>GLOVE, EXAM, NTRLEXT, LRG, 12IN</t>
  </si>
  <si>
    <t>LARGE</t>
  </si>
  <si>
    <t>PURPLE NITRILE-XTRA Exam Glove Small</t>
  </si>
  <si>
    <t>GLOVE, EXAM, POWDER FREE, SMALL, 12 IN, CHEMOTHERAPY, TEXTURED FINGER TIP, CUFFED, PAIR, NITRILE, PURPLE, STERILE, NITRILE-XTRA, LATEX-FREE</t>
  </si>
  <si>
    <t>GLOVE, EXAM, NITRILE-XTRA, SMALL, 12IN, NITRILE, PURPLE, POWDER FREE, CHEMOTHERAPY, TEXTURED FINGER TIP, CUFFED, PAIR, STERILE, LATEX FREE</t>
  </si>
  <si>
    <t>GLV, EXAM, NITRILE-XTRA, SM, 12IN, NITRILE, PRPL, PWDR FREE, CHEMOTHERAPY, TEXTURED FINGER TIP, CUFFED, PAIR, STRL, LTXFREE</t>
  </si>
  <si>
    <t>GLOVE, EXAM, NTRLEXT, SM, 12IN</t>
  </si>
  <si>
    <t>SMALL</t>
  </si>
  <si>
    <t>42296339  Endoscope accessories</t>
  </si>
  <si>
    <t>BlueBoost Submucosal Injectable Solution 10 ml</t>
  </si>
  <si>
    <t>AGENT, LIFTING, INJECTABLE SOLUTION, 10 CC, SUBMUCOSAL, STERILE, BLUEBOOST, DISPOSABLE</t>
  </si>
  <si>
    <t>AGENT, LIFTING, BLUEBOOST, 10ML, SUBMUCOSAL, INJECTABLE SOLUTION, STERILE, DISPOSABLE</t>
  </si>
  <si>
    <t>AGENT, LIFTING, BLUEBOOST, 10ML, SUBMUCOSAL, INJ SOL, STRL, DISP</t>
  </si>
  <si>
    <t>AGENT, LIFTING, BLUEBOOST, 10ML</t>
  </si>
  <si>
    <t>AGENT</t>
  </si>
  <si>
    <t>LIFTING</t>
  </si>
  <si>
    <t>INJECTABLE SOLUTION</t>
  </si>
  <si>
    <t>10ML</t>
  </si>
  <si>
    <t>10 CC</t>
  </si>
  <si>
    <t>SUBMUCOSAL</t>
  </si>
  <si>
    <t>https://mtendoscopy.com/products/gastroenterology/resection-retrieval/emr-esd/blueboost/</t>
  </si>
  <si>
    <t xml:space="preserve">AMG PMP Pediatric Oxygenator </t>
  </si>
  <si>
    <t>OXYGENATOR, PERFUSION, PEDIATRIC, INTEGRATED ARTERIAL AND VENOUS LUER PORT, POLYMETHYLPENTENE, STERILE, AMG, LATEX</t>
  </si>
  <si>
    <t>OXYGENATOR, PERFUSION, AMG, PEDIATRIC, POLYMETHYLPENTENE, INTEGRATED ARTERIAL AND VENOUS LUER PORT, STERILE, LATEX</t>
  </si>
  <si>
    <t>OXGNTR, PERFUS, AMG, PED, POLYMETHYLPENTENE, INTEGRATED ARTAL AND VENOUS LUER PORT</t>
  </si>
  <si>
    <t>OXYGENATOR, PERFUS, AMG, PED, LTX</t>
  </si>
  <si>
    <t>PEDIATRIC</t>
  </si>
  <si>
    <t>https://www.cardiovascular.abbott/content/dam/cv/cardiovascular/hcp/products/heart-failure/centrimag/documents/hf-centrimag-amg-pmp-pediatric-oxygenator-spec-sheet.pdf</t>
  </si>
  <si>
    <t>CONTROL, CHEMISTRY, BLOOD GLUCOSE, LEVEL 3, TRUE METRIX</t>
  </si>
  <si>
    <t>CONTROL, CHEMISTRY, TRUE METRIX, BLOOD GLUCOSE, LEVEL 3</t>
  </si>
  <si>
    <t>CNTRL, CHEM, TRUE METRIX, BLOOD GLUCOSE, LVL 3</t>
  </si>
  <si>
    <t>CONTROL, CHEM, TRUE METRIX, LVL 3</t>
  </si>
  <si>
    <t>LEVEL 3</t>
  </si>
  <si>
    <t>https://www.henryschein.com/us-en/Shopping/ProductDetails.aspx?productid=1254036&amp;CatalogName=MEDICAL&amp;utm_source=Medical&amp;utm_medium=Nxtbook&amp;utm_campaign=chc-2020&amp;utm_term=1254036</t>
  </si>
  <si>
    <t>42222201  Needleless intravenous injection syringe sets or injection cannulas</t>
  </si>
  <si>
    <t>AngioVac F22180 Cannula ONLY</t>
  </si>
  <si>
    <t>CANNULA, INTRAVENOUS, DRAINAGE, 180 DEGREE, PERFUSION, KIT, WITH DILATOR, STERILE, ANGIOVAC, LATEX</t>
  </si>
  <si>
    <t>CANNULA, INTRAVENOUS, ANGIOVAC, 180 DEGREE, DRAINAGE, PERFUSION, KIT, WITH DILATOR, STERILE, LATEX</t>
  </si>
  <si>
    <t>CANN, IV, ANGIOVAC, 180 DEG, DRNG, PERFUS, KIT, W/ DIL, STRL, LTX</t>
  </si>
  <si>
    <t>CANNULA, IV, ANGIOVAC, 180 DEG</t>
  </si>
  <si>
    <t>CANNULA</t>
  </si>
  <si>
    <t>INTRAVENOUS</t>
  </si>
  <si>
    <t>DRAINAGE</t>
  </si>
  <si>
    <t>180 DEGREE</t>
  </si>
  <si>
    <t>DRAINAGE, PERFUSION, KIT, WITH DILATOR</t>
  </si>
  <si>
    <t>PERFUSION, KIT, WITH DILATOR</t>
  </si>
  <si>
    <t>C180</t>
  </si>
  <si>
    <t>https://www.angiodynamics.com/wp-content/uploads/2022/04/GL-VI-BR-1402-Rev-01_AngioVac_F18_Brochure_web.pdf, https://accessgudid.nlm.nih.gov/devices/H965251940</t>
  </si>
  <si>
    <t>Sterling OTW Balloon Catheter 4 x 20 x 135</t>
  </si>
  <si>
    <t>CATHETER, ANGIOPLASTY, OVER THE WIRE, 0.018 IN, 14 ATM, 4 FRX135 CM, 4X20 MM, LOW PROFILE, SEMI COMPLIANT, NON SCORED, STERILE, STERLING, LATEX</t>
  </si>
  <si>
    <t>CATHETER, ANGIOPLASTY, STERLING, 0.018IN, 14ATM, 4FRX135CM, 4X20MM, OVER THE WIRE, LOW PROFILE, SEMI COMPLIANT, NON SCORED, STERILE, LATEX</t>
  </si>
  <si>
    <t>CATH, DIL, STRLNG, 0.018IN, 14ATM, 4FRX135CM, 4X20MM, OTW, LO PROF, SEMI COMPLIANT, NON SCORED, STRL, LTX</t>
  </si>
  <si>
    <t>CATH, DIL, 4FRX135CM, 4X20MM</t>
  </si>
  <si>
    <t>4X20MM</t>
  </si>
  <si>
    <t>4X20 MM</t>
  </si>
  <si>
    <t>https://www.bostonscientific.com/content/dam/bostonscientific/pi/portfolio-group/catheter-balloon/PI-210406-AA_Sterling_UPN_Brochure_FINAL.pdf, https://accessgudid.nlm.nih.gov/devices/08714729123521</t>
  </si>
  <si>
    <t>Transparent silicone rubber polycarbonate resin 11.5 8.0 7.0 Without Guide</t>
  </si>
  <si>
    <t>HOOD, ENDOSCOPE, STRAIGHT, SHORT, 8X11.5X7 MM, WITHOUT GUIDE, FOR EG-760Z, EG-600ZW, EC-740T/M,L, SILICONE RUBBER, POLYCARBONATE RESIN, CLEAR, TRANSPARENT</t>
  </si>
  <si>
    <t>HOOD, ENDOSCOPE, SHORT, 8X11.5X7MM, SILICONE RUBBER, POLYCARBONATE RESIN, CLEAR, TRANSPARENT, STRAIGHT, WITHOUT GUIDE, FOR EG-760Z, EG-600ZW, EC-740T/M,L</t>
  </si>
  <si>
    <t>HOOD, ENDSCP, SHRT, 8X11.5X7MM, SIL RUBBER, POLYCARBONATE RESIN, CLEAR, TRANSP, STRT, W/O GD, FOR EG-760Z, EG-600ZW, EC-740T/M,L</t>
  </si>
  <si>
    <t>HOOD, ENDSCP, SHRT, 8X11.5X7MM</t>
  </si>
  <si>
    <t>HOOD</t>
  </si>
  <si>
    <t>ENDOSCOPE</t>
  </si>
  <si>
    <t>STRAIGHT</t>
  </si>
  <si>
    <t>SHORT</t>
  </si>
  <si>
    <t>8X11.5X7MM</t>
  </si>
  <si>
    <t>8X11.5X7 MM</t>
  </si>
  <si>
    <t>SILICONE RUBBER, POLYCARBONATE RESIN</t>
  </si>
  <si>
    <t>CLEAR, TRANSPARENT</t>
  </si>
  <si>
    <t>STRAIGHT, WITHOUT GUIDE, FOR EG-760Z, EG-600ZW, EC-740T/M,L</t>
  </si>
  <si>
    <t>WITHOUT GUIDE, FOR EG-760Z, EG-600ZW, EC-740T/M,L</t>
  </si>
  <si>
    <t>5 PER PACK</t>
  </si>
  <si>
    <t>https://endoscopyonair.com/wp-content/uploads/2022/05/Fujifilm_Guidebook_Endoscopy_2022_EN.pdf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</si>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</sst>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1" xfId="0" applyFont="1" applyAlignment="1">
      <alignment horizontal="left"/>
    </xf>
    <xf numFmtId="0" fontId="8" fillId="0" borderId="1" xfId="0" applyNumberFormat="1" applyFont="1" applyAlignment="1">
      <alignment horizontal="left"/>
    </xf>
    <xf numFmtId="0" fontId="8" fillId="0" borderId="1" xfId="0" quotePrefix="1" applyFont="1" applyAlignment="1">
      <alignment horizontal="left"/>
    </xf>
    <xf numFmtId="0" fontId="8" fillId="0" borderId="1" xfId="0" quotePrefix="1" applyNumberFormat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32.28515625" style="1" customWidth="1"/>
    <col min="21" max="21" width="18.28515625" style="1" customWidth="1"/>
    <col min="22" max="22" width="30.42578125" style="1" customWidth="1"/>
    <col min="23" max="23" width="15.85546875" style="1" customWidth="1"/>
    <col min="24" max="24" width="17.42578125" style="1" customWidth="1"/>
    <col min="25" max="25" width="18.2851562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2.5703125" style="1" customWidth="1"/>
    <col min="32" max="32" width="17.85546875" style="1" customWidth="1"/>
    <col min="33" max="34" width="196.140625" style="1" customWidth="1"/>
    <col min="35" max="35" width="13.140625" style="1" customWidth="1"/>
    <col min="36" max="36" width="8.140625" style="1" customWidth="1"/>
    <col min="37" max="37" width="53.57031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171</v>
      </c>
      <c r="B1" s="3" t="s">
        <v>37</v>
      </c>
      <c r="C1" s="2" t="s">
        <v>118</v>
      </c>
      <c r="D1" s="2" t="s">
        <v>264</v>
      </c>
      <c r="E1" s="2" t="s">
        <v>81</v>
      </c>
      <c r="F1" s="2" t="s">
        <v>248</v>
      </c>
      <c r="G1" s="2" t="s">
        <v>160</v>
      </c>
      <c r="H1" s="2" t="s">
        <v>147</v>
      </c>
      <c r="I1" s="2" t="s">
        <v>33</v>
      </c>
      <c r="J1" s="2" t="s">
        <v>161</v>
      </c>
      <c r="K1" s="2" t="s">
        <v>101</v>
      </c>
      <c r="L1" s="2" t="s">
        <v>112</v>
      </c>
      <c r="M1" s="2" t="s">
        <v>91</v>
      </c>
      <c r="N1" s="2" t="s">
        <v>76</v>
      </c>
      <c r="O1" s="2" t="s">
        <v>116</v>
      </c>
      <c r="P1" s="4" t="s">
        <v>129</v>
      </c>
      <c r="Q1" s="4" t="s">
        <v>95</v>
      </c>
      <c r="R1" s="5" t="s">
        <v>10</v>
      </c>
      <c r="S1" s="5" t="s">
        <v>209</v>
      </c>
      <c r="T1" s="5" t="s">
        <v>228</v>
      </c>
      <c r="U1" s="5" t="s">
        <v>49</v>
      </c>
      <c r="V1" s="5" t="s">
        <v>131</v>
      </c>
      <c r="W1" s="5" t="s">
        <v>32</v>
      </c>
      <c r="X1" s="6" t="s">
        <v>182</v>
      </c>
      <c r="Y1" s="5" t="s">
        <v>96</v>
      </c>
      <c r="Z1" s="6" t="s">
        <v>113</v>
      </c>
      <c r="AA1" s="7" t="s">
        <v>227</v>
      </c>
      <c r="AB1" s="7" t="s">
        <v>34</v>
      </c>
      <c r="AC1" s="8" t="s">
        <v>94</v>
      </c>
      <c r="AD1" s="7" t="s">
        <v>169</v>
      </c>
      <c r="AE1" s="5" t="s">
        <v>140</v>
      </c>
      <c r="AF1" s="9" t="s">
        <v>105</v>
      </c>
      <c r="AG1" s="10" t="s">
        <v>80</v>
      </c>
      <c r="AH1" s="10" t="s">
        <v>247</v>
      </c>
      <c r="AI1" s="10" t="s">
        <v>207</v>
      </c>
      <c r="AJ1" s="10" t="s">
        <v>237</v>
      </c>
      <c r="AK1" s="10" t="s">
        <v>15</v>
      </c>
      <c r="AL1" s="6" t="s">
        <v>56</v>
      </c>
      <c r="AM1" s="11" t="s">
        <v>202</v>
      </c>
      <c r="AN1" s="11" t="s">
        <v>73</v>
      </c>
      <c r="AO1" s="12" t="s">
        <v>29</v>
      </c>
      <c r="AP1" s="12" t="s">
        <v>229</v>
      </c>
      <c r="AQ1" s="6" t="s">
        <v>58</v>
      </c>
      <c r="AR1" s="6" t="s">
        <v>176</v>
      </c>
      <c r="AS1" s="6" t="s">
        <v>239</v>
      </c>
      <c r="AT1" s="6" t="s">
        <v>38</v>
      </c>
      <c r="AU1" s="13" t="s">
        <v>115</v>
      </c>
      <c r="AV1" s="14" t="s">
        <v>224</v>
      </c>
      <c r="AW1" s="15" t="s">
        <v>206</v>
      </c>
      <c r="AX1" s="14" t="s">
        <v>124</v>
      </c>
      <c r="AY1" s="15" t="s">
        <v>187</v>
      </c>
      <c r="AZ1" s="14" t="s">
        <v>217</v>
      </c>
      <c r="BA1" s="15" t="s">
        <v>199</v>
      </c>
      <c r="BB1" s="15" t="s">
        <v>143</v>
      </c>
      <c r="BC1" s="14" t="s">
        <v>175</v>
      </c>
      <c r="BD1" s="15" t="s">
        <v>12</v>
      </c>
      <c r="BE1" s="15" t="s">
        <v>36</v>
      </c>
      <c r="BF1" s="14" t="s">
        <v>42</v>
      </c>
      <c r="BG1" s="15" t="s">
        <v>151</v>
      </c>
      <c r="BH1" s="14" t="s">
        <v>138</v>
      </c>
      <c r="BI1" s="15" t="s">
        <v>135</v>
      </c>
      <c r="BJ1" s="14" t="s">
        <v>83</v>
      </c>
      <c r="BK1" s="15" t="s">
        <v>69</v>
      </c>
      <c r="BL1" s="15" t="s">
        <v>223</v>
      </c>
      <c r="BM1" s="14" t="s">
        <v>30</v>
      </c>
      <c r="BN1" s="15" t="s">
        <v>136</v>
      </c>
      <c r="BO1" s="14" t="s">
        <v>22</v>
      </c>
      <c r="BP1" s="15" t="s">
        <v>211</v>
      </c>
      <c r="BQ1" s="14" t="s">
        <v>192</v>
      </c>
      <c r="BR1" s="14" t="s">
        <v>242</v>
      </c>
      <c r="BS1" s="15" t="s">
        <v>244</v>
      </c>
      <c r="BT1" s="14" t="s">
        <v>4</v>
      </c>
      <c r="BU1" s="14" t="s">
        <v>62</v>
      </c>
      <c r="BV1" s="14" t="s">
        <v>40</v>
      </c>
      <c r="BW1" s="15" t="s">
        <v>258</v>
      </c>
      <c r="BX1" s="14" t="s">
        <v>254</v>
      </c>
      <c r="BY1" s="16" t="s">
        <v>64</v>
      </c>
      <c r="BZ1" s="17" t="s">
        <v>251</v>
      </c>
      <c r="CA1" s="17" t="s">
        <v>50</v>
      </c>
      <c r="CB1" s="17" t="s">
        <v>152</v>
      </c>
      <c r="CC1" s="7" t="s">
        <v>41</v>
      </c>
      <c r="CD1" s="18" t="s">
        <v>55</v>
      </c>
      <c r="CE1" s="18" t="s">
        <v>263</v>
      </c>
      <c r="CF1" s="18" t="s">
        <v>253</v>
      </c>
      <c r="CG1" s="1" t="s">
        <v>177</v>
      </c>
    </row>
    <row r="2" spans="1:85" ht="12" customHeight="1" x14ac:dyDescent="0.25">
      <c r="A2" s="19" t="s">
        <v>102</v>
      </c>
      <c r="B2" s="19" t="s">
        <v>90</v>
      </c>
      <c r="C2" t="s">
        <v>243</v>
      </c>
      <c r="D2" s="20" t="s">
        <v>270</v>
      </c>
      <c r="E2" t="s">
        <v>243</v>
      </c>
      <c r="F2" s="20" t="s">
        <v>272</v>
      </c>
      <c r="G2" s="19" t="s">
        <v>57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219</v>
      </c>
      <c r="S2" t="s">
        <v>210</v>
      </c>
      <c r="T2" t="s">
        <v>13</v>
      </c>
      <c r="U2" t="s">
        <v>44</v>
      </c>
      <c r="V2" t="s">
        <v>130</v>
      </c>
      <c r="W2" t="s">
        <v>109</v>
      </c>
      <c r="X2" s="20" t="s">
        <v>273</v>
      </c>
      <c r="Y2" t="s">
        <v>44</v>
      </c>
      <c r="Z2" s="20" t="s">
        <v>44</v>
      </c>
      <c r="AA2" s="20" t="s">
        <v>130</v>
      </c>
      <c r="AB2" s="20" t="s">
        <v>44</v>
      </c>
      <c r="AC2" s="20" t="s">
        <v>44</v>
      </c>
      <c r="AD2" s="20" t="s">
        <v>280</v>
      </c>
      <c r="AE2" t="s">
        <v>127</v>
      </c>
      <c r="AF2" t="s">
        <v>31</v>
      </c>
      <c r="AG2" t="s">
        <v>109</v>
      </c>
      <c r="AH2" t="s">
        <v>109</v>
      </c>
      <c r="AI2" t="s">
        <v>109</v>
      </c>
      <c r="AJ2" t="s">
        <v>109</v>
      </c>
      <c r="AK2" t="s">
        <v>109</v>
      </c>
      <c r="AL2" s="20" t="s">
        <v>314</v>
      </c>
      <c r="AM2" s="20"/>
      <c r="AN2" s="20"/>
      <c r="AO2" s="20" t="s">
        <v>315</v>
      </c>
      <c r="AP2" s="20" t="s">
        <v>315</v>
      </c>
      <c r="AQ2" s="20" t="s">
        <v>316</v>
      </c>
      <c r="AR2" s="20" t="s">
        <v>317</v>
      </c>
      <c r="AS2" s="20" t="s">
        <v>318</v>
      </c>
      <c r="AT2" s="20" t="s">
        <v>319</v>
      </c>
      <c r="AU2" s="20">
        <f t="shared" ref="AU2:AU23" si="0">LEN(SUBSTITUTE(AT2, ", "," "))</f>
        <v>28</v>
      </c>
      <c r="AV2" s="21" t="s">
        <v>320</v>
      </c>
      <c r="AW2" s="21" t="s">
        <v>320</v>
      </c>
      <c r="AX2" s="21" t="s">
        <v>321</v>
      </c>
      <c r="AY2" s="21" t="s">
        <v>321</v>
      </c>
      <c r="AZ2" s="21" t="s">
        <v>322</v>
      </c>
      <c r="BA2" s="21" t="s">
        <v>322</v>
      </c>
      <c r="BB2" s="20"/>
      <c r="BC2" s="21" t="s">
        <v>323</v>
      </c>
      <c r="BD2" s="20"/>
      <c r="BE2" s="21" t="s">
        <v>323</v>
      </c>
      <c r="BF2" s="20"/>
      <c r="BG2" s="20"/>
      <c r="BH2" s="20"/>
      <c r="BI2" s="20"/>
      <c r="BJ2" s="20"/>
      <c r="BK2" s="20"/>
      <c r="BL2" s="20"/>
      <c r="BM2" s="21" t="s">
        <v>324</v>
      </c>
      <c r="BN2" s="21" t="s">
        <v>324</v>
      </c>
      <c r="BO2" s="20"/>
      <c r="BP2" s="20"/>
      <c r="BQ2" s="20"/>
      <c r="BR2" s="21" t="s">
        <v>325</v>
      </c>
      <c r="BS2" s="21" t="s">
        <v>325</v>
      </c>
      <c r="BT2" s="21" t="s">
        <v>326</v>
      </c>
      <c r="BU2" s="21" t="s">
        <v>327</v>
      </c>
      <c r="BV2" s="20"/>
      <c r="BW2" s="20"/>
      <c r="BX2" s="20"/>
      <c r="BY2" s="20" t="s">
        <v>328</v>
      </c>
      <c r="BZ2"/>
      <c r="CA2"/>
      <c r="CB2"/>
      <c r="CC2"/>
      <c r="CD2"/>
      <c r="CE2"/>
      <c r="CF2"/>
      <c r="CG2" s="1" t="s">
        <v>601</v>
      </c>
    </row>
    <row r="3" spans="1:85" ht="12" customHeight="1" x14ac:dyDescent="0.25">
      <c r="A3" s="19" t="s">
        <v>102</v>
      </c>
      <c r="B3" s="19" t="s">
        <v>90</v>
      </c>
      <c r="C3" t="s">
        <v>243</v>
      </c>
      <c r="D3" s="20" t="s">
        <v>270</v>
      </c>
      <c r="E3" t="s">
        <v>243</v>
      </c>
      <c r="F3" s="20" t="s">
        <v>272</v>
      </c>
      <c r="G3" s="19" t="s">
        <v>57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146</v>
      </c>
      <c r="S3" t="s">
        <v>106</v>
      </c>
      <c r="T3" t="s">
        <v>84</v>
      </c>
      <c r="U3" t="s">
        <v>6</v>
      </c>
      <c r="V3" t="s">
        <v>108</v>
      </c>
      <c r="W3" t="s">
        <v>109</v>
      </c>
      <c r="X3" s="20" t="s">
        <v>274</v>
      </c>
      <c r="Y3" t="s">
        <v>6</v>
      </c>
      <c r="Z3" s="20" t="s">
        <v>6</v>
      </c>
      <c r="AA3" s="20" t="s">
        <v>108</v>
      </c>
      <c r="AB3" s="20" t="s">
        <v>6</v>
      </c>
      <c r="AC3" s="20" t="s">
        <v>6</v>
      </c>
      <c r="AD3" s="20" t="s">
        <v>281</v>
      </c>
      <c r="AE3" t="s">
        <v>45</v>
      </c>
      <c r="AF3" t="s">
        <v>238</v>
      </c>
      <c r="AG3" t="s">
        <v>109</v>
      </c>
      <c r="AH3" t="s">
        <v>109</v>
      </c>
      <c r="AI3" t="s">
        <v>109</v>
      </c>
      <c r="AJ3" t="s">
        <v>109</v>
      </c>
      <c r="AK3" t="s">
        <v>109</v>
      </c>
      <c r="AL3" s="20" t="s">
        <v>329</v>
      </c>
      <c r="AM3" s="20" t="s">
        <v>330</v>
      </c>
      <c r="AN3" s="20" t="s">
        <v>331</v>
      </c>
      <c r="AO3" s="20" t="s">
        <v>332</v>
      </c>
      <c r="AP3" s="20" t="s">
        <v>332</v>
      </c>
      <c r="AQ3" s="20" t="s">
        <v>333</v>
      </c>
      <c r="AR3" s="20" t="s">
        <v>334</v>
      </c>
      <c r="AS3" s="20" t="s">
        <v>335</v>
      </c>
      <c r="AT3" s="20" t="s">
        <v>336</v>
      </c>
      <c r="AU3" s="20">
        <f t="shared" si="0"/>
        <v>30</v>
      </c>
      <c r="AV3" s="21" t="s">
        <v>337</v>
      </c>
      <c r="AW3" s="21" t="s">
        <v>337</v>
      </c>
      <c r="AX3" s="21" t="s">
        <v>338</v>
      </c>
      <c r="AY3" s="21" t="s">
        <v>338</v>
      </c>
      <c r="AZ3" s="21" t="s">
        <v>339</v>
      </c>
      <c r="BA3" s="21" t="s">
        <v>339</v>
      </c>
      <c r="BB3" s="21" t="s">
        <v>340</v>
      </c>
      <c r="BC3" s="20"/>
      <c r="BD3" s="20"/>
      <c r="BE3" s="20"/>
      <c r="BF3" s="20"/>
      <c r="BG3" s="20"/>
      <c r="BH3" s="20"/>
      <c r="BI3" s="20"/>
      <c r="BJ3" s="23" t="s">
        <v>341</v>
      </c>
      <c r="BK3" s="23" t="s">
        <v>342</v>
      </c>
      <c r="BL3" s="20"/>
      <c r="BM3" s="20"/>
      <c r="BN3" s="20"/>
      <c r="BO3" s="20"/>
      <c r="BP3" s="20"/>
      <c r="BQ3" s="20"/>
      <c r="BR3" s="21" t="s">
        <v>343</v>
      </c>
      <c r="BS3" s="21" t="s">
        <v>344</v>
      </c>
      <c r="BT3" s="21" t="s">
        <v>326</v>
      </c>
      <c r="BU3" s="21" t="s">
        <v>327</v>
      </c>
      <c r="BV3" s="20"/>
      <c r="BW3" s="20"/>
      <c r="BX3" s="21" t="s">
        <v>345</v>
      </c>
      <c r="BY3" s="20" t="s">
        <v>346</v>
      </c>
      <c r="BZ3"/>
      <c r="CA3"/>
      <c r="CB3"/>
      <c r="CC3"/>
      <c r="CD3"/>
      <c r="CE3"/>
      <c r="CF3"/>
      <c r="CG3" s="1" t="s">
        <v>601</v>
      </c>
    </row>
    <row r="4" spans="1:85" ht="12" customHeight="1" x14ac:dyDescent="0.25">
      <c r="A4" s="19" t="s">
        <v>102</v>
      </c>
      <c r="B4" s="19" t="s">
        <v>90</v>
      </c>
      <c r="C4" t="s">
        <v>243</v>
      </c>
      <c r="D4" s="20" t="s">
        <v>270</v>
      </c>
      <c r="E4" t="s">
        <v>243</v>
      </c>
      <c r="F4" s="20" t="s">
        <v>272</v>
      </c>
      <c r="G4" s="19" t="s">
        <v>57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200</v>
      </c>
      <c r="S4" t="s">
        <v>190</v>
      </c>
      <c r="T4" t="s">
        <v>221</v>
      </c>
      <c r="U4" t="s">
        <v>125</v>
      </c>
      <c r="V4" t="s">
        <v>149</v>
      </c>
      <c r="W4" t="s">
        <v>109</v>
      </c>
      <c r="X4" s="21" t="s">
        <v>149</v>
      </c>
      <c r="Y4" t="s">
        <v>86</v>
      </c>
      <c r="Z4" s="20" t="s">
        <v>86</v>
      </c>
      <c r="AA4" s="21" t="s">
        <v>282</v>
      </c>
      <c r="AB4" s="20" t="s">
        <v>86</v>
      </c>
      <c r="AC4" s="20" t="s">
        <v>283</v>
      </c>
      <c r="AD4" s="20" t="s">
        <v>284</v>
      </c>
      <c r="AE4" t="s">
        <v>43</v>
      </c>
      <c r="AF4" t="s">
        <v>1</v>
      </c>
      <c r="AG4" t="s">
        <v>20</v>
      </c>
      <c r="AH4" t="s">
        <v>109</v>
      </c>
      <c r="AI4" t="s">
        <v>235</v>
      </c>
      <c r="AJ4" t="s">
        <v>109</v>
      </c>
      <c r="AK4" t="s">
        <v>109</v>
      </c>
      <c r="AL4" s="20" t="s">
        <v>347</v>
      </c>
      <c r="AM4" s="20"/>
      <c r="AN4" s="20"/>
      <c r="AO4" s="20" t="s">
        <v>20</v>
      </c>
      <c r="AP4" s="20" t="s">
        <v>20</v>
      </c>
      <c r="AQ4" s="20" t="s">
        <v>348</v>
      </c>
      <c r="AR4" s="20" t="s">
        <v>349</v>
      </c>
      <c r="AS4" s="20" t="s">
        <v>350</v>
      </c>
      <c r="AT4" s="20" t="s">
        <v>351</v>
      </c>
      <c r="AU4" s="20">
        <f t="shared" si="0"/>
        <v>29</v>
      </c>
      <c r="AV4" s="21" t="s">
        <v>352</v>
      </c>
      <c r="AW4" s="21" t="s">
        <v>352</v>
      </c>
      <c r="AX4" s="21" t="s">
        <v>353</v>
      </c>
      <c r="AY4" s="21" t="s">
        <v>353</v>
      </c>
      <c r="AZ4" s="21" t="s">
        <v>354</v>
      </c>
      <c r="BA4" s="21" t="s">
        <v>354</v>
      </c>
      <c r="BB4" s="21" t="s">
        <v>355</v>
      </c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1" t="s">
        <v>355</v>
      </c>
      <c r="BN4" s="20"/>
      <c r="BO4" s="20"/>
      <c r="BP4" s="20"/>
      <c r="BQ4" s="20"/>
      <c r="BR4" s="21" t="s">
        <v>356</v>
      </c>
      <c r="BS4" s="21" t="s">
        <v>356</v>
      </c>
      <c r="BT4" s="20"/>
      <c r="BU4" s="20"/>
      <c r="BV4" s="20"/>
      <c r="BW4" s="20"/>
      <c r="BX4" s="20"/>
      <c r="BY4" s="20" t="s">
        <v>357</v>
      </c>
      <c r="BZ4"/>
      <c r="CA4"/>
      <c r="CB4"/>
      <c r="CC4"/>
      <c r="CD4"/>
      <c r="CE4"/>
      <c r="CF4"/>
      <c r="CG4" s="1" t="s">
        <v>601</v>
      </c>
    </row>
    <row r="5" spans="1:85" ht="12" customHeight="1" x14ac:dyDescent="0.25">
      <c r="A5" s="19" t="s">
        <v>102</v>
      </c>
      <c r="B5" s="19" t="s">
        <v>90</v>
      </c>
      <c r="C5" t="s">
        <v>243</v>
      </c>
      <c r="D5" s="20" t="s">
        <v>270</v>
      </c>
      <c r="E5" t="s">
        <v>243</v>
      </c>
      <c r="F5" s="20" t="s">
        <v>272</v>
      </c>
      <c r="G5" s="19" t="s">
        <v>57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231</v>
      </c>
      <c r="S5" t="s">
        <v>167</v>
      </c>
      <c r="T5" t="s">
        <v>85</v>
      </c>
      <c r="U5" t="s">
        <v>144</v>
      </c>
      <c r="V5" t="s">
        <v>74</v>
      </c>
      <c r="W5" t="s">
        <v>109</v>
      </c>
      <c r="X5" s="20" t="s">
        <v>74</v>
      </c>
      <c r="Y5" t="s">
        <v>144</v>
      </c>
      <c r="Z5" s="20" t="s">
        <v>144</v>
      </c>
      <c r="AA5" s="20" t="s">
        <v>285</v>
      </c>
      <c r="AB5" s="20" t="s">
        <v>144</v>
      </c>
      <c r="AC5" s="20" t="s">
        <v>144</v>
      </c>
      <c r="AD5" s="20" t="s">
        <v>286</v>
      </c>
      <c r="AE5" t="s">
        <v>2</v>
      </c>
      <c r="AF5" t="s">
        <v>17</v>
      </c>
      <c r="AG5" t="s">
        <v>109</v>
      </c>
      <c r="AH5" t="s">
        <v>109</v>
      </c>
      <c r="AI5" t="s">
        <v>109</v>
      </c>
      <c r="AJ5" t="s">
        <v>109</v>
      </c>
      <c r="AK5" t="s">
        <v>109</v>
      </c>
      <c r="AL5" s="20" t="s">
        <v>358</v>
      </c>
      <c r="AM5" s="20"/>
      <c r="AN5" s="20"/>
      <c r="AO5" s="20" t="s">
        <v>359</v>
      </c>
      <c r="AP5" s="20" t="s">
        <v>359</v>
      </c>
      <c r="AQ5" s="20" t="s">
        <v>360</v>
      </c>
      <c r="AR5" s="20" t="s">
        <v>361</v>
      </c>
      <c r="AS5" s="20" t="s">
        <v>362</v>
      </c>
      <c r="AT5" s="20" t="s">
        <v>363</v>
      </c>
      <c r="AU5" s="20">
        <f t="shared" si="0"/>
        <v>30</v>
      </c>
      <c r="AV5" s="21" t="s">
        <v>364</v>
      </c>
      <c r="AW5" s="21" t="s">
        <v>364</v>
      </c>
      <c r="AX5" s="21" t="s">
        <v>365</v>
      </c>
      <c r="AY5" s="21" t="s">
        <v>365</v>
      </c>
      <c r="AZ5" s="21" t="s">
        <v>366</v>
      </c>
      <c r="BA5" s="21" t="s">
        <v>366</v>
      </c>
      <c r="BB5" s="21" t="s">
        <v>367</v>
      </c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1" t="s">
        <v>368</v>
      </c>
      <c r="BS5" s="21" t="s">
        <v>369</v>
      </c>
      <c r="BT5" s="20"/>
      <c r="BU5" s="20"/>
      <c r="BV5" s="20"/>
      <c r="BW5" s="20"/>
      <c r="BX5" s="20"/>
      <c r="BY5" s="20" t="s">
        <v>370</v>
      </c>
      <c r="BZ5"/>
      <c r="CA5"/>
      <c r="CB5"/>
      <c r="CC5"/>
      <c r="CD5"/>
      <c r="CE5"/>
      <c r="CF5"/>
      <c r="CG5" s="1" t="s">
        <v>601</v>
      </c>
    </row>
    <row r="6" spans="1:85" ht="12" customHeight="1" x14ac:dyDescent="0.25">
      <c r="A6" s="19" t="s">
        <v>102</v>
      </c>
      <c r="B6" s="19" t="s">
        <v>90</v>
      </c>
      <c r="C6" t="s">
        <v>243</v>
      </c>
      <c r="D6" s="20" t="s">
        <v>270</v>
      </c>
      <c r="E6" t="s">
        <v>243</v>
      </c>
      <c r="F6" s="20" t="s">
        <v>272</v>
      </c>
      <c r="G6" s="19" t="s">
        <v>57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181</v>
      </c>
      <c r="S6" t="s">
        <v>180</v>
      </c>
      <c r="T6" t="s">
        <v>7</v>
      </c>
      <c r="U6" t="s">
        <v>198</v>
      </c>
      <c r="V6" t="s">
        <v>259</v>
      </c>
      <c r="W6" t="s">
        <v>109</v>
      </c>
      <c r="X6" s="20" t="s">
        <v>7</v>
      </c>
      <c r="Y6" t="s">
        <v>198</v>
      </c>
      <c r="Z6" s="20" t="s">
        <v>198</v>
      </c>
      <c r="AA6" s="20" t="s">
        <v>287</v>
      </c>
      <c r="AB6" s="20" t="s">
        <v>198</v>
      </c>
      <c r="AC6" s="20" t="s">
        <v>198</v>
      </c>
      <c r="AD6" s="20" t="s">
        <v>288</v>
      </c>
      <c r="AE6" t="s">
        <v>163</v>
      </c>
      <c r="AF6" t="s">
        <v>154</v>
      </c>
      <c r="AG6" t="s">
        <v>184</v>
      </c>
      <c r="AH6" t="s">
        <v>109</v>
      </c>
      <c r="AI6" t="s">
        <v>204</v>
      </c>
      <c r="AJ6" t="s">
        <v>109</v>
      </c>
      <c r="AK6" t="s">
        <v>109</v>
      </c>
      <c r="AL6" s="20" t="s">
        <v>371</v>
      </c>
      <c r="AM6" s="20"/>
      <c r="AN6" s="20"/>
      <c r="AO6" s="20" t="s">
        <v>372</v>
      </c>
      <c r="AP6" s="20" t="s">
        <v>372</v>
      </c>
      <c r="AQ6" s="20" t="s">
        <v>373</v>
      </c>
      <c r="AR6" s="20" t="s">
        <v>374</v>
      </c>
      <c r="AS6" s="20" t="s">
        <v>375</v>
      </c>
      <c r="AT6" s="20" t="s">
        <v>376</v>
      </c>
      <c r="AU6" s="20">
        <f t="shared" si="0"/>
        <v>29</v>
      </c>
      <c r="AV6" s="21" t="s">
        <v>377</v>
      </c>
      <c r="AW6" s="21" t="s">
        <v>377</v>
      </c>
      <c r="AX6" s="21" t="s">
        <v>378</v>
      </c>
      <c r="AY6" s="21" t="s">
        <v>378</v>
      </c>
      <c r="AZ6" s="20"/>
      <c r="BA6" s="20"/>
      <c r="BB6" s="21" t="s">
        <v>379</v>
      </c>
      <c r="BC6" s="21" t="s">
        <v>380</v>
      </c>
      <c r="BD6" s="20">
        <v>5</v>
      </c>
      <c r="BE6" s="21" t="s">
        <v>381</v>
      </c>
      <c r="BF6" s="20"/>
      <c r="BG6" s="20"/>
      <c r="BH6" s="20"/>
      <c r="BI6" s="20"/>
      <c r="BJ6" s="20"/>
      <c r="BK6" s="20"/>
      <c r="BL6" s="20"/>
      <c r="BM6" s="21" t="s">
        <v>382</v>
      </c>
      <c r="BN6" s="21" t="s">
        <v>382</v>
      </c>
      <c r="BO6" s="21" t="s">
        <v>379</v>
      </c>
      <c r="BP6" s="20"/>
      <c r="BQ6" s="20"/>
      <c r="BR6" s="21" t="s">
        <v>383</v>
      </c>
      <c r="BS6" s="21" t="s">
        <v>383</v>
      </c>
      <c r="BT6" s="20"/>
      <c r="BU6" s="21" t="s">
        <v>384</v>
      </c>
      <c r="BV6" s="21" t="s">
        <v>385</v>
      </c>
      <c r="BW6" s="20"/>
      <c r="BX6" s="20"/>
      <c r="BY6" s="20" t="s">
        <v>386</v>
      </c>
      <c r="BZ6"/>
      <c r="CA6"/>
      <c r="CB6"/>
      <c r="CC6"/>
      <c r="CD6"/>
      <c r="CE6"/>
      <c r="CF6"/>
      <c r="CG6" s="1" t="s">
        <v>601</v>
      </c>
    </row>
    <row r="7" spans="1:85" ht="12" customHeight="1" x14ac:dyDescent="0.25">
      <c r="A7" s="19" t="s">
        <v>102</v>
      </c>
      <c r="B7" s="19" t="s">
        <v>90</v>
      </c>
      <c r="C7" t="s">
        <v>243</v>
      </c>
      <c r="D7" s="20" t="s">
        <v>270</v>
      </c>
      <c r="E7" t="s">
        <v>243</v>
      </c>
      <c r="F7" s="20" t="s">
        <v>272</v>
      </c>
      <c r="G7" s="19" t="s">
        <v>57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168</v>
      </c>
      <c r="S7" t="s">
        <v>18</v>
      </c>
      <c r="T7" t="s">
        <v>256</v>
      </c>
      <c r="U7" t="s">
        <v>257</v>
      </c>
      <c r="V7" t="s">
        <v>145</v>
      </c>
      <c r="W7" t="s">
        <v>109</v>
      </c>
      <c r="X7" s="20" t="s">
        <v>275</v>
      </c>
      <c r="Y7" t="s">
        <v>257</v>
      </c>
      <c r="Z7" s="20" t="s">
        <v>257</v>
      </c>
      <c r="AA7" s="20" t="s">
        <v>145</v>
      </c>
      <c r="AB7" s="20" t="s">
        <v>257</v>
      </c>
      <c r="AC7" s="20" t="s">
        <v>257</v>
      </c>
      <c r="AD7" s="20" t="s">
        <v>289</v>
      </c>
      <c r="AE7" t="s">
        <v>268</v>
      </c>
      <c r="AF7" t="s">
        <v>232</v>
      </c>
      <c r="AG7" t="s">
        <v>72</v>
      </c>
      <c r="AH7" t="s">
        <v>153</v>
      </c>
      <c r="AI7" t="s">
        <v>54</v>
      </c>
      <c r="AJ7" t="s">
        <v>109</v>
      </c>
      <c r="AK7" t="s">
        <v>109</v>
      </c>
      <c r="AL7" s="20" t="s">
        <v>387</v>
      </c>
      <c r="AM7" s="20" t="s">
        <v>388</v>
      </c>
      <c r="AN7" s="20" t="s">
        <v>389</v>
      </c>
      <c r="AO7" s="20" t="s">
        <v>390</v>
      </c>
      <c r="AP7" s="20" t="s">
        <v>390</v>
      </c>
      <c r="AQ7" s="20" t="s">
        <v>391</v>
      </c>
      <c r="AR7" s="20" t="s">
        <v>392</v>
      </c>
      <c r="AS7" s="20" t="s">
        <v>393</v>
      </c>
      <c r="AT7" s="20" t="s">
        <v>394</v>
      </c>
      <c r="AU7" s="20">
        <f t="shared" si="0"/>
        <v>26</v>
      </c>
      <c r="AV7" s="21" t="s">
        <v>395</v>
      </c>
      <c r="AW7" s="21" t="s">
        <v>395</v>
      </c>
      <c r="AX7" s="21" t="s">
        <v>396</v>
      </c>
      <c r="AY7" s="21" t="s">
        <v>396</v>
      </c>
      <c r="AZ7" s="21" t="s">
        <v>397</v>
      </c>
      <c r="BA7" s="21" t="s">
        <v>397</v>
      </c>
      <c r="BB7" s="20"/>
      <c r="BC7" s="21" t="s">
        <v>398</v>
      </c>
      <c r="BD7" s="21" t="s">
        <v>398</v>
      </c>
      <c r="BE7" s="20"/>
      <c r="BF7" s="21" t="s">
        <v>399</v>
      </c>
      <c r="BG7" s="21" t="s">
        <v>400</v>
      </c>
      <c r="BH7" s="21" t="s">
        <v>401</v>
      </c>
      <c r="BI7" s="21" t="s">
        <v>402</v>
      </c>
      <c r="BJ7" s="20"/>
      <c r="BK7" s="20"/>
      <c r="BL7" s="20"/>
      <c r="BM7" s="20"/>
      <c r="BN7" s="20"/>
      <c r="BO7" s="20"/>
      <c r="BP7" s="20"/>
      <c r="BQ7" s="20"/>
      <c r="BR7" s="21" t="s">
        <v>403</v>
      </c>
      <c r="BS7" s="21" t="s">
        <v>403</v>
      </c>
      <c r="BT7" s="21" t="s">
        <v>326</v>
      </c>
      <c r="BU7" s="21" t="s">
        <v>384</v>
      </c>
      <c r="BV7" s="20"/>
      <c r="BW7" s="20"/>
      <c r="BX7" s="20"/>
      <c r="BY7" s="20" t="s">
        <v>404</v>
      </c>
      <c r="BZ7"/>
      <c r="CA7"/>
      <c r="CB7"/>
      <c r="CC7"/>
      <c r="CD7"/>
      <c r="CE7"/>
      <c r="CF7"/>
      <c r="CG7" s="1" t="s">
        <v>601</v>
      </c>
    </row>
    <row r="8" spans="1:85" ht="12" customHeight="1" x14ac:dyDescent="0.25">
      <c r="A8" s="19" t="s">
        <v>102</v>
      </c>
      <c r="B8" s="19" t="s">
        <v>90</v>
      </c>
      <c r="C8" t="s">
        <v>243</v>
      </c>
      <c r="D8" s="20" t="s">
        <v>270</v>
      </c>
      <c r="E8" t="s">
        <v>243</v>
      </c>
      <c r="F8" s="20" t="s">
        <v>272</v>
      </c>
      <c r="G8" s="19" t="s">
        <v>57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157</v>
      </c>
      <c r="S8" t="s">
        <v>158</v>
      </c>
      <c r="T8" t="s">
        <v>21</v>
      </c>
      <c r="U8" t="s">
        <v>16</v>
      </c>
      <c r="V8" t="s">
        <v>21</v>
      </c>
      <c r="W8" t="s">
        <v>109</v>
      </c>
      <c r="X8" s="20" t="s">
        <v>276</v>
      </c>
      <c r="Y8" t="s">
        <v>16</v>
      </c>
      <c r="Z8" s="20" t="s">
        <v>16</v>
      </c>
      <c r="AA8" s="20" t="s">
        <v>290</v>
      </c>
      <c r="AB8" s="20" t="s">
        <v>16</v>
      </c>
      <c r="AC8" s="20" t="s">
        <v>16</v>
      </c>
      <c r="AD8" s="20" t="s">
        <v>291</v>
      </c>
      <c r="AE8" t="s">
        <v>103</v>
      </c>
      <c r="AF8" t="s">
        <v>255</v>
      </c>
      <c r="AG8" t="s">
        <v>109</v>
      </c>
      <c r="AH8" t="s">
        <v>109</v>
      </c>
      <c r="AI8" t="s">
        <v>109</v>
      </c>
      <c r="AJ8" t="s">
        <v>109</v>
      </c>
      <c r="AK8" t="s">
        <v>109</v>
      </c>
      <c r="AL8" s="20" t="s">
        <v>405</v>
      </c>
      <c r="AM8" s="20" t="s">
        <v>406</v>
      </c>
      <c r="AN8" s="20" t="s">
        <v>407</v>
      </c>
      <c r="AO8" s="20" t="s">
        <v>408</v>
      </c>
      <c r="AP8" s="20" t="s">
        <v>408</v>
      </c>
      <c r="AQ8" s="20" t="s">
        <v>409</v>
      </c>
      <c r="AR8" s="20" t="s">
        <v>410</v>
      </c>
      <c r="AS8" s="20" t="s">
        <v>411</v>
      </c>
      <c r="AT8" s="20" t="s">
        <v>412</v>
      </c>
      <c r="AU8" s="20">
        <f t="shared" si="0"/>
        <v>28</v>
      </c>
      <c r="AV8" s="21" t="s">
        <v>413</v>
      </c>
      <c r="AW8" s="21" t="s">
        <v>413</v>
      </c>
      <c r="AX8" s="21" t="s">
        <v>414</v>
      </c>
      <c r="AY8" s="21" t="s">
        <v>414</v>
      </c>
      <c r="AZ8" s="21" t="s">
        <v>415</v>
      </c>
      <c r="BA8" s="21" t="s">
        <v>415</v>
      </c>
      <c r="BB8" s="21" t="s">
        <v>416</v>
      </c>
      <c r="BC8" s="20"/>
      <c r="BD8" s="20"/>
      <c r="BE8" s="20"/>
      <c r="BF8" s="21" t="s">
        <v>417</v>
      </c>
      <c r="BG8" s="21" t="s">
        <v>418</v>
      </c>
      <c r="BH8" s="20"/>
      <c r="BI8" s="20"/>
      <c r="BJ8" s="20"/>
      <c r="BK8" s="20"/>
      <c r="BL8" s="20"/>
      <c r="BM8" s="21" t="s">
        <v>419</v>
      </c>
      <c r="BN8" s="21" t="s">
        <v>419</v>
      </c>
      <c r="BO8" s="20"/>
      <c r="BP8" s="20"/>
      <c r="BQ8" s="20"/>
      <c r="BR8" s="21" t="s">
        <v>416</v>
      </c>
      <c r="BS8" s="20"/>
      <c r="BT8" s="21" t="s">
        <v>326</v>
      </c>
      <c r="BU8" s="21" t="s">
        <v>327</v>
      </c>
      <c r="BV8" s="20"/>
      <c r="BW8" s="20"/>
      <c r="BX8" s="20"/>
      <c r="BY8" s="20" t="s">
        <v>420</v>
      </c>
      <c r="BZ8"/>
      <c r="CA8"/>
      <c r="CB8"/>
      <c r="CC8"/>
      <c r="CD8"/>
      <c r="CE8"/>
      <c r="CF8"/>
      <c r="CG8" s="1" t="s">
        <v>601</v>
      </c>
    </row>
    <row r="9" spans="1:85" ht="12" customHeight="1" x14ac:dyDescent="0.25">
      <c r="A9" s="19" t="s">
        <v>102</v>
      </c>
      <c r="B9" s="19" t="s">
        <v>90</v>
      </c>
      <c r="C9" t="s">
        <v>243</v>
      </c>
      <c r="D9" s="20" t="s">
        <v>271</v>
      </c>
      <c r="E9" t="s">
        <v>243</v>
      </c>
      <c r="F9" s="20" t="s">
        <v>272</v>
      </c>
      <c r="G9" s="19" t="s">
        <v>57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166</v>
      </c>
      <c r="S9" t="s">
        <v>203</v>
      </c>
      <c r="T9" t="s">
        <v>142</v>
      </c>
      <c r="U9" t="s">
        <v>122</v>
      </c>
      <c r="V9" t="s">
        <v>194</v>
      </c>
      <c r="W9" t="s">
        <v>109</v>
      </c>
      <c r="X9" s="20" t="s">
        <v>277</v>
      </c>
      <c r="Y9" t="s">
        <v>122</v>
      </c>
      <c r="Z9" s="20" t="s">
        <v>122</v>
      </c>
      <c r="AA9" s="20" t="s">
        <v>292</v>
      </c>
      <c r="AB9" s="20" t="s">
        <v>122</v>
      </c>
      <c r="AC9" s="22" t="s">
        <v>293</v>
      </c>
      <c r="AD9" s="20" t="s">
        <v>294</v>
      </c>
      <c r="AE9" t="s">
        <v>19</v>
      </c>
      <c r="AF9" t="s">
        <v>240</v>
      </c>
      <c r="AG9" t="s">
        <v>35</v>
      </c>
      <c r="AH9" t="s">
        <v>134</v>
      </c>
      <c r="AI9" t="s">
        <v>70</v>
      </c>
      <c r="AJ9" t="s">
        <v>109</v>
      </c>
      <c r="AK9" t="s">
        <v>109</v>
      </c>
      <c r="AL9" s="20" t="s">
        <v>421</v>
      </c>
      <c r="AM9" s="20"/>
      <c r="AN9" s="20"/>
      <c r="AO9" s="20" t="s">
        <v>422</v>
      </c>
      <c r="AP9" s="20" t="s">
        <v>422</v>
      </c>
      <c r="AQ9" s="20" t="s">
        <v>423</v>
      </c>
      <c r="AR9" s="20" t="s">
        <v>424</v>
      </c>
      <c r="AS9" s="20" t="s">
        <v>425</v>
      </c>
      <c r="AT9" s="20" t="s">
        <v>426</v>
      </c>
      <c r="AU9" s="20">
        <f t="shared" si="0"/>
        <v>28</v>
      </c>
      <c r="AV9" s="21" t="s">
        <v>427</v>
      </c>
      <c r="AW9" s="21" t="s">
        <v>427</v>
      </c>
      <c r="AX9" s="21" t="s">
        <v>428</v>
      </c>
      <c r="AY9" s="21" t="s">
        <v>428</v>
      </c>
      <c r="AZ9" s="20"/>
      <c r="BA9" s="20"/>
      <c r="BB9" s="21" t="s">
        <v>429</v>
      </c>
      <c r="BC9" s="20"/>
      <c r="BD9" s="20"/>
      <c r="BE9" s="20"/>
      <c r="BF9" s="21" t="s">
        <v>430</v>
      </c>
      <c r="BG9" s="21" t="s">
        <v>431</v>
      </c>
      <c r="BH9" s="20"/>
      <c r="BI9" s="20"/>
      <c r="BJ9" s="20"/>
      <c r="BK9" s="20"/>
      <c r="BL9" s="20"/>
      <c r="BM9" s="20"/>
      <c r="BN9" s="20"/>
      <c r="BO9" s="20"/>
      <c r="BP9" s="20"/>
      <c r="BQ9" s="21" t="s">
        <v>432</v>
      </c>
      <c r="BR9" s="21" t="s">
        <v>433</v>
      </c>
      <c r="BS9" s="21" t="s">
        <v>434</v>
      </c>
      <c r="BT9" s="21" t="s">
        <v>326</v>
      </c>
      <c r="BU9" s="21" t="s">
        <v>384</v>
      </c>
      <c r="BV9" s="21" t="s">
        <v>385</v>
      </c>
      <c r="BW9" s="20"/>
      <c r="BX9" s="20"/>
      <c r="BY9" s="20" t="s">
        <v>435</v>
      </c>
      <c r="BZ9"/>
      <c r="CA9"/>
      <c r="CB9"/>
      <c r="CC9"/>
      <c r="CD9"/>
      <c r="CE9"/>
      <c r="CF9"/>
      <c r="CG9" s="1" t="s">
        <v>601</v>
      </c>
    </row>
    <row r="10" spans="1:85" ht="12" customHeight="1" x14ac:dyDescent="0.25">
      <c r="A10" s="19" t="s">
        <v>102</v>
      </c>
      <c r="B10" s="19" t="s">
        <v>90</v>
      </c>
      <c r="C10" t="s">
        <v>243</v>
      </c>
      <c r="D10" s="20" t="s">
        <v>270</v>
      </c>
      <c r="E10" t="s">
        <v>243</v>
      </c>
      <c r="F10" s="20" t="s">
        <v>272</v>
      </c>
      <c r="G10" s="19" t="s">
        <v>57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8</v>
      </c>
      <c r="S10" t="s">
        <v>0</v>
      </c>
      <c r="T10" t="s">
        <v>89</v>
      </c>
      <c r="U10" t="s">
        <v>79</v>
      </c>
      <c r="V10" t="s">
        <v>123</v>
      </c>
      <c r="W10" t="s">
        <v>109</v>
      </c>
      <c r="X10" s="20" t="s">
        <v>89</v>
      </c>
      <c r="Y10" t="s">
        <v>79</v>
      </c>
      <c r="Z10" s="20">
        <v>1522</v>
      </c>
      <c r="AA10" s="20" t="s">
        <v>295</v>
      </c>
      <c r="AB10" s="20">
        <v>1522</v>
      </c>
      <c r="AC10" s="20">
        <v>1522</v>
      </c>
      <c r="AD10" s="20" t="s">
        <v>296</v>
      </c>
      <c r="AE10" t="s">
        <v>186</v>
      </c>
      <c r="AF10" t="s">
        <v>51</v>
      </c>
      <c r="AG10" t="s">
        <v>150</v>
      </c>
      <c r="AH10" t="s">
        <v>159</v>
      </c>
      <c r="AI10" t="s">
        <v>216</v>
      </c>
      <c r="AJ10" t="s">
        <v>222</v>
      </c>
      <c r="AK10" t="s">
        <v>121</v>
      </c>
      <c r="AL10" s="20" t="s">
        <v>436</v>
      </c>
      <c r="AM10" s="20"/>
      <c r="AN10" s="20"/>
      <c r="AO10" s="20" t="s">
        <v>437</v>
      </c>
      <c r="AP10" s="20" t="s">
        <v>437</v>
      </c>
      <c r="AQ10" s="20" t="s">
        <v>438</v>
      </c>
      <c r="AR10" s="20" t="s">
        <v>439</v>
      </c>
      <c r="AS10" s="20" t="s">
        <v>440</v>
      </c>
      <c r="AT10" s="20" t="s">
        <v>441</v>
      </c>
      <c r="AU10" s="20">
        <f t="shared" si="0"/>
        <v>27</v>
      </c>
      <c r="AV10" s="21" t="s">
        <v>442</v>
      </c>
      <c r="AW10" s="21" t="s">
        <v>442</v>
      </c>
      <c r="AX10" s="21" t="s">
        <v>396</v>
      </c>
      <c r="AY10" s="21" t="s">
        <v>396</v>
      </c>
      <c r="AZ10" s="21" t="s">
        <v>121</v>
      </c>
      <c r="BA10" s="21" t="s">
        <v>121</v>
      </c>
      <c r="BB10" s="21" t="s">
        <v>443</v>
      </c>
      <c r="BC10" s="21" t="s">
        <v>444</v>
      </c>
      <c r="BD10" s="21" t="s">
        <v>444</v>
      </c>
      <c r="BE10" s="20"/>
      <c r="BF10" s="21" t="s">
        <v>445</v>
      </c>
      <c r="BG10" s="21" t="s">
        <v>446</v>
      </c>
      <c r="BH10" s="21" t="s">
        <v>447</v>
      </c>
      <c r="BI10" s="21" t="s">
        <v>448</v>
      </c>
      <c r="BJ10" s="20"/>
      <c r="BK10" s="20"/>
      <c r="BL10" s="20"/>
      <c r="BM10" s="20"/>
      <c r="BN10" s="20"/>
      <c r="BO10" s="21" t="s">
        <v>449</v>
      </c>
      <c r="BP10" s="21" t="s">
        <v>449</v>
      </c>
      <c r="BQ10" s="20"/>
      <c r="BR10" s="21" t="s">
        <v>450</v>
      </c>
      <c r="BS10" s="21" t="s">
        <v>451</v>
      </c>
      <c r="BT10" s="21" t="s">
        <v>326</v>
      </c>
      <c r="BU10" s="21" t="s">
        <v>384</v>
      </c>
      <c r="BV10" s="21" t="s">
        <v>385</v>
      </c>
      <c r="BW10" s="20"/>
      <c r="BX10" s="20"/>
      <c r="BY10" s="20" t="s">
        <v>452</v>
      </c>
      <c r="BZ10"/>
      <c r="CA10"/>
      <c r="CB10"/>
      <c r="CC10"/>
      <c r="CD10"/>
      <c r="CE10"/>
      <c r="CF10"/>
      <c r="CG10" s="1" t="s">
        <v>601</v>
      </c>
    </row>
    <row r="11" spans="1:85" ht="12" customHeight="1" x14ac:dyDescent="0.25">
      <c r="A11" s="19" t="s">
        <v>102</v>
      </c>
      <c r="B11" s="19" t="s">
        <v>90</v>
      </c>
      <c r="C11" t="s">
        <v>243</v>
      </c>
      <c r="D11" s="20" t="s">
        <v>270</v>
      </c>
      <c r="E11" t="s">
        <v>243</v>
      </c>
      <c r="F11" s="20" t="s">
        <v>272</v>
      </c>
      <c r="G11" s="19" t="s">
        <v>57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208</v>
      </c>
      <c r="S11" t="s">
        <v>106</v>
      </c>
      <c r="T11" t="s">
        <v>84</v>
      </c>
      <c r="U11" t="s">
        <v>245</v>
      </c>
      <c r="V11" t="s">
        <v>108</v>
      </c>
      <c r="W11" t="s">
        <v>109</v>
      </c>
      <c r="X11" s="20" t="s">
        <v>274</v>
      </c>
      <c r="Y11" t="s">
        <v>245</v>
      </c>
      <c r="Z11" s="20" t="s">
        <v>245</v>
      </c>
      <c r="AA11" s="20" t="s">
        <v>108</v>
      </c>
      <c r="AB11" s="20" t="s">
        <v>245</v>
      </c>
      <c r="AC11" s="20" t="s">
        <v>245</v>
      </c>
      <c r="AD11" s="20" t="s">
        <v>297</v>
      </c>
      <c r="AE11" t="s">
        <v>114</v>
      </c>
      <c r="AF11" t="s">
        <v>173</v>
      </c>
      <c r="AG11" t="s">
        <v>109</v>
      </c>
      <c r="AH11" t="s">
        <v>109</v>
      </c>
      <c r="AI11" t="s">
        <v>109</v>
      </c>
      <c r="AJ11" t="s">
        <v>109</v>
      </c>
      <c r="AK11" t="s">
        <v>109</v>
      </c>
      <c r="AL11" s="20" t="s">
        <v>329</v>
      </c>
      <c r="AM11" s="20" t="s">
        <v>453</v>
      </c>
      <c r="AN11" s="20" t="s">
        <v>454</v>
      </c>
      <c r="AO11" s="20" t="s">
        <v>455</v>
      </c>
      <c r="AP11" s="20" t="s">
        <v>455</v>
      </c>
      <c r="AQ11" s="20" t="s">
        <v>456</v>
      </c>
      <c r="AR11" s="20" t="s">
        <v>457</v>
      </c>
      <c r="AS11" s="20" t="s">
        <v>458</v>
      </c>
      <c r="AT11" s="20" t="s">
        <v>459</v>
      </c>
      <c r="AU11" s="20">
        <f t="shared" si="0"/>
        <v>30</v>
      </c>
      <c r="AV11" s="21" t="s">
        <v>337</v>
      </c>
      <c r="AW11" s="21" t="s">
        <v>337</v>
      </c>
      <c r="AX11" s="21" t="s">
        <v>338</v>
      </c>
      <c r="AY11" s="21" t="s">
        <v>338</v>
      </c>
      <c r="AZ11" s="21" t="s">
        <v>460</v>
      </c>
      <c r="BA11" s="21" t="s">
        <v>460</v>
      </c>
      <c r="BB11" s="21" t="s">
        <v>340</v>
      </c>
      <c r="BC11" s="20"/>
      <c r="BD11" s="20"/>
      <c r="BE11" s="20"/>
      <c r="BF11" s="20"/>
      <c r="BG11" s="20"/>
      <c r="BH11" s="20"/>
      <c r="BI11" s="20"/>
      <c r="BJ11" s="23" t="s">
        <v>341</v>
      </c>
      <c r="BK11" s="23" t="s">
        <v>342</v>
      </c>
      <c r="BL11" s="20"/>
      <c r="BM11" s="20"/>
      <c r="BN11" s="20"/>
      <c r="BO11" s="20"/>
      <c r="BP11" s="20"/>
      <c r="BQ11" s="20"/>
      <c r="BR11" s="21" t="s">
        <v>461</v>
      </c>
      <c r="BS11" s="21" t="s">
        <v>462</v>
      </c>
      <c r="BT11" s="21" t="s">
        <v>326</v>
      </c>
      <c r="BU11" s="21" t="s">
        <v>327</v>
      </c>
      <c r="BV11" s="20"/>
      <c r="BW11" s="20"/>
      <c r="BX11" s="21" t="s">
        <v>345</v>
      </c>
      <c r="BY11" s="20" t="s">
        <v>463</v>
      </c>
      <c r="BZ11"/>
      <c r="CA11"/>
      <c r="CB11"/>
      <c r="CC11"/>
      <c r="CD11"/>
      <c r="CE11"/>
      <c r="CF11"/>
      <c r="CG11" s="1" t="s">
        <v>601</v>
      </c>
    </row>
    <row r="12" spans="1:85" ht="12" customHeight="1" x14ac:dyDescent="0.25">
      <c r="A12" s="19" t="s">
        <v>102</v>
      </c>
      <c r="B12" s="19" t="s">
        <v>90</v>
      </c>
      <c r="C12" t="s">
        <v>243</v>
      </c>
      <c r="D12" s="20" t="s">
        <v>270</v>
      </c>
      <c r="E12" t="s">
        <v>243</v>
      </c>
      <c r="F12" s="20" t="s">
        <v>272</v>
      </c>
      <c r="G12" s="19" t="s">
        <v>57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230</v>
      </c>
      <c r="S12" t="s">
        <v>249</v>
      </c>
      <c r="T12" t="s">
        <v>66</v>
      </c>
      <c r="U12" t="s">
        <v>252</v>
      </c>
      <c r="V12" t="s">
        <v>71</v>
      </c>
      <c r="W12" t="s">
        <v>46</v>
      </c>
      <c r="X12" s="21" t="s">
        <v>278</v>
      </c>
      <c r="Y12" t="s">
        <v>27</v>
      </c>
      <c r="Z12" s="20" t="s">
        <v>27</v>
      </c>
      <c r="AA12" s="20" t="s">
        <v>104</v>
      </c>
      <c r="AB12" s="20" t="s">
        <v>27</v>
      </c>
      <c r="AC12" s="20" t="s">
        <v>27</v>
      </c>
      <c r="AD12" s="20" t="s">
        <v>298</v>
      </c>
      <c r="AE12" t="s">
        <v>53</v>
      </c>
      <c r="AF12" t="s">
        <v>196</v>
      </c>
      <c r="AG12" t="s">
        <v>117</v>
      </c>
      <c r="AH12" t="s">
        <v>201</v>
      </c>
      <c r="AI12" t="s">
        <v>68</v>
      </c>
      <c r="AJ12" t="s">
        <v>241</v>
      </c>
      <c r="AK12" t="s">
        <v>162</v>
      </c>
      <c r="AL12" s="20" t="s">
        <v>464</v>
      </c>
      <c r="AM12" s="20" t="s">
        <v>241</v>
      </c>
      <c r="AN12" s="20" t="s">
        <v>465</v>
      </c>
      <c r="AO12" s="20" t="s">
        <v>466</v>
      </c>
      <c r="AP12" s="20" t="s">
        <v>466</v>
      </c>
      <c r="AQ12" s="20" t="s">
        <v>467</v>
      </c>
      <c r="AR12" s="20" t="s">
        <v>468</v>
      </c>
      <c r="AS12" s="20" t="s">
        <v>469</v>
      </c>
      <c r="AT12" s="20" t="s">
        <v>470</v>
      </c>
      <c r="AU12" s="20">
        <f t="shared" si="0"/>
        <v>27</v>
      </c>
      <c r="AV12" s="21" t="s">
        <v>471</v>
      </c>
      <c r="AW12" s="21" t="s">
        <v>471</v>
      </c>
      <c r="AX12" s="21" t="s">
        <v>472</v>
      </c>
      <c r="AY12" s="21" t="s">
        <v>472</v>
      </c>
      <c r="AZ12" s="21" t="s">
        <v>473</v>
      </c>
      <c r="BA12" s="21" t="s">
        <v>473</v>
      </c>
      <c r="BB12" s="21" t="s">
        <v>474</v>
      </c>
      <c r="BC12" s="21" t="s">
        <v>398</v>
      </c>
      <c r="BD12" s="21" t="s">
        <v>398</v>
      </c>
      <c r="BE12" s="20"/>
      <c r="BF12" s="21" t="s">
        <v>475</v>
      </c>
      <c r="BG12" s="21" t="s">
        <v>476</v>
      </c>
      <c r="BH12" s="20"/>
      <c r="BI12" s="20"/>
      <c r="BJ12" s="20"/>
      <c r="BK12" s="20"/>
      <c r="BL12" s="20"/>
      <c r="BM12" s="21" t="s">
        <v>477</v>
      </c>
      <c r="BN12" s="21" t="s">
        <v>477</v>
      </c>
      <c r="BO12" s="20"/>
      <c r="BP12" s="20"/>
      <c r="BQ12" s="21" t="s">
        <v>478</v>
      </c>
      <c r="BR12" s="21" t="s">
        <v>479</v>
      </c>
      <c r="BS12" s="21" t="s">
        <v>480</v>
      </c>
      <c r="BT12" s="21" t="s">
        <v>326</v>
      </c>
      <c r="BU12" s="21" t="s">
        <v>384</v>
      </c>
      <c r="BV12" s="20"/>
      <c r="BW12" s="20"/>
      <c r="BX12" s="20"/>
      <c r="BY12" s="20" t="s">
        <v>481</v>
      </c>
      <c r="BZ12"/>
      <c r="CA12"/>
      <c r="CB12"/>
      <c r="CC12"/>
      <c r="CD12"/>
      <c r="CE12"/>
      <c r="CF12"/>
      <c r="CG12" s="1" t="s">
        <v>601</v>
      </c>
    </row>
    <row r="13" spans="1:85" ht="12" customHeight="1" x14ac:dyDescent="0.25">
      <c r="A13" s="19" t="s">
        <v>102</v>
      </c>
      <c r="B13" s="19" t="s">
        <v>90</v>
      </c>
      <c r="C13" t="s">
        <v>243</v>
      </c>
      <c r="D13" s="20" t="s">
        <v>270</v>
      </c>
      <c r="E13" t="s">
        <v>243</v>
      </c>
      <c r="F13" s="20" t="s">
        <v>272</v>
      </c>
      <c r="G13" s="19" t="s">
        <v>57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92</v>
      </c>
      <c r="S13" t="s">
        <v>210</v>
      </c>
      <c r="T13" t="s">
        <v>13</v>
      </c>
      <c r="U13" t="s">
        <v>67</v>
      </c>
      <c r="V13" t="s">
        <v>130</v>
      </c>
      <c r="W13" t="s">
        <v>109</v>
      </c>
      <c r="X13" s="20" t="s">
        <v>273</v>
      </c>
      <c r="Y13" t="s">
        <v>67</v>
      </c>
      <c r="Z13" s="20" t="s">
        <v>67</v>
      </c>
      <c r="AA13" s="20" t="s">
        <v>130</v>
      </c>
      <c r="AB13" s="20" t="s">
        <v>67</v>
      </c>
      <c r="AC13" s="20" t="s">
        <v>67</v>
      </c>
      <c r="AD13" s="20" t="s">
        <v>299</v>
      </c>
      <c r="AE13" t="s">
        <v>156</v>
      </c>
      <c r="AF13" t="s">
        <v>214</v>
      </c>
      <c r="AG13" t="s">
        <v>109</v>
      </c>
      <c r="AH13" t="s">
        <v>109</v>
      </c>
      <c r="AI13" t="s">
        <v>109</v>
      </c>
      <c r="AJ13" t="s">
        <v>109</v>
      </c>
      <c r="AK13" t="s">
        <v>109</v>
      </c>
      <c r="AL13" s="20" t="s">
        <v>314</v>
      </c>
      <c r="AM13" s="20"/>
      <c r="AN13" s="20"/>
      <c r="AO13" s="20" t="s">
        <v>482</v>
      </c>
      <c r="AP13" s="20" t="s">
        <v>482</v>
      </c>
      <c r="AQ13" s="20" t="s">
        <v>483</v>
      </c>
      <c r="AR13" s="20" t="s">
        <v>484</v>
      </c>
      <c r="AS13" s="20" t="s">
        <v>485</v>
      </c>
      <c r="AT13" s="20" t="s">
        <v>486</v>
      </c>
      <c r="AU13" s="20">
        <f t="shared" si="0"/>
        <v>30</v>
      </c>
      <c r="AV13" s="21" t="s">
        <v>320</v>
      </c>
      <c r="AW13" s="21" t="s">
        <v>320</v>
      </c>
      <c r="AX13" s="21" t="s">
        <v>321</v>
      </c>
      <c r="AY13" s="21" t="s">
        <v>321</v>
      </c>
      <c r="AZ13" s="21" t="s">
        <v>322</v>
      </c>
      <c r="BA13" s="21" t="s">
        <v>322</v>
      </c>
      <c r="BB13" s="20"/>
      <c r="BC13" s="21" t="s">
        <v>381</v>
      </c>
      <c r="BD13" s="20"/>
      <c r="BE13" s="21" t="s">
        <v>381</v>
      </c>
      <c r="BF13" s="20"/>
      <c r="BG13" s="20"/>
      <c r="BH13" s="20"/>
      <c r="BI13" s="20"/>
      <c r="BJ13" s="20"/>
      <c r="BK13" s="20"/>
      <c r="BL13" s="20"/>
      <c r="BM13" s="21" t="s">
        <v>324</v>
      </c>
      <c r="BN13" s="21" t="s">
        <v>324</v>
      </c>
      <c r="BO13" s="20"/>
      <c r="BP13" s="20"/>
      <c r="BQ13" s="20"/>
      <c r="BR13" s="21" t="s">
        <v>325</v>
      </c>
      <c r="BS13" s="21" t="s">
        <v>325</v>
      </c>
      <c r="BT13" s="21" t="s">
        <v>326</v>
      </c>
      <c r="BU13" s="21" t="s">
        <v>327</v>
      </c>
      <c r="BV13" s="20"/>
      <c r="BW13" s="20"/>
      <c r="BX13" s="20"/>
      <c r="BY13" s="20" t="s">
        <v>487</v>
      </c>
      <c r="BZ13"/>
      <c r="CA13"/>
      <c r="CB13"/>
      <c r="CC13"/>
      <c r="CD13"/>
      <c r="CE13"/>
      <c r="CF13"/>
      <c r="CG13" s="1" t="s">
        <v>601</v>
      </c>
    </row>
    <row r="14" spans="1:85" ht="12" customHeight="1" x14ac:dyDescent="0.25">
      <c r="A14" s="19" t="s">
        <v>102</v>
      </c>
      <c r="B14" s="19" t="s">
        <v>90</v>
      </c>
      <c r="C14" t="s">
        <v>243</v>
      </c>
      <c r="D14" s="20" t="s">
        <v>270</v>
      </c>
      <c r="E14" t="s">
        <v>243</v>
      </c>
      <c r="F14" s="20" t="s">
        <v>272</v>
      </c>
      <c r="G14" s="19" t="s">
        <v>57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88</v>
      </c>
      <c r="S14" t="s">
        <v>0</v>
      </c>
      <c r="T14" t="s">
        <v>89</v>
      </c>
      <c r="U14" t="s">
        <v>265</v>
      </c>
      <c r="V14" t="s">
        <v>123</v>
      </c>
      <c r="W14" t="s">
        <v>109</v>
      </c>
      <c r="X14" s="20" t="s">
        <v>89</v>
      </c>
      <c r="Y14" t="s">
        <v>265</v>
      </c>
      <c r="Z14" s="20">
        <v>3903240801</v>
      </c>
      <c r="AA14" s="20" t="s">
        <v>295</v>
      </c>
      <c r="AB14" s="20">
        <v>3903240801</v>
      </c>
      <c r="AC14" s="20">
        <v>3903240801</v>
      </c>
      <c r="AD14" s="20" t="s">
        <v>300</v>
      </c>
      <c r="AE14" t="s">
        <v>188</v>
      </c>
      <c r="AF14" t="s">
        <v>267</v>
      </c>
      <c r="AG14" t="s">
        <v>266</v>
      </c>
      <c r="AH14" t="s">
        <v>63</v>
      </c>
      <c r="AI14" t="s">
        <v>132</v>
      </c>
      <c r="AJ14" t="s">
        <v>269</v>
      </c>
      <c r="AK14" t="s">
        <v>262</v>
      </c>
      <c r="AL14" s="20" t="s">
        <v>488</v>
      </c>
      <c r="AM14" s="20" t="s">
        <v>269</v>
      </c>
      <c r="AN14" s="20" t="s">
        <v>489</v>
      </c>
      <c r="AO14" s="20" t="s">
        <v>490</v>
      </c>
      <c r="AP14" s="20" t="s">
        <v>490</v>
      </c>
      <c r="AQ14" s="20" t="s">
        <v>491</v>
      </c>
      <c r="AR14" s="20" t="s">
        <v>492</v>
      </c>
      <c r="AS14" s="20" t="s">
        <v>493</v>
      </c>
      <c r="AT14" s="20" t="s">
        <v>494</v>
      </c>
      <c r="AU14" s="20">
        <f t="shared" si="0"/>
        <v>25</v>
      </c>
      <c r="AV14" s="21" t="s">
        <v>495</v>
      </c>
      <c r="AW14" s="21" t="s">
        <v>495</v>
      </c>
      <c r="AX14" s="21" t="s">
        <v>496</v>
      </c>
      <c r="AY14" s="21" t="s">
        <v>496</v>
      </c>
      <c r="AZ14" s="21" t="s">
        <v>262</v>
      </c>
      <c r="BA14" s="21" t="s">
        <v>262</v>
      </c>
      <c r="BB14" s="21" t="s">
        <v>497</v>
      </c>
      <c r="BC14" s="23" t="s">
        <v>498</v>
      </c>
      <c r="BD14" s="23" t="s">
        <v>499</v>
      </c>
      <c r="BE14" s="20"/>
      <c r="BF14" s="21" t="s">
        <v>500</v>
      </c>
      <c r="BG14" s="21" t="s">
        <v>501</v>
      </c>
      <c r="BH14" s="21" t="s">
        <v>502</v>
      </c>
      <c r="BI14" s="21" t="s">
        <v>503</v>
      </c>
      <c r="BJ14" s="20"/>
      <c r="BK14" s="20"/>
      <c r="BL14" s="20"/>
      <c r="BM14" s="20"/>
      <c r="BN14" s="20"/>
      <c r="BO14" s="20"/>
      <c r="BP14" s="20"/>
      <c r="BQ14" s="20"/>
      <c r="BR14" s="21" t="s">
        <v>504</v>
      </c>
      <c r="BS14" s="21" t="s">
        <v>505</v>
      </c>
      <c r="BT14" s="21" t="s">
        <v>326</v>
      </c>
      <c r="BU14" s="21" t="s">
        <v>327</v>
      </c>
      <c r="BV14" s="20"/>
      <c r="BW14" s="20"/>
      <c r="BX14" s="20"/>
      <c r="BY14" s="20" t="s">
        <v>506</v>
      </c>
      <c r="BZ14"/>
      <c r="CA14"/>
      <c r="CB14"/>
      <c r="CC14"/>
      <c r="CD14"/>
      <c r="CE14"/>
      <c r="CF14"/>
      <c r="CG14" s="1" t="s">
        <v>601</v>
      </c>
    </row>
    <row r="15" spans="1:85" ht="12" customHeight="1" x14ac:dyDescent="0.25">
      <c r="A15" s="19" t="s">
        <v>102</v>
      </c>
      <c r="B15" s="19" t="s">
        <v>90</v>
      </c>
      <c r="C15" t="s">
        <v>243</v>
      </c>
      <c r="D15" s="20" t="s">
        <v>270</v>
      </c>
      <c r="E15" t="s">
        <v>243</v>
      </c>
      <c r="F15" s="20" t="s">
        <v>272</v>
      </c>
      <c r="G15" s="19" t="s">
        <v>57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172</v>
      </c>
      <c r="S15" t="s">
        <v>47</v>
      </c>
      <c r="T15" t="s">
        <v>195</v>
      </c>
      <c r="U15" t="s">
        <v>5</v>
      </c>
      <c r="V15" t="s">
        <v>59</v>
      </c>
      <c r="W15" t="s">
        <v>218</v>
      </c>
      <c r="X15" s="20" t="s">
        <v>195</v>
      </c>
      <c r="Y15" t="s">
        <v>5</v>
      </c>
      <c r="Z15" s="20" t="s">
        <v>5</v>
      </c>
      <c r="AA15" s="20" t="s">
        <v>301</v>
      </c>
      <c r="AB15" s="20" t="s">
        <v>5</v>
      </c>
      <c r="AC15" s="20" t="s">
        <v>5</v>
      </c>
      <c r="AD15" s="20" t="s">
        <v>302</v>
      </c>
      <c r="AE15" t="s">
        <v>197</v>
      </c>
      <c r="AF15" t="s">
        <v>133</v>
      </c>
      <c r="AG15" t="s">
        <v>3</v>
      </c>
      <c r="AH15" t="s">
        <v>3</v>
      </c>
      <c r="AI15" t="s">
        <v>87</v>
      </c>
      <c r="AJ15" t="s">
        <v>14</v>
      </c>
      <c r="AK15" t="s">
        <v>98</v>
      </c>
      <c r="AL15" s="20" t="s">
        <v>507</v>
      </c>
      <c r="AM15" s="20" t="s">
        <v>14</v>
      </c>
      <c r="AN15" s="20" t="s">
        <v>508</v>
      </c>
      <c r="AO15" s="20" t="s">
        <v>509</v>
      </c>
      <c r="AP15" s="20" t="s">
        <v>509</v>
      </c>
      <c r="AQ15" s="20" t="s">
        <v>510</v>
      </c>
      <c r="AR15" s="20" t="s">
        <v>511</v>
      </c>
      <c r="AS15" s="20" t="s">
        <v>512</v>
      </c>
      <c r="AT15" s="20" t="s">
        <v>513</v>
      </c>
      <c r="AU15" s="20">
        <f t="shared" si="0"/>
        <v>30</v>
      </c>
      <c r="AV15" s="21" t="s">
        <v>514</v>
      </c>
      <c r="AW15" s="21" t="s">
        <v>514</v>
      </c>
      <c r="AX15" s="21" t="s">
        <v>515</v>
      </c>
      <c r="AY15" s="21" t="s">
        <v>515</v>
      </c>
      <c r="AZ15" s="21" t="s">
        <v>516</v>
      </c>
      <c r="BA15" s="21" t="s">
        <v>516</v>
      </c>
      <c r="BB15" s="21" t="s">
        <v>517</v>
      </c>
      <c r="BC15" s="20"/>
      <c r="BD15" s="20"/>
      <c r="BE15" s="20"/>
      <c r="BF15" s="21" t="s">
        <v>518</v>
      </c>
      <c r="BG15" s="21" t="s">
        <v>519</v>
      </c>
      <c r="BH15" s="20"/>
      <c r="BI15" s="20"/>
      <c r="BJ15" s="20"/>
      <c r="BK15" s="20"/>
      <c r="BL15" s="20"/>
      <c r="BM15" s="21" t="s">
        <v>520</v>
      </c>
      <c r="BN15" s="21" t="s">
        <v>520</v>
      </c>
      <c r="BO15" s="20"/>
      <c r="BP15" s="20"/>
      <c r="BQ15" s="20"/>
      <c r="BR15" s="21" t="s">
        <v>521</v>
      </c>
      <c r="BS15" s="21" t="s">
        <v>522</v>
      </c>
      <c r="BT15" s="21" t="s">
        <v>326</v>
      </c>
      <c r="BU15" s="21" t="s">
        <v>327</v>
      </c>
      <c r="BV15" s="20"/>
      <c r="BW15" s="20"/>
      <c r="BX15" s="20"/>
      <c r="BY15" s="20" t="s">
        <v>523</v>
      </c>
      <c r="BZ15"/>
      <c r="CA15"/>
      <c r="CB15"/>
      <c r="CC15"/>
      <c r="CD15"/>
      <c r="CE15"/>
      <c r="CF15"/>
      <c r="CG15" s="1" t="s">
        <v>601</v>
      </c>
    </row>
    <row r="16" spans="1:85" ht="12" customHeight="1" x14ac:dyDescent="0.25">
      <c r="A16" s="19" t="s">
        <v>102</v>
      </c>
      <c r="B16" s="19" t="s">
        <v>90</v>
      </c>
      <c r="C16" t="s">
        <v>243</v>
      </c>
      <c r="D16" s="20" t="s">
        <v>270</v>
      </c>
      <c r="E16" t="s">
        <v>243</v>
      </c>
      <c r="F16" s="20" t="s">
        <v>272</v>
      </c>
      <c r="G16" s="19" t="s">
        <v>57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165</v>
      </c>
      <c r="S16" t="s">
        <v>249</v>
      </c>
      <c r="T16" t="s">
        <v>66</v>
      </c>
      <c r="U16" t="s">
        <v>100</v>
      </c>
      <c r="V16" t="s">
        <v>71</v>
      </c>
      <c r="W16" t="s">
        <v>46</v>
      </c>
      <c r="X16" s="21" t="s">
        <v>278</v>
      </c>
      <c r="Y16" t="s">
        <v>97</v>
      </c>
      <c r="Z16" s="20" t="s">
        <v>97</v>
      </c>
      <c r="AA16" s="20" t="s">
        <v>104</v>
      </c>
      <c r="AB16" s="20" t="s">
        <v>97</v>
      </c>
      <c r="AC16" s="20" t="s">
        <v>97</v>
      </c>
      <c r="AD16" s="20" t="s">
        <v>303</v>
      </c>
      <c r="AE16" t="s">
        <v>78</v>
      </c>
      <c r="AF16" t="s">
        <v>111</v>
      </c>
      <c r="AG16" t="s">
        <v>191</v>
      </c>
      <c r="AH16" t="s">
        <v>25</v>
      </c>
      <c r="AI16" t="s">
        <v>68</v>
      </c>
      <c r="AJ16" t="s">
        <v>241</v>
      </c>
      <c r="AK16" t="s">
        <v>162</v>
      </c>
      <c r="AL16" s="20" t="s">
        <v>464</v>
      </c>
      <c r="AM16" s="20" t="s">
        <v>241</v>
      </c>
      <c r="AN16" s="20" t="s">
        <v>465</v>
      </c>
      <c r="AO16" s="20" t="s">
        <v>524</v>
      </c>
      <c r="AP16" s="20" t="s">
        <v>524</v>
      </c>
      <c r="AQ16" s="20" t="s">
        <v>525</v>
      </c>
      <c r="AR16" s="20" t="s">
        <v>526</v>
      </c>
      <c r="AS16" s="20" t="s">
        <v>527</v>
      </c>
      <c r="AT16" s="20" t="s">
        <v>528</v>
      </c>
      <c r="AU16" s="20">
        <f t="shared" si="0"/>
        <v>27</v>
      </c>
      <c r="AV16" s="21" t="s">
        <v>471</v>
      </c>
      <c r="AW16" s="21" t="s">
        <v>471</v>
      </c>
      <c r="AX16" s="21" t="s">
        <v>472</v>
      </c>
      <c r="AY16" s="21" t="s">
        <v>472</v>
      </c>
      <c r="AZ16" s="21" t="s">
        <v>473</v>
      </c>
      <c r="BA16" s="21" t="s">
        <v>473</v>
      </c>
      <c r="BB16" s="21" t="s">
        <v>474</v>
      </c>
      <c r="BC16" s="21" t="s">
        <v>529</v>
      </c>
      <c r="BD16" s="21" t="s">
        <v>529</v>
      </c>
      <c r="BE16" s="20"/>
      <c r="BF16" s="21" t="s">
        <v>475</v>
      </c>
      <c r="BG16" s="21" t="s">
        <v>476</v>
      </c>
      <c r="BH16" s="20"/>
      <c r="BI16" s="20"/>
      <c r="BJ16" s="20"/>
      <c r="BK16" s="20"/>
      <c r="BL16" s="20"/>
      <c r="BM16" s="21" t="s">
        <v>477</v>
      </c>
      <c r="BN16" s="21" t="s">
        <v>477</v>
      </c>
      <c r="BO16" s="20"/>
      <c r="BP16" s="20"/>
      <c r="BQ16" s="21" t="s">
        <v>478</v>
      </c>
      <c r="BR16" s="21" t="s">
        <v>479</v>
      </c>
      <c r="BS16" s="21" t="s">
        <v>480</v>
      </c>
      <c r="BT16" s="21" t="s">
        <v>326</v>
      </c>
      <c r="BU16" s="21" t="s">
        <v>384</v>
      </c>
      <c r="BV16" s="20"/>
      <c r="BW16" s="20"/>
      <c r="BX16" s="20"/>
      <c r="BY16" s="20" t="s">
        <v>481</v>
      </c>
      <c r="BZ16"/>
      <c r="CA16"/>
      <c r="CB16"/>
      <c r="CC16"/>
      <c r="CD16"/>
      <c r="CE16"/>
      <c r="CF16"/>
      <c r="CG16" s="1" t="s">
        <v>601</v>
      </c>
    </row>
    <row r="17" spans="1:85" ht="12" customHeight="1" x14ac:dyDescent="0.25">
      <c r="A17" s="19" t="s">
        <v>102</v>
      </c>
      <c r="B17" s="19" t="s">
        <v>90</v>
      </c>
      <c r="C17" t="s">
        <v>243</v>
      </c>
      <c r="D17" s="20" t="s">
        <v>270</v>
      </c>
      <c r="E17" t="s">
        <v>243</v>
      </c>
      <c r="F17" s="20" t="s">
        <v>272</v>
      </c>
      <c r="G17" s="19" t="s">
        <v>57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23</v>
      </c>
      <c r="S17" t="s">
        <v>249</v>
      </c>
      <c r="T17" t="s">
        <v>66</v>
      </c>
      <c r="U17" t="s">
        <v>77</v>
      </c>
      <c r="V17" t="s">
        <v>71</v>
      </c>
      <c r="W17" t="s">
        <v>46</v>
      </c>
      <c r="X17" s="21" t="s">
        <v>278</v>
      </c>
      <c r="Y17" t="s">
        <v>28</v>
      </c>
      <c r="Z17" s="20" t="s">
        <v>28</v>
      </c>
      <c r="AA17" s="20" t="s">
        <v>104</v>
      </c>
      <c r="AB17" s="20" t="s">
        <v>28</v>
      </c>
      <c r="AC17" s="20" t="s">
        <v>28</v>
      </c>
      <c r="AD17" s="20" t="s">
        <v>304</v>
      </c>
      <c r="AE17" t="s">
        <v>26</v>
      </c>
      <c r="AF17" t="s">
        <v>205</v>
      </c>
      <c r="AG17" t="s">
        <v>225</v>
      </c>
      <c r="AH17" t="s">
        <v>11</v>
      </c>
      <c r="AI17" t="s">
        <v>68</v>
      </c>
      <c r="AJ17" t="s">
        <v>241</v>
      </c>
      <c r="AK17" t="s">
        <v>104</v>
      </c>
      <c r="AL17" s="20" t="s">
        <v>464</v>
      </c>
      <c r="AM17" s="20" t="s">
        <v>241</v>
      </c>
      <c r="AN17" s="20" t="s">
        <v>465</v>
      </c>
      <c r="AO17" s="20" t="s">
        <v>530</v>
      </c>
      <c r="AP17" s="20" t="s">
        <v>530</v>
      </c>
      <c r="AQ17" s="20" t="s">
        <v>531</v>
      </c>
      <c r="AR17" s="20" t="s">
        <v>532</v>
      </c>
      <c r="AS17" s="20" t="s">
        <v>533</v>
      </c>
      <c r="AT17" s="20" t="s">
        <v>534</v>
      </c>
      <c r="AU17" s="20">
        <f t="shared" si="0"/>
        <v>26</v>
      </c>
      <c r="AV17" s="21" t="s">
        <v>471</v>
      </c>
      <c r="AW17" s="21" t="s">
        <v>471</v>
      </c>
      <c r="AX17" s="21" t="s">
        <v>472</v>
      </c>
      <c r="AY17" s="21" t="s">
        <v>472</v>
      </c>
      <c r="AZ17" s="21" t="s">
        <v>473</v>
      </c>
      <c r="BA17" s="21" t="s">
        <v>473</v>
      </c>
      <c r="BB17" s="21" t="s">
        <v>474</v>
      </c>
      <c r="BC17" s="21" t="s">
        <v>535</v>
      </c>
      <c r="BD17" s="21" t="s">
        <v>535</v>
      </c>
      <c r="BE17" s="20"/>
      <c r="BF17" s="21" t="s">
        <v>475</v>
      </c>
      <c r="BG17" s="21" t="s">
        <v>476</v>
      </c>
      <c r="BH17" s="20"/>
      <c r="BI17" s="20"/>
      <c r="BJ17" s="20"/>
      <c r="BK17" s="20"/>
      <c r="BL17" s="20"/>
      <c r="BM17" s="21" t="s">
        <v>477</v>
      </c>
      <c r="BN17" s="21" t="s">
        <v>477</v>
      </c>
      <c r="BO17" s="20"/>
      <c r="BP17" s="20"/>
      <c r="BQ17" s="21" t="s">
        <v>478</v>
      </c>
      <c r="BR17" s="21" t="s">
        <v>479</v>
      </c>
      <c r="BS17" s="21" t="s">
        <v>480</v>
      </c>
      <c r="BT17" s="21" t="s">
        <v>326</v>
      </c>
      <c r="BU17" s="21" t="s">
        <v>384</v>
      </c>
      <c r="BV17" s="20"/>
      <c r="BW17" s="20"/>
      <c r="BX17" s="20"/>
      <c r="BY17" s="20" t="s">
        <v>481</v>
      </c>
      <c r="BZ17"/>
      <c r="CA17"/>
      <c r="CB17"/>
      <c r="CC17"/>
      <c r="CD17"/>
      <c r="CE17"/>
      <c r="CF17"/>
      <c r="CG17" s="1" t="s">
        <v>601</v>
      </c>
    </row>
    <row r="18" spans="1:85" ht="12" customHeight="1" x14ac:dyDescent="0.25">
      <c r="A18" s="19" t="s">
        <v>102</v>
      </c>
      <c r="B18" s="19" t="s">
        <v>90</v>
      </c>
      <c r="C18" t="s">
        <v>243</v>
      </c>
      <c r="D18" s="20" t="s">
        <v>270</v>
      </c>
      <c r="E18" t="s">
        <v>243</v>
      </c>
      <c r="F18" s="20" t="s">
        <v>272</v>
      </c>
      <c r="G18" s="19" t="s">
        <v>57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137</v>
      </c>
      <c r="S18" t="s">
        <v>185</v>
      </c>
      <c r="T18" t="s">
        <v>99</v>
      </c>
      <c r="U18" t="s">
        <v>60</v>
      </c>
      <c r="V18" t="s">
        <v>39</v>
      </c>
      <c r="W18" t="s">
        <v>109</v>
      </c>
      <c r="X18" s="20" t="s">
        <v>99</v>
      </c>
      <c r="Y18" t="s">
        <v>60</v>
      </c>
      <c r="Z18" s="20" t="s">
        <v>60</v>
      </c>
      <c r="AA18" s="20" t="s">
        <v>305</v>
      </c>
      <c r="AB18" s="20" t="s">
        <v>60</v>
      </c>
      <c r="AC18" s="20" t="s">
        <v>60</v>
      </c>
      <c r="AD18" s="20" t="s">
        <v>306</v>
      </c>
      <c r="AE18" t="s">
        <v>174</v>
      </c>
      <c r="AF18" t="s">
        <v>52</v>
      </c>
      <c r="AG18" t="s">
        <v>119</v>
      </c>
      <c r="AH18" t="s">
        <v>213</v>
      </c>
      <c r="AI18" t="s">
        <v>260</v>
      </c>
      <c r="AJ18" t="s">
        <v>109</v>
      </c>
      <c r="AK18" t="s">
        <v>107</v>
      </c>
      <c r="AL18" s="20" t="s">
        <v>536</v>
      </c>
      <c r="AM18" s="20"/>
      <c r="AN18" s="20"/>
      <c r="AO18" s="20" t="s">
        <v>537</v>
      </c>
      <c r="AP18" s="20" t="s">
        <v>537</v>
      </c>
      <c r="AQ18" s="20" t="s">
        <v>538</v>
      </c>
      <c r="AR18" s="20" t="s">
        <v>539</v>
      </c>
      <c r="AS18" s="20" t="s">
        <v>540</v>
      </c>
      <c r="AT18" s="20" t="s">
        <v>541</v>
      </c>
      <c r="AU18" s="20">
        <f t="shared" si="0"/>
        <v>28</v>
      </c>
      <c r="AV18" s="21" t="s">
        <v>542</v>
      </c>
      <c r="AW18" s="21" t="s">
        <v>542</v>
      </c>
      <c r="AX18" s="21" t="s">
        <v>543</v>
      </c>
      <c r="AY18" s="21" t="s">
        <v>543</v>
      </c>
      <c r="AZ18" s="21" t="s">
        <v>107</v>
      </c>
      <c r="BA18" s="21" t="s">
        <v>107</v>
      </c>
      <c r="BB18" s="21" t="s">
        <v>544</v>
      </c>
      <c r="BC18" s="20"/>
      <c r="BD18" s="20"/>
      <c r="BE18" s="20"/>
      <c r="BF18" s="20"/>
      <c r="BG18" s="20"/>
      <c r="BH18" s="20"/>
      <c r="BI18" s="20"/>
      <c r="BJ18" s="21" t="s">
        <v>545</v>
      </c>
      <c r="BK18" s="21" t="s">
        <v>546</v>
      </c>
      <c r="BL18" s="20"/>
      <c r="BM18" s="20"/>
      <c r="BN18" s="20"/>
      <c r="BO18" s="21" t="s">
        <v>547</v>
      </c>
      <c r="BP18" s="21" t="s">
        <v>547</v>
      </c>
      <c r="BQ18" s="20"/>
      <c r="BR18" s="21" t="s">
        <v>544</v>
      </c>
      <c r="BS18" s="20"/>
      <c r="BT18" s="21" t="s">
        <v>326</v>
      </c>
      <c r="BU18" s="20"/>
      <c r="BV18" s="21" t="s">
        <v>385</v>
      </c>
      <c r="BW18" s="20"/>
      <c r="BX18" s="20"/>
      <c r="BY18" s="20" t="s">
        <v>548</v>
      </c>
      <c r="BZ18"/>
      <c r="CA18"/>
      <c r="CB18"/>
      <c r="CC18"/>
      <c r="CD18"/>
      <c r="CE18"/>
      <c r="CF18"/>
      <c r="CG18" s="1" t="s">
        <v>601</v>
      </c>
    </row>
    <row r="19" spans="1:85" ht="12" customHeight="1" x14ac:dyDescent="0.25">
      <c r="A19" s="19" t="s">
        <v>102</v>
      </c>
      <c r="B19" s="19" t="s">
        <v>90</v>
      </c>
      <c r="C19" t="s">
        <v>243</v>
      </c>
      <c r="D19" s="20" t="s">
        <v>270</v>
      </c>
      <c r="E19" t="s">
        <v>243</v>
      </c>
      <c r="F19" s="20" t="s">
        <v>272</v>
      </c>
      <c r="G19" s="19" t="s">
        <v>57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215</v>
      </c>
      <c r="S19" t="s">
        <v>210</v>
      </c>
      <c r="T19" t="s">
        <v>13</v>
      </c>
      <c r="U19" t="s">
        <v>48</v>
      </c>
      <c r="V19" t="s">
        <v>130</v>
      </c>
      <c r="W19" t="s">
        <v>109</v>
      </c>
      <c r="X19" s="20" t="s">
        <v>273</v>
      </c>
      <c r="Y19" t="s">
        <v>48</v>
      </c>
      <c r="Z19" s="20" t="s">
        <v>48</v>
      </c>
      <c r="AA19" s="20" t="s">
        <v>130</v>
      </c>
      <c r="AB19" s="20" t="s">
        <v>48</v>
      </c>
      <c r="AC19" s="20" t="s">
        <v>48</v>
      </c>
      <c r="AD19" s="20" t="s">
        <v>307</v>
      </c>
      <c r="AE19" t="s">
        <v>164</v>
      </c>
      <c r="AF19" t="s">
        <v>128</v>
      </c>
      <c r="AG19" t="s">
        <v>109</v>
      </c>
      <c r="AH19" t="s">
        <v>109</v>
      </c>
      <c r="AI19" t="s">
        <v>109</v>
      </c>
      <c r="AJ19" t="s">
        <v>109</v>
      </c>
      <c r="AK19" t="s">
        <v>109</v>
      </c>
      <c r="AL19" s="20" t="s">
        <v>314</v>
      </c>
      <c r="AM19" s="20"/>
      <c r="AN19" s="20"/>
      <c r="AO19" s="20" t="s">
        <v>549</v>
      </c>
      <c r="AP19" s="20" t="s">
        <v>549</v>
      </c>
      <c r="AQ19" s="20" t="s">
        <v>550</v>
      </c>
      <c r="AR19" s="20" t="s">
        <v>551</v>
      </c>
      <c r="AS19" s="20" t="s">
        <v>552</v>
      </c>
      <c r="AT19" s="20" t="s">
        <v>553</v>
      </c>
      <c r="AU19" s="20">
        <f t="shared" si="0"/>
        <v>29</v>
      </c>
      <c r="AV19" s="21" t="s">
        <v>320</v>
      </c>
      <c r="AW19" s="21" t="s">
        <v>320</v>
      </c>
      <c r="AX19" s="21" t="s">
        <v>321</v>
      </c>
      <c r="AY19" s="21" t="s">
        <v>321</v>
      </c>
      <c r="AZ19" s="21" t="s">
        <v>322</v>
      </c>
      <c r="BA19" s="21" t="s">
        <v>322</v>
      </c>
      <c r="BB19" s="20"/>
      <c r="BC19" s="21" t="s">
        <v>554</v>
      </c>
      <c r="BD19" s="20"/>
      <c r="BE19" s="21" t="s">
        <v>554</v>
      </c>
      <c r="BF19" s="20"/>
      <c r="BG19" s="20"/>
      <c r="BH19" s="20"/>
      <c r="BI19" s="20"/>
      <c r="BJ19" s="20"/>
      <c r="BK19" s="20"/>
      <c r="BL19" s="20"/>
      <c r="BM19" s="21" t="s">
        <v>324</v>
      </c>
      <c r="BN19" s="21" t="s">
        <v>324</v>
      </c>
      <c r="BO19" s="20"/>
      <c r="BP19" s="20"/>
      <c r="BQ19" s="20"/>
      <c r="BR19" s="21" t="s">
        <v>325</v>
      </c>
      <c r="BS19" s="21" t="s">
        <v>325</v>
      </c>
      <c r="BT19" s="21" t="s">
        <v>326</v>
      </c>
      <c r="BU19" s="21" t="s">
        <v>327</v>
      </c>
      <c r="BV19" s="20"/>
      <c r="BW19" s="20"/>
      <c r="BX19" s="20"/>
      <c r="BY19" s="20" t="s">
        <v>555</v>
      </c>
      <c r="BZ19"/>
      <c r="CA19"/>
      <c r="CB19"/>
      <c r="CC19"/>
      <c r="CD19"/>
      <c r="CE19"/>
      <c r="CF19"/>
      <c r="CG19" s="1" t="s">
        <v>601</v>
      </c>
    </row>
    <row r="20" spans="1:85" ht="12" customHeight="1" x14ac:dyDescent="0.25">
      <c r="A20" s="19" t="s">
        <v>102</v>
      </c>
      <c r="B20" s="19" t="s">
        <v>90</v>
      </c>
      <c r="C20" t="s">
        <v>243</v>
      </c>
      <c r="D20" s="20" t="s">
        <v>270</v>
      </c>
      <c r="E20" t="s">
        <v>243</v>
      </c>
      <c r="F20" s="20" t="s">
        <v>272</v>
      </c>
      <c r="G20" s="19" t="s">
        <v>57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193</v>
      </c>
      <c r="S20" t="s">
        <v>190</v>
      </c>
      <c r="T20" t="s">
        <v>221</v>
      </c>
      <c r="U20" t="s">
        <v>93</v>
      </c>
      <c r="V20" t="s">
        <v>149</v>
      </c>
      <c r="W20" t="s">
        <v>109</v>
      </c>
      <c r="X20" s="21" t="s">
        <v>149</v>
      </c>
      <c r="Y20" t="s">
        <v>212</v>
      </c>
      <c r="Z20" s="20" t="s">
        <v>212</v>
      </c>
      <c r="AA20" s="21" t="s">
        <v>282</v>
      </c>
      <c r="AB20" s="20" t="s">
        <v>212</v>
      </c>
      <c r="AC20" s="20" t="s">
        <v>308</v>
      </c>
      <c r="AD20" s="20" t="s">
        <v>309</v>
      </c>
      <c r="AE20" t="s">
        <v>110</v>
      </c>
      <c r="AF20" t="s">
        <v>250</v>
      </c>
      <c r="AG20" t="s">
        <v>120</v>
      </c>
      <c r="AH20" t="s">
        <v>109</v>
      </c>
      <c r="AI20" t="s">
        <v>235</v>
      </c>
      <c r="AJ20" t="s">
        <v>109</v>
      </c>
      <c r="AK20" t="s">
        <v>109</v>
      </c>
      <c r="AL20" s="20" t="s">
        <v>347</v>
      </c>
      <c r="AM20" s="20"/>
      <c r="AN20" s="20"/>
      <c r="AO20" s="20" t="s">
        <v>120</v>
      </c>
      <c r="AP20" s="20" t="s">
        <v>120</v>
      </c>
      <c r="AQ20" s="20" t="s">
        <v>556</v>
      </c>
      <c r="AR20" s="20" t="s">
        <v>557</v>
      </c>
      <c r="AS20" s="20" t="s">
        <v>558</v>
      </c>
      <c r="AT20" s="20" t="s">
        <v>559</v>
      </c>
      <c r="AU20" s="20">
        <f t="shared" si="0"/>
        <v>30</v>
      </c>
      <c r="AV20" s="21" t="s">
        <v>352</v>
      </c>
      <c r="AW20" s="21" t="s">
        <v>352</v>
      </c>
      <c r="AX20" s="21" t="s">
        <v>353</v>
      </c>
      <c r="AY20" s="21" t="s">
        <v>353</v>
      </c>
      <c r="AZ20" s="21" t="s">
        <v>354</v>
      </c>
      <c r="BA20" s="21" t="s">
        <v>354</v>
      </c>
      <c r="BB20" s="21" t="s">
        <v>355</v>
      </c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1" t="s">
        <v>355</v>
      </c>
      <c r="BN20" s="20"/>
      <c r="BO20" s="20"/>
      <c r="BP20" s="20"/>
      <c r="BQ20" s="20"/>
      <c r="BR20" s="21" t="s">
        <v>560</v>
      </c>
      <c r="BS20" s="21" t="s">
        <v>560</v>
      </c>
      <c r="BT20" s="20"/>
      <c r="BU20" s="20"/>
      <c r="BV20" s="20"/>
      <c r="BW20" s="20"/>
      <c r="BX20" s="20"/>
      <c r="BY20" s="20" t="s">
        <v>561</v>
      </c>
      <c r="BZ20"/>
      <c r="CA20"/>
      <c r="CB20"/>
      <c r="CC20"/>
      <c r="CD20"/>
      <c r="CE20"/>
      <c r="CF20"/>
      <c r="CG20" s="1" t="s">
        <v>601</v>
      </c>
    </row>
    <row r="21" spans="1:85" ht="12" customHeight="1" x14ac:dyDescent="0.25">
      <c r="A21" s="19" t="s">
        <v>102</v>
      </c>
      <c r="B21" s="19" t="s">
        <v>90</v>
      </c>
      <c r="C21" t="s">
        <v>243</v>
      </c>
      <c r="D21" s="20" t="s">
        <v>270</v>
      </c>
      <c r="E21" t="s">
        <v>243</v>
      </c>
      <c r="F21" s="20" t="s">
        <v>272</v>
      </c>
      <c r="G21" s="19" t="s">
        <v>57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141</v>
      </c>
      <c r="S21" t="s">
        <v>139</v>
      </c>
      <c r="T21" t="s">
        <v>24</v>
      </c>
      <c r="U21" t="s">
        <v>220</v>
      </c>
      <c r="V21" t="s">
        <v>178</v>
      </c>
      <c r="W21" t="s">
        <v>109</v>
      </c>
      <c r="X21" s="20" t="s">
        <v>24</v>
      </c>
      <c r="Y21" t="s">
        <v>220</v>
      </c>
      <c r="Z21" s="20">
        <v>25194</v>
      </c>
      <c r="AA21" s="20" t="s">
        <v>178</v>
      </c>
      <c r="AB21" s="20">
        <v>25194</v>
      </c>
      <c r="AC21" s="20">
        <v>25194</v>
      </c>
      <c r="AD21" s="20" t="s">
        <v>310</v>
      </c>
      <c r="AE21" t="s">
        <v>9</v>
      </c>
      <c r="AF21" t="s">
        <v>155</v>
      </c>
      <c r="AG21" t="s">
        <v>82</v>
      </c>
      <c r="AH21" t="s">
        <v>82</v>
      </c>
      <c r="AI21" t="s">
        <v>65</v>
      </c>
      <c r="AJ21" t="s">
        <v>109</v>
      </c>
      <c r="AK21" t="s">
        <v>246</v>
      </c>
      <c r="AL21" s="20" t="s">
        <v>562</v>
      </c>
      <c r="AM21" s="20"/>
      <c r="AN21" s="20"/>
      <c r="AO21" s="20" t="s">
        <v>563</v>
      </c>
      <c r="AP21" s="20" t="s">
        <v>563</v>
      </c>
      <c r="AQ21" s="20" t="s">
        <v>564</v>
      </c>
      <c r="AR21" s="20" t="s">
        <v>565</v>
      </c>
      <c r="AS21" s="20" t="s">
        <v>566</v>
      </c>
      <c r="AT21" s="20" t="s">
        <v>567</v>
      </c>
      <c r="AU21" s="20">
        <f t="shared" si="0"/>
        <v>27</v>
      </c>
      <c r="AV21" s="21" t="s">
        <v>568</v>
      </c>
      <c r="AW21" s="21" t="s">
        <v>568</v>
      </c>
      <c r="AX21" s="21" t="s">
        <v>569</v>
      </c>
      <c r="AY21" s="21" t="s">
        <v>569</v>
      </c>
      <c r="AZ21" s="21" t="s">
        <v>246</v>
      </c>
      <c r="BA21" s="21" t="s">
        <v>246</v>
      </c>
      <c r="BB21" s="21" t="s">
        <v>570</v>
      </c>
      <c r="BC21" s="21" t="s">
        <v>571</v>
      </c>
      <c r="BD21" s="21" t="s">
        <v>571</v>
      </c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1" t="s">
        <v>572</v>
      </c>
      <c r="BS21" s="21" t="s">
        <v>573</v>
      </c>
      <c r="BT21" s="21" t="s">
        <v>326</v>
      </c>
      <c r="BU21" s="21" t="s">
        <v>327</v>
      </c>
      <c r="BV21" s="20"/>
      <c r="BW21" s="20"/>
      <c r="BX21" s="21" t="s">
        <v>574</v>
      </c>
      <c r="BY21" s="20" t="s">
        <v>575</v>
      </c>
      <c r="BZ21"/>
      <c r="CA21"/>
      <c r="CB21"/>
      <c r="CC21"/>
      <c r="CD21"/>
      <c r="CE21"/>
      <c r="CF21"/>
      <c r="CG21" s="1" t="s">
        <v>601</v>
      </c>
    </row>
    <row r="22" spans="1:85" ht="12" customHeight="1" x14ac:dyDescent="0.25">
      <c r="A22" s="19" t="s">
        <v>102</v>
      </c>
      <c r="B22" s="19" t="s">
        <v>90</v>
      </c>
      <c r="C22" t="s">
        <v>243</v>
      </c>
      <c r="D22" s="20" t="s">
        <v>270</v>
      </c>
      <c r="E22" t="s">
        <v>243</v>
      </c>
      <c r="F22" s="20" t="s">
        <v>272</v>
      </c>
      <c r="G22" s="19" t="s">
        <v>57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148</v>
      </c>
      <c r="S22" t="s">
        <v>0</v>
      </c>
      <c r="T22" t="s">
        <v>89</v>
      </c>
      <c r="U22" t="s">
        <v>126</v>
      </c>
      <c r="V22" t="s">
        <v>123</v>
      </c>
      <c r="W22" t="s">
        <v>109</v>
      </c>
      <c r="X22" s="20" t="s">
        <v>89</v>
      </c>
      <c r="Y22" t="s">
        <v>126</v>
      </c>
      <c r="Z22" s="20">
        <v>3903240201</v>
      </c>
      <c r="AA22" s="20" t="s">
        <v>295</v>
      </c>
      <c r="AB22" s="20">
        <v>3903240201</v>
      </c>
      <c r="AC22" s="20">
        <v>3903240201</v>
      </c>
      <c r="AD22" s="20" t="s">
        <v>311</v>
      </c>
      <c r="AE22" t="s">
        <v>234</v>
      </c>
      <c r="AF22" t="s">
        <v>261</v>
      </c>
      <c r="AG22" t="s">
        <v>233</v>
      </c>
      <c r="AH22" t="s">
        <v>233</v>
      </c>
      <c r="AI22" t="s">
        <v>132</v>
      </c>
      <c r="AJ22" t="s">
        <v>269</v>
      </c>
      <c r="AK22" t="s">
        <v>262</v>
      </c>
      <c r="AL22" s="20" t="s">
        <v>488</v>
      </c>
      <c r="AM22" s="20" t="s">
        <v>269</v>
      </c>
      <c r="AN22" s="20" t="s">
        <v>489</v>
      </c>
      <c r="AO22" s="20" t="s">
        <v>576</v>
      </c>
      <c r="AP22" s="20" t="s">
        <v>576</v>
      </c>
      <c r="AQ22" s="20" t="s">
        <v>577</v>
      </c>
      <c r="AR22" s="20" t="s">
        <v>578</v>
      </c>
      <c r="AS22" s="20" t="s">
        <v>579</v>
      </c>
      <c r="AT22" s="20" t="s">
        <v>580</v>
      </c>
      <c r="AU22" s="20">
        <f t="shared" si="0"/>
        <v>25</v>
      </c>
      <c r="AV22" s="21" t="s">
        <v>495</v>
      </c>
      <c r="AW22" s="21" t="s">
        <v>495</v>
      </c>
      <c r="AX22" s="21" t="s">
        <v>496</v>
      </c>
      <c r="AY22" s="21" t="s">
        <v>496</v>
      </c>
      <c r="AZ22" s="21" t="s">
        <v>262</v>
      </c>
      <c r="BA22" s="21" t="s">
        <v>262</v>
      </c>
      <c r="BB22" s="21" t="s">
        <v>497</v>
      </c>
      <c r="BC22" s="23" t="s">
        <v>498</v>
      </c>
      <c r="BD22" s="23" t="s">
        <v>499</v>
      </c>
      <c r="BE22" s="20"/>
      <c r="BF22" s="21" t="s">
        <v>500</v>
      </c>
      <c r="BG22" s="21" t="s">
        <v>501</v>
      </c>
      <c r="BH22" s="21" t="s">
        <v>581</v>
      </c>
      <c r="BI22" s="21" t="s">
        <v>582</v>
      </c>
      <c r="BJ22" s="20"/>
      <c r="BK22" s="20"/>
      <c r="BL22" s="20"/>
      <c r="BM22" s="20"/>
      <c r="BN22" s="20"/>
      <c r="BO22" s="20"/>
      <c r="BP22" s="20"/>
      <c r="BQ22" s="20"/>
      <c r="BR22" s="21" t="s">
        <v>504</v>
      </c>
      <c r="BS22" s="21" t="s">
        <v>505</v>
      </c>
      <c r="BT22" s="21" t="s">
        <v>326</v>
      </c>
      <c r="BU22" s="21" t="s">
        <v>327</v>
      </c>
      <c r="BV22" s="20"/>
      <c r="BW22" s="20"/>
      <c r="BX22" s="20"/>
      <c r="BY22" s="20" t="s">
        <v>583</v>
      </c>
      <c r="BZ22"/>
      <c r="CA22"/>
      <c r="CB22"/>
      <c r="CC22"/>
      <c r="CD22"/>
      <c r="CE22"/>
      <c r="CF22"/>
      <c r="CG22" s="1" t="s">
        <v>601</v>
      </c>
    </row>
    <row r="23" spans="1:85" ht="12" customHeight="1" x14ac:dyDescent="0.25">
      <c r="A23" s="19" t="s">
        <v>102</v>
      </c>
      <c r="B23" s="19" t="s">
        <v>90</v>
      </c>
      <c r="C23" t="s">
        <v>243</v>
      </c>
      <c r="D23" s="20" t="s">
        <v>270</v>
      </c>
      <c r="E23" t="s">
        <v>243</v>
      </c>
      <c r="F23" s="20" t="s">
        <v>272</v>
      </c>
      <c r="G23" s="19" t="s">
        <v>57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179</v>
      </c>
      <c r="S23" t="s">
        <v>170</v>
      </c>
      <c r="T23" t="s">
        <v>189</v>
      </c>
      <c r="U23" t="s">
        <v>75</v>
      </c>
      <c r="V23" t="s">
        <v>236</v>
      </c>
      <c r="W23" t="s">
        <v>109</v>
      </c>
      <c r="X23" s="20" t="s">
        <v>279</v>
      </c>
      <c r="Y23" t="s">
        <v>75</v>
      </c>
      <c r="Z23" s="20" t="s">
        <v>75</v>
      </c>
      <c r="AA23" s="20" t="s">
        <v>312</v>
      </c>
      <c r="AB23" s="20" t="s">
        <v>75</v>
      </c>
      <c r="AC23" s="20" t="s">
        <v>75</v>
      </c>
      <c r="AD23" s="20" t="s">
        <v>313</v>
      </c>
      <c r="AE23" t="s">
        <v>61</v>
      </c>
      <c r="AF23" t="s">
        <v>226</v>
      </c>
      <c r="AG23" t="s">
        <v>183</v>
      </c>
      <c r="AH23" t="s">
        <v>109</v>
      </c>
      <c r="AI23" t="s">
        <v>109</v>
      </c>
      <c r="AJ23" t="s">
        <v>109</v>
      </c>
      <c r="AK23" t="s">
        <v>109</v>
      </c>
      <c r="AL23" s="20" t="s">
        <v>536</v>
      </c>
      <c r="AM23" s="20"/>
      <c r="AN23" s="20"/>
      <c r="AO23" s="20" t="s">
        <v>584</v>
      </c>
      <c r="AP23" s="20" t="s">
        <v>584</v>
      </c>
      <c r="AQ23" s="20" t="s">
        <v>585</v>
      </c>
      <c r="AR23" s="20" t="s">
        <v>586</v>
      </c>
      <c r="AS23" s="20" t="s">
        <v>587</v>
      </c>
      <c r="AT23" s="20" t="s">
        <v>588</v>
      </c>
      <c r="AU23" s="20">
        <f t="shared" si="0"/>
        <v>27</v>
      </c>
      <c r="AV23" s="21" t="s">
        <v>589</v>
      </c>
      <c r="AW23" s="21" t="s">
        <v>589</v>
      </c>
      <c r="AX23" s="21" t="s">
        <v>590</v>
      </c>
      <c r="AY23" s="21" t="s">
        <v>590</v>
      </c>
      <c r="AZ23" s="20"/>
      <c r="BA23" s="20"/>
      <c r="BB23" s="21" t="s">
        <v>591</v>
      </c>
      <c r="BC23" s="21" t="s">
        <v>592</v>
      </c>
      <c r="BD23" s="21" t="s">
        <v>592</v>
      </c>
      <c r="BE23" s="20"/>
      <c r="BF23" s="21" t="s">
        <v>593</v>
      </c>
      <c r="BG23" s="21" t="s">
        <v>594</v>
      </c>
      <c r="BH23" s="20"/>
      <c r="BI23" s="20"/>
      <c r="BJ23" s="20"/>
      <c r="BK23" s="20"/>
      <c r="BL23" s="20"/>
      <c r="BM23" s="21" t="s">
        <v>595</v>
      </c>
      <c r="BN23" s="21" t="s">
        <v>595</v>
      </c>
      <c r="BO23" s="20"/>
      <c r="BP23" s="20"/>
      <c r="BQ23" s="21" t="s">
        <v>596</v>
      </c>
      <c r="BR23" s="21" t="s">
        <v>597</v>
      </c>
      <c r="BS23" s="21" t="s">
        <v>598</v>
      </c>
      <c r="BT23" s="20"/>
      <c r="BU23" s="20"/>
      <c r="BV23" s="20"/>
      <c r="BW23" s="20"/>
      <c r="BX23" s="21" t="s">
        <v>599</v>
      </c>
      <c r="BY23" s="20" t="s">
        <v>600</v>
      </c>
      <c r="BZ23"/>
      <c r="CA23"/>
      <c r="CB23"/>
      <c r="CC23"/>
      <c r="CD23"/>
      <c r="CE23"/>
      <c r="CF23"/>
      <c r="CG23" s="1" t="s">
        <v>601</v>
      </c>
    </row>
  </sheetData>
  <autoFilter ref="A1:CG23"/>
  <sortState ref="A2:CH23">
    <sortCondition ref="P2:P2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2023-07-06T13:04:36Z</dcterms:modified>
</cp:coreProperties>
</file>