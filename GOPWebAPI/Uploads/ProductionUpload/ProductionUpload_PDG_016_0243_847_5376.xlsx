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35C7642E-F44B-480E-806E-176931E45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3" i="1" l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<sst xmlns="http://schemas.openxmlformats.org/spreadsheetml/2006/main" count="604" uniqueCount="275">
  <si>
    <t>016-243</t>
  </si>
  <si>
    <t>ASIS Item Description (Long Description 4000)</t>
  </si>
  <si>
    <t>JNJ_BC0516RU</t>
  </si>
  <si>
    <t>PRODIGO1063689</t>
  </si>
  <si>
    <t>Ref#</t>
  </si>
  <si>
    <t>PRODIGO1063686_7</t>
  </si>
  <si>
    <t>PRODIGO1063682</t>
  </si>
  <si>
    <t>PRODIGO1063692</t>
  </si>
  <si>
    <t>CATHETER BALLOON RELIEVA ULTIRRA 7MM 24MM SINUS</t>
  </si>
  <si>
    <t>Item Description (Long Description)</t>
  </si>
  <si>
    <t>URL</t>
  </si>
  <si>
    <t>PRODIGO1063687</t>
  </si>
  <si>
    <t>PRODIGO1063682_3</t>
  </si>
  <si>
    <t>To Process</t>
  </si>
  <si>
    <t>Classification Remarks1</t>
  </si>
  <si>
    <t>Project2</t>
  </si>
  <si>
    <t>Source1</t>
  </si>
  <si>
    <t>CATHETER BALLOON RELIEVA ULTIRRA 7MM 16MM SINUS</t>
  </si>
  <si>
    <t>HCPCS Desc1</t>
  </si>
  <si>
    <t>Property</t>
  </si>
  <si>
    <t>Standardized UNSPSC1</t>
  </si>
  <si>
    <t>Standardized UNSPSC</t>
  </si>
  <si>
    <t>Data Enrichment | UNSPSC Classification</t>
  </si>
  <si>
    <t>Delivered</t>
  </si>
  <si>
    <t>Potential Duplicates</t>
  </si>
  <si>
    <t>Description Duplicate</t>
  </si>
  <si>
    <t>BC0724RU</t>
  </si>
  <si>
    <t>QE Code</t>
  </si>
  <si>
    <t>Long Description</t>
  </si>
  <si>
    <t>PRODIGO1063683</t>
  </si>
  <si>
    <t>BC0716RU</t>
  </si>
  <si>
    <t>JNJ_BC0724RU</t>
  </si>
  <si>
    <t>Mapped with 066</t>
  </si>
  <si>
    <t>QA Comments</t>
  </si>
  <si>
    <t>Ref</t>
  </si>
  <si>
    <t>PDF</t>
  </si>
  <si>
    <t>DE Code</t>
  </si>
  <si>
    <t>RefName</t>
  </si>
  <si>
    <t>HCPCS code</t>
  </si>
  <si>
    <t>QA Code</t>
  </si>
  <si>
    <t>SlNo</t>
  </si>
  <si>
    <t>PRODIGO1063687_8</t>
  </si>
  <si>
    <t>SE Code</t>
  </si>
  <si>
    <t>Item Description (Long Description 4000)1</t>
  </si>
  <si>
    <t>Potential Duplicates1</t>
  </si>
  <si>
    <t>PrimaryDimension(IDXODXLXWXHXDXTHK)</t>
  </si>
  <si>
    <t>Production User</t>
  </si>
  <si>
    <t>Long Description 254 Enriched</t>
  </si>
  <si>
    <t>Sort Code</t>
  </si>
  <si>
    <t>Short Description 60 Enriched</t>
  </si>
  <si>
    <t>BC1640A</t>
  </si>
  <si>
    <t>SYSTEM CATHETER BALLOON DILATATION 8.5MM DIA BALLOON 24MML BALLOON TRACHEA BRONCHI F/DILATING STRICTURE AIRWAY TREE INSPIRA AIR STERILE SINGLE-USE</t>
  </si>
  <si>
    <t>Status</t>
  </si>
  <si>
    <t>PRODIGO1063680</t>
  </si>
  <si>
    <t>PRODIGO1063690</t>
  </si>
  <si>
    <t>PRODIGO1063690_11</t>
  </si>
  <si>
    <t>Standardized Manufacturer Name</t>
  </si>
  <si>
    <t>PRODIGO1063683_4</t>
  </si>
  <si>
    <t>JNJ HEALTHCARE</t>
  </si>
  <si>
    <t>HCPCS description</t>
  </si>
  <si>
    <t>Project1</t>
  </si>
  <si>
    <t>Descr Status</t>
  </si>
  <si>
    <t>BC1240A</t>
  </si>
  <si>
    <t>Sterile</t>
  </si>
  <si>
    <t>PRODIGO1063684_5</t>
  </si>
  <si>
    <t>Location</t>
  </si>
  <si>
    <t>PRODIGO1063680_1</t>
  </si>
  <si>
    <t>PRODIGO1063692_12</t>
  </si>
  <si>
    <t>Mfg Item Number</t>
  </si>
  <si>
    <t>Miscellaneous</t>
  </si>
  <si>
    <t>Mfg Name</t>
  </si>
  <si>
    <t>Prodigo Standard Short Description - 254</t>
  </si>
  <si>
    <t>BC8524A</t>
  </si>
  <si>
    <t>Tab</t>
  </si>
  <si>
    <t>Batch</t>
  </si>
  <si>
    <t>SYSTEM CATHETER BALLOON DILATATION ENDOSCOPIC 14MM DIA 40MML TRACHEA BRONCHI F/DILATING STRICTURE AIRWAY TREE INSPIRA AIR STERILE SINGLE-USE</t>
  </si>
  <si>
    <t>BrandName</t>
  </si>
  <si>
    <t>JNJ_BC0716RU</t>
  </si>
  <si>
    <t>Item Name (Short Description)</t>
  </si>
  <si>
    <t>Modifier</t>
  </si>
  <si>
    <t>Customer Code</t>
  </si>
  <si>
    <t>File Name</t>
  </si>
  <si>
    <t>Quality A/R</t>
  </si>
  <si>
    <t>TRACKER ENT TRUDI PATIENT</t>
  </si>
  <si>
    <t>Short Description</t>
  </si>
  <si>
    <t>Volume/Weight</t>
  </si>
  <si>
    <t>URL1</t>
  </si>
  <si>
    <t>UNSPSC Description</t>
  </si>
  <si>
    <t>PRODIGO1063684</t>
  </si>
  <si>
    <t>UNSPC V24</t>
  </si>
  <si>
    <t>SLNo_Prod</t>
  </si>
  <si>
    <t>Mfg Ref ID</t>
  </si>
  <si>
    <t>Remarks1</t>
  </si>
  <si>
    <t>Remarks</t>
  </si>
  <si>
    <t>JNJ_BC8524A</t>
  </si>
  <si>
    <t>Age</t>
  </si>
  <si>
    <t>SYSTEM CATHETER BALLOON DILATATION ENDOSCOPIC 7MM DIA 24MML TRACHEA BRONCHI F/DILATING STRICTURE AIRWAY TREE INSPIRA AIR STERILE SINGLE-USE</t>
  </si>
  <si>
    <t>QE Comments</t>
  </si>
  <si>
    <t>RefCat</t>
  </si>
  <si>
    <t>UNSPSC</t>
  </si>
  <si>
    <t>PRODIGO1063688</t>
  </si>
  <si>
    <t>Classification Remarks</t>
  </si>
  <si>
    <t>Size</t>
  </si>
  <si>
    <t>Len</t>
  </si>
  <si>
    <t>BC1440A</t>
  </si>
  <si>
    <t>JOHNSON &amp; JOHNSON</t>
  </si>
  <si>
    <t>Delivered Date</t>
  </si>
  <si>
    <t>Potential / Desc Duplicate across Consolidated</t>
  </si>
  <si>
    <t>Standardized Manufacturer Item Number</t>
  </si>
  <si>
    <t>Packaging for drugs and solutions</t>
  </si>
  <si>
    <t>SYSTEM CATHETER BALLOON DILATATION ENDOSCOPIC 16MM DIA 40MML TRACHEA BRONCHI W/NON-COMPLIANT BALLOON CATHETER F/DILATING STRICTURE AIRWAY TREE INSPIRA AIR STERILE SINGLE-USE</t>
  </si>
  <si>
    <t>Previous CE Code</t>
  </si>
  <si>
    <t>Miscellaneous1</t>
  </si>
  <si>
    <t>Material</t>
  </si>
  <si>
    <t>ProdigoItemKey1</t>
  </si>
  <si>
    <t>PRODIGO1063689_10</t>
  </si>
  <si>
    <t>Activities</t>
  </si>
  <si>
    <t>PRODIGO1063685</t>
  </si>
  <si>
    <t>Production Comments</t>
  </si>
  <si>
    <t>ForGhria_Output_2023-08-11</t>
  </si>
  <si>
    <t>Latex</t>
  </si>
  <si>
    <t>Noun</t>
  </si>
  <si>
    <t>DPT5</t>
  </si>
  <si>
    <t>JNJ_BC1640A</t>
  </si>
  <si>
    <t>JNJ_BC0524A</t>
  </si>
  <si>
    <t>Start Date</t>
  </si>
  <si>
    <t>Adjective</t>
  </si>
  <si>
    <t>Accepted Date</t>
  </si>
  <si>
    <t>PDG</t>
  </si>
  <si>
    <t>Short Description 60 Enriched1</t>
  </si>
  <si>
    <t>JNJ_BC0616RU</t>
  </si>
  <si>
    <t>JNJ</t>
  </si>
  <si>
    <t>BC1040A</t>
  </si>
  <si>
    <t>Sort Comment</t>
  </si>
  <si>
    <t>PRODIGO1063681_2</t>
  </si>
  <si>
    <t>JNJ_DPT5</t>
  </si>
  <si>
    <t>PRODIGO1063688_9</t>
  </si>
  <si>
    <t>SYSTEM CATHETER BALLOON DILATATION ENDOSCOPIC 10MM DIA 40MML TRACHEA BRONCHI W/NON-COMPLIANT BALLOON CATHETER F/DILATING STRICTURE AIRWAY TREE INSPIRA AIR STERILE SINGLE-USE</t>
  </si>
  <si>
    <t>PRODIGO1063685_6</t>
  </si>
  <si>
    <t>PRODIGO1063681</t>
  </si>
  <si>
    <t>BC0516RU</t>
  </si>
  <si>
    <t>CGM</t>
  </si>
  <si>
    <t>Validated MFR Name</t>
  </si>
  <si>
    <t>Brandname1</t>
  </si>
  <si>
    <t>Conc</t>
  </si>
  <si>
    <t>ProdigoItemKey</t>
  </si>
  <si>
    <t>BC0724A</t>
  </si>
  <si>
    <t>Count</t>
  </si>
  <si>
    <t>Job No</t>
  </si>
  <si>
    <t>CATHETER BALLOON RELIEVA ULTIRRA 5MM 16MM SINUS</t>
  </si>
  <si>
    <t>JNJ_BC1240A</t>
  </si>
  <si>
    <t>CATHETER BALLOON RELIEVA ULTIRRA 6MM 16MM SINUS</t>
  </si>
  <si>
    <t>Project</t>
  </si>
  <si>
    <t>SE Comments</t>
  </si>
  <si>
    <t>Secondary Dimension(IDXODXLXWXHXDXTHK)</t>
  </si>
  <si>
    <t>UNSPSC Description1</t>
  </si>
  <si>
    <t>Gender</t>
  </si>
  <si>
    <t>Project_Code</t>
  </si>
  <si>
    <t>BC0616RU</t>
  </si>
  <si>
    <t>BC0524A</t>
  </si>
  <si>
    <t>Source</t>
  </si>
  <si>
    <t>To_Process</t>
  </si>
  <si>
    <t>Corrected By</t>
  </si>
  <si>
    <t>Color</t>
  </si>
  <si>
    <t>SYSTEM CATHETER BALLOON DILATATION ENDOSCOPIC 5MM DIA 24MML TRACHEA BRONCHI F/DILATING STRICTURE AIRWAY TREE INSPIRA AIR STERILE SINGLE-USE</t>
  </si>
  <si>
    <t>UNSPSC1</t>
  </si>
  <si>
    <t>PRODIGO1063686</t>
  </si>
  <si>
    <t>JNJ_BC1040A</t>
  </si>
  <si>
    <t>HCPCS1</t>
  </si>
  <si>
    <t>Validated MFR Num</t>
  </si>
  <si>
    <t>11kProdigoItemKey</t>
  </si>
  <si>
    <t>Long Description 254 Enriched1</t>
  </si>
  <si>
    <t>64kProdigoItemKey</t>
  </si>
  <si>
    <t>Disposable</t>
  </si>
  <si>
    <t>JNJ_BC1440A</t>
  </si>
  <si>
    <t>JNJ_BC0724A</t>
  </si>
  <si>
    <t>CE Comments</t>
  </si>
  <si>
    <t>Job No1</t>
  </si>
  <si>
    <t>SYSTEM CATHETER BALLOON DILATATION ENDOSCOPIC 12MM DIA 40MML TRACHEA BRONCHI W/NON-COMPLIANT BALLOON CATHETER F/DILATING STRICTURE AIRWAY TREE INSPIRA AIR STERILE SINGLE-USE</t>
  </si>
  <si>
    <t>SOURCED</t>
  </si>
  <si>
    <t>OK</t>
  </si>
  <si>
    <t>ACCLARENT INC</t>
  </si>
  <si>
    <t>42143502  Nasal and sinus irrigation or dilation devices</t>
  </si>
  <si>
    <t>C1726</t>
  </si>
  <si>
    <t>CATHETER, BALLOON DILATATION, NON-VASCULAR</t>
  </si>
  <si>
    <t>CATHETER BALLOON DILATATION HIGH PERFORMANCE 5X16 MM INTRA SINUS IRRIGATION RELIEVA ULTIRRA</t>
  </si>
  <si>
    <t>CATHETER, BALLOON DILATATION, HIGH PERFORMANCE, 5X16 MM, SINUS, IRRIGATION, DURABLE, STERILE, RELIEVA ULTIRRA, LATEX</t>
  </si>
  <si>
    <t>CATHETER, BALLOON DIL, HI PERF, 5X16 MM, SINUS, IRRIGATION, DURABLE, STRL, RELIEVA ULTIRRA, LTX</t>
  </si>
  <si>
    <t>CATHETER, BALLOON DIL, HI PERF, 5X16 MM, SINUS, RELIEVA ULTIRRA</t>
  </si>
  <si>
    <t>CATHETER</t>
  </si>
  <si>
    <t>BALLOON DILATATION</t>
  </si>
  <si>
    <t>HIGH PERFORMANCE</t>
  </si>
  <si>
    <t>5X16 MM</t>
  </si>
  <si>
    <t>SINUS</t>
  </si>
  <si>
    <t>IRRIGATION, DURABLE</t>
  </si>
  <si>
    <t>STERILE</t>
  </si>
  <si>
    <t>RELIEVA ULTIRRA</t>
  </si>
  <si>
    <t>LATEX</t>
  </si>
  <si>
    <t>https://www.jnjmedicaldevices.com/en-US/product/relieva-ultirrar-sinus-balloon-catheter, https://accessgudid.nlm.nih.gov/devices/10705031200258, https://accessgudid.nlm.nih.gov/devices/10705031200258</t>
  </si>
  <si>
    <t>42294909  Endoscopic dilators or inflation devices</t>
  </si>
  <si>
    <t>INSPIRA AIR BALLOON DILATION SYSTEM 5 24</t>
  </si>
  <si>
    <t>CATHETER, BALLOON DILATATION, HIGH PRESSURE, 5X24 MM, TRACHEA, BRONCHI, NON COMPLIANT, INTEGRATED STYLET, ENDOSCOPIC, FOR DILATING STRICTURE AIRWAY TREE, STERILE, INSPIRA AIR, LATEX, DISPOSABLE</t>
  </si>
  <si>
    <t>CATHETER, BALLOON DIL, HI PRESSURE, 5X24 MM, TRACH, BRONCHI, N COMPLIANT, INTEGR STYL, ENDOSCP, FOR DIL STRICTURE AIRWY TREE, STRL, INSPIRA AIR, LTX, DISP</t>
  </si>
  <si>
    <t>CATHETER, BALLOON DIL, HI PRESSURE, 5X24 MM, INSPIRA AIR</t>
  </si>
  <si>
    <t>HIGH PRESSURE</t>
  </si>
  <si>
    <t>5X24 MM</t>
  </si>
  <si>
    <t>TRACHEA, BRONCHI</t>
  </si>
  <si>
    <t>NON COMPLIANT, INTEGRATED STYLET, ENDOSCOPIC, FOR DILATING STRICTURE AIRWAY TREE</t>
  </si>
  <si>
    <t>INSPIRA AIR</t>
  </si>
  <si>
    <t>DISPOSABLE</t>
  </si>
  <si>
    <t>https://www.jnjmedicaldevices.com/en-US/product/inspira-air-balloon-dilation-system, https://accessgudid.nlm.nih.gov/devices/10705031131996</t>
  </si>
  <si>
    <t>CATHETER BALLOON DILATATION HIGH PERFORMANCE 6X16 MM INTRA SINUS IRRIGATION RELIEVA ULTIRRA</t>
  </si>
  <si>
    <t>CATHETER, BALLOON DILATATION, HIGH PERFORMANCE, 6X16 MM, SINUS, IRRIGATION, DURABLE, STERILE, RELIEVA ULTIRRA, LATEX</t>
  </si>
  <si>
    <t>CATHETER, BALLOON DIL, HI PERF, 6X16 MM, SINUS, IRRIGATION, DURABLE, STRL, RELIEVA ULTIRRA, LTX</t>
  </si>
  <si>
    <t>CATHETER, BALLOON DIL, HI PERF, 6X16 MM, SINUS, RELIEVA ULTIRRA</t>
  </si>
  <si>
    <t>6X16 MM</t>
  </si>
  <si>
    <t>http://www.easmed.com/main/wp-content/uploads/Relieva-Ultirra-Brochure.pdf, https://accessgudid.nlm.nih.gov/devices/10705031200272</t>
  </si>
  <si>
    <t>CATHETER BALLOON DILATATION 7X16 MM INTRA SINUS IRRIGATION RELIEVA ULTIRRA</t>
  </si>
  <si>
    <t>CATHETER, BALLOON DILATATION, HIGH PERFORMANCE, 7X16 MM, SINUS, IRRIGATION, DURABLE, STERILE, RELIEVA ULTIRRA, LATEX</t>
  </si>
  <si>
    <t>CATHETER, BALLOON DIL, HI PERF, 7X16 MM, SINUS, IRRIGATION, DURABLE, STRL, RELIEVA ULTIRRA, LTX</t>
  </si>
  <si>
    <t>CATHETER, BALLOON DIL, HI PERF, 7X16 MM, SINUS, RELIEVA ULTIRRA</t>
  </si>
  <si>
    <t>7X16 MM</t>
  </si>
  <si>
    <t>http://www.easmed.com/main/wp-content/uploads/Relieva-Ultirra-Brochure.pdf, https://accessgudid.nlm.nih.gov/devices/10705031200289</t>
  </si>
  <si>
    <t>CATHETER BALLOON DILATATION HIGH PRESSURE 7X24 MM NON COMPLIANT INTEGRATED STYLET INSPIRA AIR</t>
  </si>
  <si>
    <t>CATHETER, BALLOON DILATATION, HIGH PRESSURE, 7X24 MM, TRACHEA, BRONCHI, NON COMPLIANT, INTEGRATED STYLET, ENDOSCOPIC, FOR DILATING STRICTURE AIRWAY TREE, STERILE, INSPIRA AIR, LATEX, DISPOSABLE</t>
  </si>
  <si>
    <t>CATHETER, BALLOON DIL, HI PRESSURE, 7X24 MM, TRACH, BRONCHI, N COMPLIANT, INTEGR STYL, ENDOSCP, FOR DIL STRICTURE AIRWY TREE, STRL, INSPIRA AIR, LTX, DISP</t>
  </si>
  <si>
    <t>CATHETER, BALLOON DIL, HI PRESSURE, 7X24 MM, INSPIRA AIR</t>
  </si>
  <si>
    <t>7X24 MM</t>
  </si>
  <si>
    <t>https://www.jnjmedicaldevices.com/en-US/product/inspira-air-balloon-dilation-system, https://accessgudid.nlm.nih.gov/devices/10705031132061</t>
  </si>
  <si>
    <t>CATHETER BALLOON DILATATION HIGH PERFORMANCE 7X24 MM INTRA SINUS IRRIGATION DURABLE RELIEVA ULTIRRA</t>
  </si>
  <si>
    <t>CATHETER, BALLOON DILATATION, HIGH PERFORMANCE, 7X24 MM, SINUS, IRRIGATION, DURABLE, STERILE, RELIEVA ULTIRRA, LATEX</t>
  </si>
  <si>
    <t>CATHETER, BALLOON DIL, HI PERF, 7X24 MM, SINUS, IRRIGATION, DURABLE, STRL, RELIEVA ULTIRRA, LTX</t>
  </si>
  <si>
    <t>CATHETER, BALLOON DIL, HI PERF, 7X24 MM, SINUS, RELIEVA ULTIRRA</t>
  </si>
  <si>
    <t>https://www.jnjmedicaldevices.com/en-US/product/relieva-ultirra-sinus-balloon-catheter, https://accessgudid.nlm.nih.gov/devices/10705031200296</t>
  </si>
  <si>
    <t>CATHETER BALLOON DILATATION HIGH PRESSURE 10X40 MM NON COMPLIANT INTEGRATED STYLET INSPIRA AIR</t>
  </si>
  <si>
    <t>CATHETER, BALLOON DILATATION, HIGH PRESSURE, 10X40 MM, TRACHEA, BRONCHI, NON COMPLIANT, INTEGRATED STYLET, ENDOSCOPIC, FOR DILATING STRICTURE AIRWAY TREE, STERILE, INSPIRA AIR, LATEX, DISPOSABLE</t>
  </si>
  <si>
    <t>CATHETER, BALLOON DIL, HI PRESSURE, 10X40 MM, TRACH, BRONCHI, N COMPLIANT, INTEGR STYL, ENDOSCP, FOR DIL STRICTURE AIRWY TREE, STRL, INSPIRA AIR, LTX, DISP</t>
  </si>
  <si>
    <t>CATHETER, BALLOON DIL, HI PRESSURE, 10X40 MM, INSPIRA AIR</t>
  </si>
  <si>
    <t>10X40 MM</t>
  </si>
  <si>
    <t>https://www.jnjmedicaldevices.com/en-US/product/inspira-air-balloon-dilation-system, https://accessgudid.nlm.nih.gov/devices/10705031063297</t>
  </si>
  <si>
    <t>CATHETER BALLOON DILATATION HIGH PRESSURE 12X40 MM NON COMPLIANT INTEGRATED STYLET INSPIRA AIR</t>
  </si>
  <si>
    <t>CATHETER, BALLOON DILATATION, HIGH PRESSURE, 12X40 MM, TRACHEA, BRONCHI, NON COMPLIANT, INTEGRATED STYLET, ENDOSCOPIC, FOR DILATING STRICTURE AIRWAY TREE, STERILE, INSPIRA AIR, LATEX, DISPOSABLE</t>
  </si>
  <si>
    <t>CATHETER, BALLOON DIL, HI PRESSURE, 12X40 MM, TRACH, BRONCHI, N COMPLIANT, INTEGR STYL, ENDOSCP, FOR DIL STRICTURE AIRWY TREE, STRL, INSPIRA AIR, LTX, DISP</t>
  </si>
  <si>
    <t>CATHETER, BALLOON DIL, HI PRESSURE, 12X40 MM, INSPIRA AIR</t>
  </si>
  <si>
    <t>12X40 MM</t>
  </si>
  <si>
    <t>https://www.jnjmedicaldevices.com/en-US/product/inspira-air-balloon-dilation-system, https://accessgudid.nlm.nih.gov/devices/10705031147737</t>
  </si>
  <si>
    <t>CATHETER BALLOON DILATATION HIGH PRESSURE 14X40 MM NON COMPLIANT INTEGRATED STYLET INSPIRA AIR</t>
  </si>
  <si>
    <t>CATHETER, BALLOON DILATATION, HIGH PRESSURE, 14X40 MM, TRACHEA, BRONCHI, NON COMPLIANT, INTEGRATED STYLET, ENDOSCOPIC, FOR DILATING STRICTURE AIRWAY TREE, STERILE, INSPIRA AIR, LATEX, DISPOSABLE</t>
  </si>
  <si>
    <t>CATHETER, BALLOON DIL, HI PRESSURE, 14X40 MM, TRACH, BRONCHI, N COMPLIANT, INTEGR STYL, ENDOSCP, FOR DIL STRICTURE AIRWY TREE, STRL, INSPIRA AIR, LTX, DISP</t>
  </si>
  <si>
    <t>CATHETER, BALLOON DIL, HI PRESSURE, 14X40 MM, INSPIRA AIR</t>
  </si>
  <si>
    <t>14X40 MM</t>
  </si>
  <si>
    <t>https://www.jnjmedicaldevices.com/en-US/product/inspira-air-balloon-dilation-system, https://accessgudid.nlm.nih.gov/devices/10705031063310</t>
  </si>
  <si>
    <t>INSPIRA AIR BALLOON DILATION SYSTEM 16 40</t>
  </si>
  <si>
    <t>CATHETER, BALLOON DILATATION, HIGH PRESSURE, 16X40 MM, TRACHEA, BRONCHI, NON COMPLIANT, INTEGRATED STYLET, ENDOSCOPIC, FOR DILATING STRICTURE AIRWAY TREE, STERILE, INSPIRA AIR, LATEX, DISPOSABLE</t>
  </si>
  <si>
    <t>CATHETER, BALLOON DIL, HI PRESSURE, 16X40 MM, TRACH, BRONCHI, N COMPLIANT, INTEGR STYL, ENDOSCP, FOR DIL STRICTURE AIRWY TREE, STRL, INSPIRA AIR, LTX, DISP</t>
  </si>
  <si>
    <t>CATHETER, BALLOON DIL, HI PRESSURE, 16X40 MM, INSPIRA AIR</t>
  </si>
  <si>
    <t>16X40 MM</t>
  </si>
  <si>
    <t>https://www.jnjmedicaldevices.com/en-US/product/inspira-air-balloon-dilation-system, https://accessgudid.nlm.nih.gov/devices/10705031147744</t>
  </si>
  <si>
    <t>CATHETER BALLOON DILATATION HIGH PRESSURE 8.5X24 MM NON COMPLIANT INTEGRATED STYLET INSPIRA AIR</t>
  </si>
  <si>
    <t>CATHETER, BALLOON DILATATION, HIGH PRESSURE, 8.5X24 MM, TRACHEA, BRONCHI, NON COMPLIANT, INTEGRATED STYLET, ENDOSCOPIC, FOR DILATING STRICTURE AIRWAY TREE, STERILE, INSPIRA AIR, LATEX, DISPOSABLE</t>
  </si>
  <si>
    <t>CATHETER, BALLOON DIL, HI PRESSURE, 8.5X24 MM, TRACH, BRONCHI, N COMPLIANT, INTEGR STYL, ENDOSCP, FOR DIL STRICTURE AIRWY TREE, STRL, INSPIRA AIR, LTX, DISP</t>
  </si>
  <si>
    <t>CATHETER, BALLOON DIL, HI PRESSURE, 8.5X24 MM, INSPIRA AIR</t>
  </si>
  <si>
    <t>8.5X24 MM</t>
  </si>
  <si>
    <t>https://www.jnjmedicaldevices.com/en-US/product/inspira-air-balloon-dilation-system, https://accessgudid.nlm.nih.gov/devices/10705031206052</t>
  </si>
  <si>
    <t>42295173  Surgical navigation system accessories</t>
  </si>
  <si>
    <t>TruDi Disposable Patient Tracker (5 pack)</t>
  </si>
  <si>
    <t>TRACKER, PATIENT, ENT, TRUDI</t>
  </si>
  <si>
    <t>TRACKER, PT, ENT, TRUDI</t>
  </si>
  <si>
    <t>TRACKER</t>
  </si>
  <si>
    <t>PATIENT</t>
  </si>
  <si>
    <t>ENT</t>
  </si>
  <si>
    <t>TRUDI</t>
  </si>
  <si>
    <t>https://www.jnjmedtech.com/system/files/pdf/153800-211011%20TruDi%C2%AE%20Navigation%20System%20Brochure%20.pdf</t>
  </si>
  <si>
    <t xml:space="preserve">153800-211011 TruDi® Navigation System Brochure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</si>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</sst>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/>
    <xf numFmtId="0" fontId="3" fillId="4" borderId="0" xfId="0" applyFont="1" applyFill="1" applyBorder="1"/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/>
    <xf numFmtId="0" fontId="6" fillId="0" borderId="1" xfId="0" applyFont="1"/>
    <xf numFmtId="0" fontId="0" fillId="0" borderId="1" xfId="0" quotePrefix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3"/>
  <sheetViews>
    <sheetView tabSelected="1" topLeftCell="CQ1" workbookViewId="0">
      <selection activeCell="DF13" sqref="DF13"/>
    </sheetView>
  </sheetViews>
  <sheetFormatPr defaultColWidth="9.109375" defaultRowHeight="12" x14ac:dyDescent="0.25"/>
  <cols>
    <col min="1" max="1" width="14.33203125" style="1" customWidth="1"/>
    <col min="2" max="2" width="8.5546875" style="1" customWidth="1"/>
    <col min="3" max="3" width="25.554687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1" width="4.6640625" style="1" customWidth="1"/>
    <col min="22" max="22" width="19.5546875" style="1" customWidth="1"/>
    <col min="23" max="23" width="21.6640625" style="1" customWidth="1"/>
    <col min="24" max="24" width="28.6640625" style="1" customWidth="1"/>
    <col min="25" max="25" width="18.5546875" style="1" customWidth="1"/>
    <col min="26" max="26" width="16.44140625" style="1" customWidth="1"/>
    <col min="27" max="27" width="34.6640625" style="1" customWidth="1"/>
    <col min="28" max="28" width="17.6640625" style="1" customWidth="1"/>
    <col min="29" max="29" width="9.44140625" style="1" customWidth="1"/>
    <col min="30" max="31" width="13.5546875" style="1" customWidth="1"/>
    <col min="32" max="32" width="21.44140625" style="1" customWidth="1"/>
    <col min="33" max="33" width="8.33203125" style="1" customWidth="1"/>
    <col min="34" max="34" width="19" style="1" customWidth="1"/>
    <col min="35" max="35" width="17.6640625" style="1" customWidth="1"/>
    <col min="36" max="36" width="165.44140625" style="1" customWidth="1"/>
    <col min="37" max="37" width="29.88671875" style="1" customWidth="1"/>
    <col min="38" max="38" width="10.109375" style="1" customWidth="1"/>
    <col min="39" max="39" width="16.6640625" style="1" customWidth="1"/>
    <col min="40" max="40" width="7.44140625" style="1" customWidth="1"/>
    <col min="41" max="41" width="11" style="1" customWidth="1"/>
    <col min="42" max="42" width="11.33203125" style="1" customWidth="1"/>
    <col min="43" max="43" width="16.44140625" style="1" customWidth="1"/>
    <col min="44" max="44" width="38" style="1" customWidth="1"/>
    <col min="45" max="45" width="15.33203125" style="1" customWidth="1"/>
    <col min="46" max="46" width="25.88671875" style="1" customWidth="1"/>
    <col min="47" max="47" width="15.88671875" style="1" customWidth="1"/>
    <col min="48" max="48" width="25.44140625" style="1" customWidth="1"/>
    <col min="49" max="49" width="5" style="1" customWidth="1"/>
    <col min="50" max="50" width="6.44140625" style="1" customWidth="1"/>
    <col min="51" max="51" width="8.88671875" style="1" customWidth="1"/>
    <col min="52" max="52" width="9.44140625" style="1" customWidth="1"/>
    <col min="53" max="54" width="5.109375" style="1" customWidth="1"/>
    <col min="55" max="55" width="35.6640625" style="1" customWidth="1"/>
    <col min="56" max="56" width="38.109375" style="1" customWidth="1"/>
    <col min="57" max="57" width="14.88671875" style="1" customWidth="1"/>
    <col min="58" max="58" width="8" style="1" customWidth="1"/>
    <col min="59" max="59" width="8.6640625" style="1" customWidth="1"/>
    <col min="60" max="60" width="9.109375" style="1" customWidth="1"/>
    <col min="61" max="61" width="8.6640625" style="1" customWidth="1"/>
    <col min="62" max="62" width="27.88671875" style="1" customWidth="1"/>
    <col min="63" max="63" width="6.33203125" style="1" customWidth="1"/>
    <col min="64" max="64" width="7.33203125" style="1" customWidth="1"/>
    <col min="65" max="65" width="11.44140625" style="1" customWidth="1"/>
    <col min="66" max="66" width="6.44140625" style="1" customWidth="1"/>
    <col min="67" max="67" width="10.44140625" style="1" customWidth="1"/>
    <col min="68" max="68" width="13" style="1" customWidth="1"/>
    <col min="69" max="70" width="5.109375" style="1" customWidth="1"/>
    <col min="71" max="71" width="17.88671875" style="1" customWidth="1"/>
    <col min="72" max="72" width="18.88671875" style="1" customWidth="1"/>
    <col min="73" max="73" width="8.88671875" style="1" customWidth="1"/>
    <col min="74" max="74" width="19.33203125" style="1" customWidth="1"/>
    <col min="75" max="75" width="38.109375" style="1" customWidth="1"/>
    <col min="76" max="76" width="15.6640625" style="1" customWidth="1"/>
    <col min="77" max="77" width="11.6640625" style="1" customWidth="1"/>
    <col min="78" max="78" width="16.109375" style="1" customWidth="1"/>
    <col min="79" max="79" width="9.33203125" style="1" customWidth="1"/>
    <col min="80" max="80" width="20" style="1" customWidth="1"/>
    <col min="81" max="81" width="18.6640625" style="1" customWidth="1"/>
    <col min="82" max="82" width="8.109375" style="1" customWidth="1"/>
    <col min="83" max="83" width="35.33203125" style="1" customWidth="1"/>
    <col min="84" max="84" width="26.44140625" style="1" customWidth="1"/>
    <col min="85" max="85" width="26.88671875" style="1" customWidth="1"/>
    <col min="86" max="86" width="34.109375" style="1" customWidth="1"/>
    <col min="87" max="87" width="12.109375" style="1" customWidth="1"/>
    <col min="88" max="88" width="14" style="1" customWidth="1"/>
    <col min="89" max="89" width="6.109375" style="1" customWidth="1"/>
    <col min="90" max="90" width="18.88671875" style="1" customWidth="1"/>
    <col min="91" max="91" width="20.33203125" style="1" customWidth="1"/>
    <col min="92" max="92" width="9.88671875" style="1" customWidth="1"/>
    <col min="93" max="93" width="12.109375" style="1" customWidth="1"/>
    <col min="94" max="94" width="4.6640625" style="1" customWidth="1"/>
    <col min="95" max="95" width="12.5546875" style="1" customWidth="1"/>
    <col min="96" max="96" width="10" style="1" customWidth="1"/>
    <col min="97" max="97" width="6.44140625" style="1" customWidth="1"/>
    <col min="98" max="98" width="15.88671875" style="1" customWidth="1"/>
    <col min="99" max="99" width="10.5546875" style="1" customWidth="1"/>
    <col min="100" max="101" width="17.6640625" style="1" customWidth="1"/>
    <col min="102" max="102" width="8.6640625" style="1" customWidth="1"/>
    <col min="103" max="103" width="8.44140625" style="1" customWidth="1"/>
    <col min="104" max="104" width="8.6640625" style="1" customWidth="1"/>
    <col min="105" max="105" width="10.109375" style="1" customWidth="1"/>
    <col min="106" max="106" width="9.6640625" style="1" customWidth="1"/>
    <col min="107" max="107" width="13.88671875" style="1" customWidth="1"/>
    <col min="108" max="108" width="6.88671875" style="1" customWidth="1"/>
    <col min="109" max="109" width="8.44140625" style="1" customWidth="1"/>
    <col min="110" max="110" width="19.88671875" style="1" customWidth="1"/>
    <col min="111" max="111" width="18.5546875" style="1" customWidth="1"/>
    <col min="112" max="112" width="9.109375" style="1" customWidth="1"/>
    <col min="113" max="16384" width="9.109375" style="1"/>
  </cols>
  <sheetData>
    <row r="1" spans="1:111" ht="12" customHeight="1" x14ac:dyDescent="0.3">
      <c r="A1" s="2" t="s">
        <v>80</v>
      </c>
      <c r="B1" s="2" t="s">
        <v>148</v>
      </c>
      <c r="C1" s="2" t="s">
        <v>152</v>
      </c>
      <c r="D1" s="2" t="s">
        <v>42</v>
      </c>
      <c r="E1" s="2" t="s">
        <v>153</v>
      </c>
      <c r="F1" s="2" t="s">
        <v>46</v>
      </c>
      <c r="G1" s="2" t="s">
        <v>176</v>
      </c>
      <c r="H1" s="2" t="s">
        <v>116</v>
      </c>
      <c r="I1" s="2" t="s">
        <v>48</v>
      </c>
      <c r="J1" s="2" t="s">
        <v>133</v>
      </c>
      <c r="K1" s="2" t="s">
        <v>27</v>
      </c>
      <c r="L1" s="2" t="s">
        <v>97</v>
      </c>
      <c r="M1" s="2" t="s">
        <v>39</v>
      </c>
      <c r="N1" s="2" t="s">
        <v>33</v>
      </c>
      <c r="O1" s="2" t="s">
        <v>36</v>
      </c>
      <c r="P1" s="2" t="s">
        <v>162</v>
      </c>
      <c r="Q1" s="2" t="s">
        <v>125</v>
      </c>
      <c r="R1" s="2" t="s">
        <v>127</v>
      </c>
      <c r="S1" s="2" t="s">
        <v>82</v>
      </c>
      <c r="T1" s="2" t="s">
        <v>90</v>
      </c>
      <c r="U1" s="3" t="s">
        <v>34</v>
      </c>
      <c r="V1" s="3" t="s">
        <v>40</v>
      </c>
      <c r="W1" s="4" t="s">
        <v>70</v>
      </c>
      <c r="X1" s="5" t="s">
        <v>56</v>
      </c>
      <c r="Y1" s="6" t="s">
        <v>142</v>
      </c>
      <c r="Z1" s="4" t="s">
        <v>68</v>
      </c>
      <c r="AA1" s="5" t="s">
        <v>108</v>
      </c>
      <c r="AB1" s="6" t="s">
        <v>169</v>
      </c>
      <c r="AC1" s="2" t="s">
        <v>37</v>
      </c>
      <c r="AD1" s="2" t="s">
        <v>98</v>
      </c>
      <c r="AE1" s="7" t="s">
        <v>4</v>
      </c>
      <c r="AF1" s="2" t="s">
        <v>144</v>
      </c>
      <c r="AG1" s="5" t="s">
        <v>99</v>
      </c>
      <c r="AH1" s="5" t="s">
        <v>21</v>
      </c>
      <c r="AI1" s="5" t="s">
        <v>87</v>
      </c>
      <c r="AJ1" s="5" t="s">
        <v>78</v>
      </c>
      <c r="AK1" s="5" t="s">
        <v>9</v>
      </c>
      <c r="AL1" s="5" t="s">
        <v>91</v>
      </c>
      <c r="AM1" s="5" t="s">
        <v>145</v>
      </c>
      <c r="AN1" s="5" t="s">
        <v>160</v>
      </c>
      <c r="AO1" s="6" t="s">
        <v>89</v>
      </c>
      <c r="AP1" s="2" t="s">
        <v>38</v>
      </c>
      <c r="AQ1" s="2" t="s">
        <v>59</v>
      </c>
      <c r="AR1" s="8" t="s">
        <v>1</v>
      </c>
      <c r="AS1" s="6" t="s">
        <v>28</v>
      </c>
      <c r="AT1" s="6" t="s">
        <v>47</v>
      </c>
      <c r="AU1" s="9" t="s">
        <v>84</v>
      </c>
      <c r="AV1" s="9" t="s">
        <v>49</v>
      </c>
      <c r="AW1" s="10" t="s">
        <v>103</v>
      </c>
      <c r="AX1" s="8" t="s">
        <v>121</v>
      </c>
      <c r="AY1" s="8" t="s">
        <v>79</v>
      </c>
      <c r="AZ1" s="8" t="s">
        <v>126</v>
      </c>
      <c r="BA1" s="8" t="s">
        <v>102</v>
      </c>
      <c r="BB1" s="8" t="s">
        <v>95</v>
      </c>
      <c r="BC1" s="8" t="s">
        <v>45</v>
      </c>
      <c r="BD1" s="8" t="s">
        <v>154</v>
      </c>
      <c r="BE1" s="8" t="s">
        <v>85</v>
      </c>
      <c r="BF1" s="8" t="s">
        <v>156</v>
      </c>
      <c r="BG1" s="8" t="s">
        <v>65</v>
      </c>
      <c r="BH1" s="8" t="s">
        <v>19</v>
      </c>
      <c r="BI1" s="8" t="s">
        <v>113</v>
      </c>
      <c r="BJ1" s="8" t="s">
        <v>109</v>
      </c>
      <c r="BK1" s="8" t="s">
        <v>163</v>
      </c>
      <c r="BL1" s="8" t="s">
        <v>63</v>
      </c>
      <c r="BM1" s="8" t="s">
        <v>76</v>
      </c>
      <c r="BN1" s="8" t="s">
        <v>120</v>
      </c>
      <c r="BO1" s="8" t="s">
        <v>173</v>
      </c>
      <c r="BP1" s="8" t="s">
        <v>69</v>
      </c>
      <c r="BQ1" s="6" t="s">
        <v>10</v>
      </c>
      <c r="BR1" s="6" t="s">
        <v>35</v>
      </c>
      <c r="BS1" s="8" t="s">
        <v>24</v>
      </c>
      <c r="BT1" s="8" t="s">
        <v>25</v>
      </c>
      <c r="BU1" s="8" t="s">
        <v>93</v>
      </c>
      <c r="BV1" s="8" t="s">
        <v>101</v>
      </c>
      <c r="BW1" s="8" t="s">
        <v>107</v>
      </c>
      <c r="BX1" s="8" t="s">
        <v>111</v>
      </c>
      <c r="BY1" s="8" t="s">
        <v>61</v>
      </c>
      <c r="BZ1" s="8" t="s">
        <v>32</v>
      </c>
      <c r="CA1" s="11" t="s">
        <v>165</v>
      </c>
      <c r="CB1" s="11" t="s">
        <v>20</v>
      </c>
      <c r="CC1" s="11" t="s">
        <v>155</v>
      </c>
      <c r="CD1" s="11" t="s">
        <v>168</v>
      </c>
      <c r="CE1" s="11" t="s">
        <v>43</v>
      </c>
      <c r="CF1" s="11" t="s">
        <v>129</v>
      </c>
      <c r="CG1" s="11" t="s">
        <v>171</v>
      </c>
      <c r="CH1" s="11" t="s">
        <v>71</v>
      </c>
      <c r="CI1" s="11" t="s">
        <v>143</v>
      </c>
      <c r="CJ1" s="11" t="s">
        <v>112</v>
      </c>
      <c r="CK1" s="11" t="s">
        <v>86</v>
      </c>
      <c r="CL1" s="11" t="s">
        <v>44</v>
      </c>
      <c r="CM1" s="11" t="s">
        <v>14</v>
      </c>
      <c r="CN1" s="11" t="s">
        <v>92</v>
      </c>
      <c r="CO1" s="11" t="s">
        <v>18</v>
      </c>
      <c r="CP1" s="11" t="s">
        <v>73</v>
      </c>
      <c r="CQ1" s="11" t="s">
        <v>157</v>
      </c>
      <c r="CR1" s="11" t="s">
        <v>81</v>
      </c>
      <c r="CS1" s="11" t="s">
        <v>74</v>
      </c>
      <c r="CT1" s="12" t="s">
        <v>114</v>
      </c>
      <c r="CU1" s="12" t="s">
        <v>161</v>
      </c>
      <c r="CV1" s="12" t="s">
        <v>172</v>
      </c>
      <c r="CW1" s="12" t="s">
        <v>170</v>
      </c>
      <c r="CX1" s="13" t="s">
        <v>60</v>
      </c>
      <c r="CY1" s="14" t="s">
        <v>177</v>
      </c>
      <c r="CZ1" s="13" t="s">
        <v>15</v>
      </c>
      <c r="DA1" s="15" t="s">
        <v>13</v>
      </c>
      <c r="DB1" s="15" t="s">
        <v>23</v>
      </c>
      <c r="DC1" s="15" t="s">
        <v>106</v>
      </c>
      <c r="DD1" s="15" t="s">
        <v>147</v>
      </c>
      <c r="DE1" s="15" t="s">
        <v>16</v>
      </c>
      <c r="DF1" s="1" t="s">
        <v>52</v>
      </c>
      <c r="DG1" s="1" t="s">
        <v>118</v>
      </c>
    </row>
    <row r="2" spans="1:111" ht="12" customHeight="1" x14ac:dyDescent="0.3">
      <c r="A2" s="16" t="s">
        <v>128</v>
      </c>
      <c r="B2" s="16" t="s">
        <v>0</v>
      </c>
      <c r="C2" s="17" t="s">
        <v>119</v>
      </c>
      <c r="D2" s="17" t="s">
        <v>141</v>
      </c>
      <c r="E2" s="20" t="s">
        <v>179</v>
      </c>
      <c r="F2" s="17" t="s">
        <v>141</v>
      </c>
      <c r="G2" s="20" t="s">
        <v>180</v>
      </c>
      <c r="H2" s="18" t="s">
        <v>22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 t="s">
        <v>66</v>
      </c>
      <c r="W2" s="19" t="s">
        <v>58</v>
      </c>
      <c r="X2" s="17" t="s">
        <v>105</v>
      </c>
      <c r="Y2" s="20" t="s">
        <v>181</v>
      </c>
      <c r="Z2" s="19" t="s">
        <v>140</v>
      </c>
      <c r="AA2" s="17" t="s">
        <v>140</v>
      </c>
      <c r="AB2" s="20" t="s">
        <v>140</v>
      </c>
      <c r="AC2" s="17" t="s">
        <v>131</v>
      </c>
      <c r="AD2" s="17" t="s">
        <v>140</v>
      </c>
      <c r="AE2" s="19" t="s">
        <v>140</v>
      </c>
      <c r="AF2" s="17" t="s">
        <v>2</v>
      </c>
      <c r="AG2" s="17"/>
      <c r="AH2" s="17"/>
      <c r="AI2" s="17"/>
      <c r="AJ2" s="17" t="s">
        <v>149</v>
      </c>
      <c r="AK2" s="17"/>
      <c r="AL2" s="17">
        <v>1921</v>
      </c>
      <c r="AM2" s="17" t="s">
        <v>53</v>
      </c>
      <c r="AN2" s="17"/>
      <c r="AO2" t="s">
        <v>182</v>
      </c>
      <c r="AP2" t="s">
        <v>183</v>
      </c>
      <c r="AQ2" t="s">
        <v>184</v>
      </c>
      <c r="AR2" t="s">
        <v>185</v>
      </c>
      <c r="AS2" t="s">
        <v>186</v>
      </c>
      <c r="AT2" t="s">
        <v>186</v>
      </c>
      <c r="AU2" t="s">
        <v>187</v>
      </c>
      <c r="AV2" t="s">
        <v>188</v>
      </c>
      <c r="AW2">
        <f>LEN(SUBSTITUTE(AV2, ", "," "))</f>
        <v>58</v>
      </c>
      <c r="AX2" t="s">
        <v>189</v>
      </c>
      <c r="AY2" t="s">
        <v>190</v>
      </c>
      <c r="AZ2" t="s">
        <v>191</v>
      </c>
      <c r="BA2"/>
      <c r="BB2"/>
      <c r="BC2" t="s">
        <v>192</v>
      </c>
      <c r="BD2"/>
      <c r="BE2"/>
      <c r="BF2"/>
      <c r="BG2" t="s">
        <v>193</v>
      </c>
      <c r="BH2" t="s">
        <v>194</v>
      </c>
      <c r="BI2"/>
      <c r="BJ2"/>
      <c r="BK2"/>
      <c r="BL2" t="s">
        <v>195</v>
      </c>
      <c r="BM2" t="s">
        <v>196</v>
      </c>
      <c r="BN2" t="s">
        <v>197</v>
      </c>
      <c r="BO2"/>
      <c r="BP2"/>
      <c r="BQ2" t="s">
        <v>198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274</v>
      </c>
      <c r="DG2" s="1" t="s">
        <v>274</v>
      </c>
    </row>
    <row r="3" spans="1:111" ht="12" customHeight="1" x14ac:dyDescent="0.3">
      <c r="A3" s="16" t="s">
        <v>128</v>
      </c>
      <c r="B3" s="16" t="s">
        <v>0</v>
      </c>
      <c r="C3" s="17" t="s">
        <v>119</v>
      </c>
      <c r="D3" s="17" t="s">
        <v>141</v>
      </c>
      <c r="E3" s="20" t="s">
        <v>179</v>
      </c>
      <c r="F3" s="17" t="s">
        <v>141</v>
      </c>
      <c r="G3" s="20" t="s">
        <v>180</v>
      </c>
      <c r="H3" s="18" t="s">
        <v>22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 t="s">
        <v>134</v>
      </c>
      <c r="W3" s="19" t="s">
        <v>58</v>
      </c>
      <c r="X3" s="17" t="s">
        <v>105</v>
      </c>
      <c r="Y3" s="20" t="s">
        <v>181</v>
      </c>
      <c r="Z3" s="19" t="s">
        <v>159</v>
      </c>
      <c r="AA3" s="17" t="s">
        <v>159</v>
      </c>
      <c r="AB3" s="20" t="s">
        <v>159</v>
      </c>
      <c r="AC3" s="17" t="s">
        <v>131</v>
      </c>
      <c r="AD3" s="17" t="s">
        <v>159</v>
      </c>
      <c r="AE3" s="19" t="s">
        <v>159</v>
      </c>
      <c r="AF3" s="17" t="s">
        <v>124</v>
      </c>
      <c r="AG3" s="17"/>
      <c r="AH3" s="17"/>
      <c r="AI3" s="17"/>
      <c r="AJ3" s="17" t="s">
        <v>164</v>
      </c>
      <c r="AK3" s="17"/>
      <c r="AL3" s="17">
        <v>1921</v>
      </c>
      <c r="AM3" s="17" t="s">
        <v>139</v>
      </c>
      <c r="AN3" s="17"/>
      <c r="AO3" t="s">
        <v>199</v>
      </c>
      <c r="AP3" t="s">
        <v>183</v>
      </c>
      <c r="AQ3" t="s">
        <v>184</v>
      </c>
      <c r="AR3" t="s">
        <v>200</v>
      </c>
      <c r="AS3" t="s">
        <v>201</v>
      </c>
      <c r="AT3" t="s">
        <v>201</v>
      </c>
      <c r="AU3" t="s">
        <v>202</v>
      </c>
      <c r="AV3" t="s">
        <v>203</v>
      </c>
      <c r="AW3">
        <f t="shared" ref="AW3:AW13" si="0">LEN(SUBSTITUTE(AV3, ", "," "))</f>
        <v>52</v>
      </c>
      <c r="AX3" t="s">
        <v>189</v>
      </c>
      <c r="AY3" t="s">
        <v>190</v>
      </c>
      <c r="AZ3" t="s">
        <v>204</v>
      </c>
      <c r="BA3"/>
      <c r="BB3"/>
      <c r="BC3" t="s">
        <v>205</v>
      </c>
      <c r="BD3"/>
      <c r="BE3"/>
      <c r="BF3"/>
      <c r="BG3" t="s">
        <v>206</v>
      </c>
      <c r="BH3" t="s">
        <v>207</v>
      </c>
      <c r="BI3"/>
      <c r="BJ3"/>
      <c r="BK3"/>
      <c r="BL3" t="s">
        <v>195</v>
      </c>
      <c r="BM3" t="s">
        <v>208</v>
      </c>
      <c r="BN3" t="s">
        <v>197</v>
      </c>
      <c r="BO3" t="s">
        <v>209</v>
      </c>
      <c r="BP3"/>
      <c r="BQ3" t="s">
        <v>210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274</v>
      </c>
      <c r="DG3" s="1" t="s">
        <v>274</v>
      </c>
    </row>
    <row r="4" spans="1:111" ht="12" customHeight="1" x14ac:dyDescent="0.3">
      <c r="A4" s="16" t="s">
        <v>128</v>
      </c>
      <c r="B4" s="16" t="s">
        <v>0</v>
      </c>
      <c r="C4" s="17" t="s">
        <v>119</v>
      </c>
      <c r="D4" s="17" t="s">
        <v>141</v>
      </c>
      <c r="E4" s="20" t="s">
        <v>179</v>
      </c>
      <c r="F4" s="17" t="s">
        <v>141</v>
      </c>
      <c r="G4" s="20" t="s">
        <v>180</v>
      </c>
      <c r="H4" s="18" t="s">
        <v>22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 t="s">
        <v>12</v>
      </c>
      <c r="W4" s="19" t="s">
        <v>58</v>
      </c>
      <c r="X4" s="17" t="s">
        <v>105</v>
      </c>
      <c r="Y4" s="20" t="s">
        <v>181</v>
      </c>
      <c r="Z4" s="19" t="s">
        <v>158</v>
      </c>
      <c r="AA4" s="17" t="s">
        <v>158</v>
      </c>
      <c r="AB4" s="20" t="s">
        <v>158</v>
      </c>
      <c r="AC4" s="17" t="s">
        <v>131</v>
      </c>
      <c r="AD4" s="17" t="s">
        <v>158</v>
      </c>
      <c r="AE4" s="19" t="s">
        <v>158</v>
      </c>
      <c r="AF4" s="17" t="s">
        <v>130</v>
      </c>
      <c r="AG4" s="17"/>
      <c r="AH4" s="17"/>
      <c r="AI4" s="17"/>
      <c r="AJ4" s="17" t="s">
        <v>151</v>
      </c>
      <c r="AK4" s="17"/>
      <c r="AL4" s="17">
        <v>1921</v>
      </c>
      <c r="AM4" s="17" t="s">
        <v>6</v>
      </c>
      <c r="AN4" s="17"/>
      <c r="AO4" t="s">
        <v>182</v>
      </c>
      <c r="AP4" t="s">
        <v>183</v>
      </c>
      <c r="AQ4" t="s">
        <v>184</v>
      </c>
      <c r="AR4" t="s">
        <v>211</v>
      </c>
      <c r="AS4" t="s">
        <v>212</v>
      </c>
      <c r="AT4" t="s">
        <v>212</v>
      </c>
      <c r="AU4" t="s">
        <v>213</v>
      </c>
      <c r="AV4" t="s">
        <v>214</v>
      </c>
      <c r="AW4">
        <f t="shared" si="0"/>
        <v>58</v>
      </c>
      <c r="AX4" t="s">
        <v>189</v>
      </c>
      <c r="AY4" t="s">
        <v>190</v>
      </c>
      <c r="AZ4" t="s">
        <v>191</v>
      </c>
      <c r="BA4"/>
      <c r="BB4"/>
      <c r="BC4" t="s">
        <v>215</v>
      </c>
      <c r="BD4"/>
      <c r="BE4"/>
      <c r="BF4"/>
      <c r="BG4" t="s">
        <v>193</v>
      </c>
      <c r="BH4" t="s">
        <v>194</v>
      </c>
      <c r="BI4"/>
      <c r="BJ4"/>
      <c r="BK4"/>
      <c r="BL4" t="s">
        <v>195</v>
      </c>
      <c r="BM4" t="s">
        <v>196</v>
      </c>
      <c r="BN4" t="s">
        <v>197</v>
      </c>
      <c r="BO4"/>
      <c r="BP4"/>
      <c r="BQ4" t="s">
        <v>216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274</v>
      </c>
      <c r="DG4" s="1" t="s">
        <v>274</v>
      </c>
    </row>
    <row r="5" spans="1:111" ht="12" customHeight="1" x14ac:dyDescent="0.3">
      <c r="A5" s="16" t="s">
        <v>128</v>
      </c>
      <c r="B5" s="16" t="s">
        <v>0</v>
      </c>
      <c r="C5" s="17" t="s">
        <v>119</v>
      </c>
      <c r="D5" s="17" t="s">
        <v>141</v>
      </c>
      <c r="E5" s="20" t="s">
        <v>179</v>
      </c>
      <c r="F5" s="17" t="s">
        <v>141</v>
      </c>
      <c r="G5" s="20" t="s">
        <v>180</v>
      </c>
      <c r="H5" s="18" t="s">
        <v>22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 t="s">
        <v>57</v>
      </c>
      <c r="W5" s="19" t="s">
        <v>58</v>
      </c>
      <c r="X5" s="17" t="s">
        <v>105</v>
      </c>
      <c r="Y5" s="20" t="s">
        <v>181</v>
      </c>
      <c r="Z5" s="19" t="s">
        <v>30</v>
      </c>
      <c r="AA5" s="17" t="s">
        <v>30</v>
      </c>
      <c r="AB5" s="20" t="s">
        <v>30</v>
      </c>
      <c r="AC5" s="17" t="s">
        <v>131</v>
      </c>
      <c r="AD5" s="17" t="s">
        <v>30</v>
      </c>
      <c r="AE5" s="19" t="s">
        <v>30</v>
      </c>
      <c r="AF5" s="17" t="s">
        <v>77</v>
      </c>
      <c r="AG5" s="17"/>
      <c r="AH5" s="17"/>
      <c r="AI5" s="17"/>
      <c r="AJ5" s="17" t="s">
        <v>17</v>
      </c>
      <c r="AK5" s="17"/>
      <c r="AL5" s="17">
        <v>1921</v>
      </c>
      <c r="AM5" s="17" t="s">
        <v>29</v>
      </c>
      <c r="AN5" s="17"/>
      <c r="AO5" t="s">
        <v>182</v>
      </c>
      <c r="AP5" t="s">
        <v>183</v>
      </c>
      <c r="AQ5" t="s">
        <v>184</v>
      </c>
      <c r="AR5" t="s">
        <v>217</v>
      </c>
      <c r="AS5" t="s">
        <v>218</v>
      </c>
      <c r="AT5" t="s">
        <v>218</v>
      </c>
      <c r="AU5" t="s">
        <v>219</v>
      </c>
      <c r="AV5" t="s">
        <v>220</v>
      </c>
      <c r="AW5">
        <f t="shared" si="0"/>
        <v>58</v>
      </c>
      <c r="AX5" t="s">
        <v>189</v>
      </c>
      <c r="AY5" t="s">
        <v>190</v>
      </c>
      <c r="AZ5" t="s">
        <v>191</v>
      </c>
      <c r="BA5"/>
      <c r="BB5"/>
      <c r="BC5" t="s">
        <v>221</v>
      </c>
      <c r="BD5"/>
      <c r="BE5"/>
      <c r="BF5"/>
      <c r="BG5" t="s">
        <v>193</v>
      </c>
      <c r="BH5" t="s">
        <v>194</v>
      </c>
      <c r="BI5"/>
      <c r="BJ5"/>
      <c r="BK5"/>
      <c r="BL5" t="s">
        <v>195</v>
      </c>
      <c r="BM5" t="s">
        <v>196</v>
      </c>
      <c r="BN5" t="s">
        <v>197</v>
      </c>
      <c r="BO5"/>
      <c r="BP5"/>
      <c r="BQ5" t="s">
        <v>222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274</v>
      </c>
      <c r="DG5" s="1" t="s">
        <v>274</v>
      </c>
    </row>
    <row r="6" spans="1:111" ht="12" customHeight="1" x14ac:dyDescent="0.3">
      <c r="A6" s="16" t="s">
        <v>128</v>
      </c>
      <c r="B6" s="16" t="s">
        <v>0</v>
      </c>
      <c r="C6" s="17" t="s">
        <v>119</v>
      </c>
      <c r="D6" s="17" t="s">
        <v>141</v>
      </c>
      <c r="E6" s="20" t="s">
        <v>179</v>
      </c>
      <c r="F6" s="17" t="s">
        <v>141</v>
      </c>
      <c r="G6" s="20" t="s">
        <v>180</v>
      </c>
      <c r="H6" s="18" t="s">
        <v>22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 t="s">
        <v>64</v>
      </c>
      <c r="W6" s="19" t="s">
        <v>58</v>
      </c>
      <c r="X6" s="17" t="s">
        <v>105</v>
      </c>
      <c r="Y6" s="20" t="s">
        <v>181</v>
      </c>
      <c r="Z6" s="19" t="s">
        <v>146</v>
      </c>
      <c r="AA6" s="17" t="s">
        <v>146</v>
      </c>
      <c r="AB6" s="20" t="s">
        <v>146</v>
      </c>
      <c r="AC6" s="17" t="s">
        <v>131</v>
      </c>
      <c r="AD6" s="17" t="s">
        <v>146</v>
      </c>
      <c r="AE6" s="19" t="s">
        <v>146</v>
      </c>
      <c r="AF6" s="17" t="s">
        <v>175</v>
      </c>
      <c r="AG6" s="17"/>
      <c r="AH6" s="17"/>
      <c r="AI6" s="17"/>
      <c r="AJ6" s="17" t="s">
        <v>96</v>
      </c>
      <c r="AK6" s="17"/>
      <c r="AL6" s="17">
        <v>1921</v>
      </c>
      <c r="AM6" s="17" t="s">
        <v>88</v>
      </c>
      <c r="AN6" s="17"/>
      <c r="AO6" t="s">
        <v>199</v>
      </c>
      <c r="AP6" t="s">
        <v>183</v>
      </c>
      <c r="AQ6" t="s">
        <v>184</v>
      </c>
      <c r="AR6" t="s">
        <v>223</v>
      </c>
      <c r="AS6" t="s">
        <v>224</v>
      </c>
      <c r="AT6" t="s">
        <v>224</v>
      </c>
      <c r="AU6" t="s">
        <v>225</v>
      </c>
      <c r="AV6" t="s">
        <v>226</v>
      </c>
      <c r="AW6">
        <f t="shared" si="0"/>
        <v>52</v>
      </c>
      <c r="AX6" t="s">
        <v>189</v>
      </c>
      <c r="AY6" t="s">
        <v>190</v>
      </c>
      <c r="AZ6" t="s">
        <v>204</v>
      </c>
      <c r="BA6"/>
      <c r="BB6"/>
      <c r="BC6" t="s">
        <v>227</v>
      </c>
      <c r="BD6"/>
      <c r="BE6"/>
      <c r="BF6"/>
      <c r="BG6" t="s">
        <v>206</v>
      </c>
      <c r="BH6" t="s">
        <v>207</v>
      </c>
      <c r="BI6"/>
      <c r="BJ6"/>
      <c r="BK6"/>
      <c r="BL6" t="s">
        <v>195</v>
      </c>
      <c r="BM6" t="s">
        <v>208</v>
      </c>
      <c r="BN6" t="s">
        <v>197</v>
      </c>
      <c r="BO6" t="s">
        <v>209</v>
      </c>
      <c r="BP6"/>
      <c r="BQ6" t="s">
        <v>228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274</v>
      </c>
      <c r="DG6" s="1" t="s">
        <v>274</v>
      </c>
    </row>
    <row r="7" spans="1:111" ht="12" customHeight="1" x14ac:dyDescent="0.3">
      <c r="A7" s="16" t="s">
        <v>128</v>
      </c>
      <c r="B7" s="16" t="s">
        <v>0</v>
      </c>
      <c r="C7" s="17" t="s">
        <v>119</v>
      </c>
      <c r="D7" s="17" t="s">
        <v>141</v>
      </c>
      <c r="E7" s="20" t="s">
        <v>179</v>
      </c>
      <c r="F7" s="17" t="s">
        <v>141</v>
      </c>
      <c r="G7" s="20" t="s">
        <v>180</v>
      </c>
      <c r="H7" s="18" t="s">
        <v>22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 t="s">
        <v>138</v>
      </c>
      <c r="W7" s="19" t="s">
        <v>58</v>
      </c>
      <c r="X7" s="17" t="s">
        <v>105</v>
      </c>
      <c r="Y7" s="20" t="s">
        <v>181</v>
      </c>
      <c r="Z7" s="19" t="s">
        <v>26</v>
      </c>
      <c r="AA7" s="17" t="s">
        <v>26</v>
      </c>
      <c r="AB7" s="20" t="s">
        <v>26</v>
      </c>
      <c r="AC7" s="17" t="s">
        <v>131</v>
      </c>
      <c r="AD7" s="17" t="s">
        <v>26</v>
      </c>
      <c r="AE7" s="19" t="s">
        <v>26</v>
      </c>
      <c r="AF7" s="17" t="s">
        <v>31</v>
      </c>
      <c r="AG7" s="17"/>
      <c r="AH7" s="17"/>
      <c r="AI7" s="17"/>
      <c r="AJ7" s="17" t="s">
        <v>8</v>
      </c>
      <c r="AK7" s="17"/>
      <c r="AL7" s="17">
        <v>1921</v>
      </c>
      <c r="AM7" s="17" t="s">
        <v>117</v>
      </c>
      <c r="AN7" s="17"/>
      <c r="AO7" t="s">
        <v>182</v>
      </c>
      <c r="AP7" t="s">
        <v>183</v>
      </c>
      <c r="AQ7" t="s">
        <v>184</v>
      </c>
      <c r="AR7" t="s">
        <v>229</v>
      </c>
      <c r="AS7" t="s">
        <v>230</v>
      </c>
      <c r="AT7" t="s">
        <v>230</v>
      </c>
      <c r="AU7" t="s">
        <v>231</v>
      </c>
      <c r="AV7" t="s">
        <v>232</v>
      </c>
      <c r="AW7">
        <f t="shared" si="0"/>
        <v>58</v>
      </c>
      <c r="AX7" t="s">
        <v>189</v>
      </c>
      <c r="AY7" t="s">
        <v>190</v>
      </c>
      <c r="AZ7" t="s">
        <v>191</v>
      </c>
      <c r="BA7"/>
      <c r="BB7"/>
      <c r="BC7" t="s">
        <v>227</v>
      </c>
      <c r="BD7"/>
      <c r="BE7"/>
      <c r="BF7"/>
      <c r="BG7" t="s">
        <v>193</v>
      </c>
      <c r="BH7" t="s">
        <v>194</v>
      </c>
      <c r="BI7"/>
      <c r="BJ7"/>
      <c r="BK7"/>
      <c r="BL7" t="s">
        <v>195</v>
      </c>
      <c r="BM7" t="s">
        <v>196</v>
      </c>
      <c r="BN7" t="s">
        <v>197</v>
      </c>
      <c r="BO7"/>
      <c r="BP7"/>
      <c r="BQ7" t="s">
        <v>233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274</v>
      </c>
      <c r="DG7" s="1" t="s">
        <v>274</v>
      </c>
    </row>
    <row r="8" spans="1:111" ht="12" customHeight="1" x14ac:dyDescent="0.3">
      <c r="A8" s="16" t="s">
        <v>128</v>
      </c>
      <c r="B8" s="16" t="s">
        <v>0</v>
      </c>
      <c r="C8" s="17" t="s">
        <v>119</v>
      </c>
      <c r="D8" s="17" t="s">
        <v>141</v>
      </c>
      <c r="E8" s="20" t="s">
        <v>179</v>
      </c>
      <c r="F8" s="17" t="s">
        <v>141</v>
      </c>
      <c r="G8" s="20" t="s">
        <v>180</v>
      </c>
      <c r="H8" s="18" t="s">
        <v>22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 t="s">
        <v>5</v>
      </c>
      <c r="W8" s="19" t="s">
        <v>58</v>
      </c>
      <c r="X8" s="17" t="s">
        <v>105</v>
      </c>
      <c r="Y8" s="20" t="s">
        <v>181</v>
      </c>
      <c r="Z8" s="19" t="s">
        <v>132</v>
      </c>
      <c r="AA8" s="17" t="s">
        <v>132</v>
      </c>
      <c r="AB8" s="20" t="s">
        <v>132</v>
      </c>
      <c r="AC8" s="17" t="s">
        <v>131</v>
      </c>
      <c r="AD8" s="17" t="s">
        <v>132</v>
      </c>
      <c r="AE8" s="19" t="s">
        <v>132</v>
      </c>
      <c r="AF8" s="17" t="s">
        <v>167</v>
      </c>
      <c r="AG8" s="17"/>
      <c r="AH8" s="17"/>
      <c r="AI8" s="17"/>
      <c r="AJ8" s="17" t="s">
        <v>137</v>
      </c>
      <c r="AK8" s="17"/>
      <c r="AL8" s="17">
        <v>1921</v>
      </c>
      <c r="AM8" s="17" t="s">
        <v>166</v>
      </c>
      <c r="AN8" s="17"/>
      <c r="AO8" t="s">
        <v>199</v>
      </c>
      <c r="AP8" t="s">
        <v>183</v>
      </c>
      <c r="AQ8" t="s">
        <v>184</v>
      </c>
      <c r="AR8" t="s">
        <v>234</v>
      </c>
      <c r="AS8" t="s">
        <v>235</v>
      </c>
      <c r="AT8" t="s">
        <v>235</v>
      </c>
      <c r="AU8" t="s">
        <v>236</v>
      </c>
      <c r="AV8" t="s">
        <v>237</v>
      </c>
      <c r="AW8">
        <f t="shared" si="0"/>
        <v>53</v>
      </c>
      <c r="AX8" t="s">
        <v>189</v>
      </c>
      <c r="AY8" t="s">
        <v>190</v>
      </c>
      <c r="AZ8" t="s">
        <v>204</v>
      </c>
      <c r="BA8"/>
      <c r="BB8"/>
      <c r="BC8" t="s">
        <v>238</v>
      </c>
      <c r="BD8"/>
      <c r="BE8"/>
      <c r="BF8"/>
      <c r="BG8" t="s">
        <v>206</v>
      </c>
      <c r="BH8" t="s">
        <v>207</v>
      </c>
      <c r="BI8"/>
      <c r="BJ8"/>
      <c r="BK8"/>
      <c r="BL8" t="s">
        <v>195</v>
      </c>
      <c r="BM8" t="s">
        <v>208</v>
      </c>
      <c r="BN8" t="s">
        <v>197</v>
      </c>
      <c r="BO8" t="s">
        <v>209</v>
      </c>
      <c r="BP8"/>
      <c r="BQ8" t="s">
        <v>239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274</v>
      </c>
      <c r="DG8" s="1" t="s">
        <v>274</v>
      </c>
    </row>
    <row r="9" spans="1:111" ht="12" customHeight="1" x14ac:dyDescent="0.3">
      <c r="A9" s="16" t="s">
        <v>128</v>
      </c>
      <c r="B9" s="16" t="s">
        <v>0</v>
      </c>
      <c r="C9" s="17" t="s">
        <v>119</v>
      </c>
      <c r="D9" s="17" t="s">
        <v>141</v>
      </c>
      <c r="E9" s="20" t="s">
        <v>179</v>
      </c>
      <c r="F9" s="17" t="s">
        <v>141</v>
      </c>
      <c r="G9" s="20" t="s">
        <v>180</v>
      </c>
      <c r="H9" s="18" t="s">
        <v>22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 t="s">
        <v>41</v>
      </c>
      <c r="W9" s="19" t="s">
        <v>58</v>
      </c>
      <c r="X9" s="17" t="s">
        <v>105</v>
      </c>
      <c r="Y9" s="20" t="s">
        <v>181</v>
      </c>
      <c r="Z9" s="19" t="s">
        <v>62</v>
      </c>
      <c r="AA9" s="17" t="s">
        <v>62</v>
      </c>
      <c r="AB9" s="20" t="s">
        <v>62</v>
      </c>
      <c r="AC9" s="17" t="s">
        <v>131</v>
      </c>
      <c r="AD9" s="17" t="s">
        <v>62</v>
      </c>
      <c r="AE9" s="19" t="s">
        <v>62</v>
      </c>
      <c r="AF9" s="17" t="s">
        <v>150</v>
      </c>
      <c r="AG9" s="17"/>
      <c r="AH9" s="17"/>
      <c r="AI9" s="17"/>
      <c r="AJ9" s="17" t="s">
        <v>178</v>
      </c>
      <c r="AK9" s="17"/>
      <c r="AL9" s="17">
        <v>1921</v>
      </c>
      <c r="AM9" s="17" t="s">
        <v>11</v>
      </c>
      <c r="AN9" s="17"/>
      <c r="AO9" t="s">
        <v>199</v>
      </c>
      <c r="AP9" t="s">
        <v>183</v>
      </c>
      <c r="AQ9" t="s">
        <v>184</v>
      </c>
      <c r="AR9" t="s">
        <v>240</v>
      </c>
      <c r="AS9" t="s">
        <v>241</v>
      </c>
      <c r="AT9" t="s">
        <v>241</v>
      </c>
      <c r="AU9" t="s">
        <v>242</v>
      </c>
      <c r="AV9" t="s">
        <v>243</v>
      </c>
      <c r="AW9">
        <f t="shared" si="0"/>
        <v>53</v>
      </c>
      <c r="AX9" t="s">
        <v>189</v>
      </c>
      <c r="AY9" t="s">
        <v>190</v>
      </c>
      <c r="AZ9" t="s">
        <v>204</v>
      </c>
      <c r="BA9"/>
      <c r="BB9"/>
      <c r="BC9" t="s">
        <v>244</v>
      </c>
      <c r="BD9"/>
      <c r="BE9"/>
      <c r="BF9"/>
      <c r="BG9" t="s">
        <v>206</v>
      </c>
      <c r="BH9" t="s">
        <v>207</v>
      </c>
      <c r="BI9"/>
      <c r="BJ9"/>
      <c r="BK9"/>
      <c r="BL9" t="s">
        <v>195</v>
      </c>
      <c r="BM9" t="s">
        <v>208</v>
      </c>
      <c r="BN9" t="s">
        <v>197</v>
      </c>
      <c r="BO9" t="s">
        <v>209</v>
      </c>
      <c r="BP9"/>
      <c r="BQ9" t="s">
        <v>245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274</v>
      </c>
      <c r="DG9" s="1" t="s">
        <v>274</v>
      </c>
    </row>
    <row r="10" spans="1:111" ht="12" customHeight="1" x14ac:dyDescent="0.3">
      <c r="A10" s="16" t="s">
        <v>128</v>
      </c>
      <c r="B10" s="16" t="s">
        <v>0</v>
      </c>
      <c r="C10" s="17" t="s">
        <v>119</v>
      </c>
      <c r="D10" s="17" t="s">
        <v>141</v>
      </c>
      <c r="E10" s="20" t="s">
        <v>179</v>
      </c>
      <c r="F10" s="17" t="s">
        <v>141</v>
      </c>
      <c r="G10" s="20" t="s">
        <v>180</v>
      </c>
      <c r="H10" s="18" t="s">
        <v>22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 t="s">
        <v>136</v>
      </c>
      <c r="W10" s="19" t="s">
        <v>58</v>
      </c>
      <c r="X10" s="17" t="s">
        <v>105</v>
      </c>
      <c r="Y10" s="20" t="s">
        <v>181</v>
      </c>
      <c r="Z10" s="19" t="s">
        <v>104</v>
      </c>
      <c r="AA10" s="17" t="s">
        <v>104</v>
      </c>
      <c r="AB10" s="20" t="s">
        <v>104</v>
      </c>
      <c r="AC10" s="17" t="s">
        <v>131</v>
      </c>
      <c r="AD10" s="17" t="s">
        <v>104</v>
      </c>
      <c r="AE10" s="19" t="s">
        <v>104</v>
      </c>
      <c r="AF10" s="17" t="s">
        <v>174</v>
      </c>
      <c r="AG10" s="17"/>
      <c r="AH10" s="17"/>
      <c r="AI10" s="17"/>
      <c r="AJ10" s="17" t="s">
        <v>75</v>
      </c>
      <c r="AK10" s="17"/>
      <c r="AL10" s="17">
        <v>1921</v>
      </c>
      <c r="AM10" s="17" t="s">
        <v>100</v>
      </c>
      <c r="AN10" s="17"/>
      <c r="AO10" t="s">
        <v>199</v>
      </c>
      <c r="AP10" t="s">
        <v>183</v>
      </c>
      <c r="AQ10" t="s">
        <v>184</v>
      </c>
      <c r="AR10" t="s">
        <v>246</v>
      </c>
      <c r="AS10" t="s">
        <v>247</v>
      </c>
      <c r="AT10" t="s">
        <v>247</v>
      </c>
      <c r="AU10" t="s">
        <v>248</v>
      </c>
      <c r="AV10" t="s">
        <v>249</v>
      </c>
      <c r="AW10">
        <f t="shared" si="0"/>
        <v>53</v>
      </c>
      <c r="AX10" t="s">
        <v>189</v>
      </c>
      <c r="AY10" t="s">
        <v>190</v>
      </c>
      <c r="AZ10" t="s">
        <v>204</v>
      </c>
      <c r="BA10"/>
      <c r="BB10"/>
      <c r="BC10" t="s">
        <v>250</v>
      </c>
      <c r="BD10"/>
      <c r="BE10"/>
      <c r="BF10"/>
      <c r="BG10" t="s">
        <v>206</v>
      </c>
      <c r="BH10" t="s">
        <v>207</v>
      </c>
      <c r="BI10"/>
      <c r="BJ10"/>
      <c r="BK10"/>
      <c r="BL10" t="s">
        <v>195</v>
      </c>
      <c r="BM10" t="s">
        <v>208</v>
      </c>
      <c r="BN10" t="s">
        <v>197</v>
      </c>
      <c r="BO10" t="s">
        <v>209</v>
      </c>
      <c r="BP10"/>
      <c r="BQ10" t="s">
        <v>251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274</v>
      </c>
      <c r="DG10" s="1" t="s">
        <v>274</v>
      </c>
    </row>
    <row r="11" spans="1:111" ht="12" customHeight="1" x14ac:dyDescent="0.3">
      <c r="A11" s="16" t="s">
        <v>128</v>
      </c>
      <c r="B11" s="16" t="s">
        <v>0</v>
      </c>
      <c r="C11" s="17" t="s">
        <v>119</v>
      </c>
      <c r="D11" s="17" t="s">
        <v>141</v>
      </c>
      <c r="E11" s="20" t="s">
        <v>179</v>
      </c>
      <c r="F11" s="17" t="s">
        <v>141</v>
      </c>
      <c r="G11" s="20" t="s">
        <v>180</v>
      </c>
      <c r="H11" s="18" t="s">
        <v>22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 t="s">
        <v>115</v>
      </c>
      <c r="W11" s="19" t="s">
        <v>58</v>
      </c>
      <c r="X11" s="17" t="s">
        <v>105</v>
      </c>
      <c r="Y11" s="20" t="s">
        <v>181</v>
      </c>
      <c r="Z11" s="19" t="s">
        <v>50</v>
      </c>
      <c r="AA11" s="17" t="s">
        <v>50</v>
      </c>
      <c r="AB11" s="20" t="s">
        <v>50</v>
      </c>
      <c r="AC11" s="17" t="s">
        <v>131</v>
      </c>
      <c r="AD11" s="17" t="s">
        <v>50</v>
      </c>
      <c r="AE11" s="19" t="s">
        <v>50</v>
      </c>
      <c r="AF11" s="17" t="s">
        <v>123</v>
      </c>
      <c r="AG11" s="17"/>
      <c r="AH11" s="17"/>
      <c r="AI11" s="17"/>
      <c r="AJ11" s="17" t="s">
        <v>110</v>
      </c>
      <c r="AK11" s="17"/>
      <c r="AL11" s="17">
        <v>1921</v>
      </c>
      <c r="AM11" s="17" t="s">
        <v>3</v>
      </c>
      <c r="AN11" s="17"/>
      <c r="AO11" t="s">
        <v>199</v>
      </c>
      <c r="AP11" t="s">
        <v>183</v>
      </c>
      <c r="AQ11" t="s">
        <v>184</v>
      </c>
      <c r="AR11" t="s">
        <v>252</v>
      </c>
      <c r="AS11" t="s">
        <v>253</v>
      </c>
      <c r="AT11" t="s">
        <v>253</v>
      </c>
      <c r="AU11" t="s">
        <v>254</v>
      </c>
      <c r="AV11" t="s">
        <v>255</v>
      </c>
      <c r="AW11">
        <f t="shared" si="0"/>
        <v>53</v>
      </c>
      <c r="AX11" t="s">
        <v>189</v>
      </c>
      <c r="AY11" t="s">
        <v>190</v>
      </c>
      <c r="AZ11" t="s">
        <v>204</v>
      </c>
      <c r="BA11"/>
      <c r="BB11"/>
      <c r="BC11" t="s">
        <v>256</v>
      </c>
      <c r="BD11"/>
      <c r="BE11"/>
      <c r="BF11"/>
      <c r="BG11" t="s">
        <v>206</v>
      </c>
      <c r="BH11" t="s">
        <v>207</v>
      </c>
      <c r="BI11"/>
      <c r="BJ11"/>
      <c r="BK11"/>
      <c r="BL11" t="s">
        <v>195</v>
      </c>
      <c r="BM11" t="s">
        <v>208</v>
      </c>
      <c r="BN11" t="s">
        <v>197</v>
      </c>
      <c r="BO11" t="s">
        <v>209</v>
      </c>
      <c r="BP11"/>
      <c r="BQ11" t="s">
        <v>257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274</v>
      </c>
      <c r="DG11" s="1" t="s">
        <v>274</v>
      </c>
    </row>
    <row r="12" spans="1:111" ht="12" customHeight="1" x14ac:dyDescent="0.3">
      <c r="A12" s="16" t="s">
        <v>128</v>
      </c>
      <c r="B12" s="16" t="s">
        <v>0</v>
      </c>
      <c r="C12" s="17" t="s">
        <v>119</v>
      </c>
      <c r="D12" s="17" t="s">
        <v>141</v>
      </c>
      <c r="E12" s="20" t="s">
        <v>179</v>
      </c>
      <c r="F12" s="17" t="s">
        <v>141</v>
      </c>
      <c r="G12" s="20" t="s">
        <v>180</v>
      </c>
      <c r="H12" s="18" t="s">
        <v>22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 t="s">
        <v>55</v>
      </c>
      <c r="W12" s="19" t="s">
        <v>58</v>
      </c>
      <c r="X12" s="17" t="s">
        <v>105</v>
      </c>
      <c r="Y12" s="20" t="s">
        <v>181</v>
      </c>
      <c r="Z12" s="19" t="s">
        <v>72</v>
      </c>
      <c r="AA12" s="17" t="s">
        <v>72</v>
      </c>
      <c r="AB12" s="20" t="s">
        <v>72</v>
      </c>
      <c r="AC12" s="17" t="s">
        <v>131</v>
      </c>
      <c r="AD12" s="17" t="s">
        <v>72</v>
      </c>
      <c r="AE12" s="19" t="s">
        <v>72</v>
      </c>
      <c r="AF12" s="17" t="s">
        <v>94</v>
      </c>
      <c r="AG12" s="17"/>
      <c r="AH12" s="17"/>
      <c r="AI12" s="17"/>
      <c r="AJ12" s="17" t="s">
        <v>51</v>
      </c>
      <c r="AK12" s="17"/>
      <c r="AL12" s="17">
        <v>1921</v>
      </c>
      <c r="AM12" s="17" t="s">
        <v>54</v>
      </c>
      <c r="AN12" s="17"/>
      <c r="AO12" t="s">
        <v>199</v>
      </c>
      <c r="AP12" t="s">
        <v>183</v>
      </c>
      <c r="AQ12" t="s">
        <v>184</v>
      </c>
      <c r="AR12" t="s">
        <v>258</v>
      </c>
      <c r="AS12" t="s">
        <v>259</v>
      </c>
      <c r="AT12" t="s">
        <v>259</v>
      </c>
      <c r="AU12" t="s">
        <v>260</v>
      </c>
      <c r="AV12" t="s">
        <v>261</v>
      </c>
      <c r="AW12">
        <f t="shared" si="0"/>
        <v>54</v>
      </c>
      <c r="AX12" t="s">
        <v>189</v>
      </c>
      <c r="AY12" t="s">
        <v>190</v>
      </c>
      <c r="AZ12" t="s">
        <v>204</v>
      </c>
      <c r="BA12"/>
      <c r="BB12"/>
      <c r="BC12" t="s">
        <v>262</v>
      </c>
      <c r="BD12"/>
      <c r="BE12"/>
      <c r="BF12"/>
      <c r="BG12" t="s">
        <v>206</v>
      </c>
      <c r="BH12" t="s">
        <v>207</v>
      </c>
      <c r="BI12"/>
      <c r="BJ12"/>
      <c r="BK12"/>
      <c r="BL12" t="s">
        <v>195</v>
      </c>
      <c r="BM12" t="s">
        <v>208</v>
      </c>
      <c r="BN12" t="s">
        <v>197</v>
      </c>
      <c r="BO12" t="s">
        <v>209</v>
      </c>
      <c r="BP12"/>
      <c r="BQ12" t="s">
        <v>263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274</v>
      </c>
      <c r="DG12" s="1" t="s">
        <v>274</v>
      </c>
    </row>
    <row r="13" spans="1:111" ht="12" customHeight="1" x14ac:dyDescent="0.3">
      <c r="A13" s="16" t="s">
        <v>128</v>
      </c>
      <c r="B13" s="16" t="s">
        <v>0</v>
      </c>
      <c r="C13" s="17" t="s">
        <v>119</v>
      </c>
      <c r="D13" s="17" t="s">
        <v>141</v>
      </c>
      <c r="E13" s="20" t="s">
        <v>179</v>
      </c>
      <c r="F13" s="17" t="s">
        <v>141</v>
      </c>
      <c r="G13" s="20" t="s">
        <v>180</v>
      </c>
      <c r="H13" s="18" t="s">
        <v>22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 t="s">
        <v>67</v>
      </c>
      <c r="W13" s="19" t="s">
        <v>58</v>
      </c>
      <c r="X13" s="17" t="s">
        <v>105</v>
      </c>
      <c r="Y13" s="20" t="s">
        <v>181</v>
      </c>
      <c r="Z13" s="19" t="s">
        <v>122</v>
      </c>
      <c r="AA13" s="17" t="s">
        <v>122</v>
      </c>
      <c r="AB13" s="20" t="s">
        <v>122</v>
      </c>
      <c r="AC13" s="17" t="s">
        <v>131</v>
      </c>
      <c r="AD13" s="17" t="s">
        <v>122</v>
      </c>
      <c r="AE13" s="19" t="s">
        <v>122</v>
      </c>
      <c r="AF13" s="17" t="s">
        <v>135</v>
      </c>
      <c r="AG13" s="17"/>
      <c r="AH13" s="17"/>
      <c r="AI13" s="17"/>
      <c r="AJ13" s="17" t="s">
        <v>83</v>
      </c>
      <c r="AK13" s="17"/>
      <c r="AL13" s="17">
        <v>1921</v>
      </c>
      <c r="AM13" s="17" t="s">
        <v>7</v>
      </c>
      <c r="AN13" s="17"/>
      <c r="AO13" t="s">
        <v>264</v>
      </c>
      <c r="AP13"/>
      <c r="AQ13"/>
      <c r="AR13" t="s">
        <v>265</v>
      </c>
      <c r="AS13" t="s">
        <v>266</v>
      </c>
      <c r="AT13" t="s">
        <v>266</v>
      </c>
      <c r="AU13" t="s">
        <v>267</v>
      </c>
      <c r="AV13" t="s">
        <v>267</v>
      </c>
      <c r="AW13">
        <f t="shared" si="0"/>
        <v>20</v>
      </c>
      <c r="AX13" t="s">
        <v>268</v>
      </c>
      <c r="AY13" t="s">
        <v>269</v>
      </c>
      <c r="AZ13" t="s">
        <v>270</v>
      </c>
      <c r="BA13"/>
      <c r="BB13"/>
      <c r="BC13"/>
      <c r="BD13"/>
      <c r="BE13"/>
      <c r="BF13"/>
      <c r="BG13"/>
      <c r="BH13"/>
      <c r="BI13"/>
      <c r="BJ13"/>
      <c r="BK13"/>
      <c r="BL13"/>
      <c r="BM13" s="20" t="s">
        <v>271</v>
      </c>
      <c r="BN13"/>
      <c r="BO13"/>
      <c r="BP13"/>
      <c r="BQ13" s="21" t="s">
        <v>272</v>
      </c>
      <c r="BR13" t="s">
        <v>273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274</v>
      </c>
      <c r="DG13" s="1" t="s">
        <v>274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2023-08-15T14:16:37Z</dcterms:modified>
  <cp:category/>
</cp:coreProperties>
</file>