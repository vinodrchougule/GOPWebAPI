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Sheet1!$A$1:$CG$38</definedName>
  </definedNames>
  <calcPr calcId="124519"/>
  <webPublishing codePage="0"/>
</workbook>
</file>

<file path=xl/calcChain.xml><?xml version="1.0" encoding="utf-8"?>
<calcChain xmlns="http://schemas.openxmlformats.org/spreadsheetml/2006/main">
  <c r="AU38" i="1"/>
  <c r="AU37"/>
  <c r="AU36"/>
  <c r="AU35"/>
  <c r="AU34"/>
  <c r="AU33"/>
  <c r="AU32"/>
  <c r="AU31"/>
  <c r="AU30"/>
  <c r="AU29"/>
  <c r="AU28"/>
  <c r="AU27"/>
  <c r="AU26"/>
  <c r="AU25"/>
  <c r="AU24"/>
  <c r="AU23"/>
  <c r="AU22"/>
  <c r="AU21"/>
  <c r="AU20"/>
  <c r="AU19"/>
  <c r="AU18"/>
  <c r="AU17"/>
  <c r="AU16"/>
  <c r="AU15"/>
  <c r="AU14"/>
  <c r="AU13"/>
  <c r="AU12"/>
  <c r="AU11"/>
  <c r="AU10"/>
  <c r="AU9"/>
  <c r="AU8"/>
  <c r="AU7"/>
  <c r="AU6"/>
  <c r="AU5"/>
  <c r="AU4"/>
  <c r="AU3"/>
  <c r="AU2"/>
</calcChain>
</file>

<file path=xl/sharedStrings.xml><?xml version="1.0" encoding="utf-8"?>
<sst xmlns="http://schemas.openxmlformats.org/spreadsheetml/2006/main" count="1823" uniqueCount="870">
  <si>
    <t>ADC664YPK</t>
  </si>
  <si>
    <t>BLADE RECP LG 77.6X0.77X11.2MM</t>
  </si>
  <si>
    <t>102782</t>
  </si>
  <si>
    <t>TRAP FINGER MEDIUM NON STERILE LATEX-FREE DISPOSABLE</t>
  </si>
  <si>
    <t>9204</t>
  </si>
  <si>
    <t>TRAP FINGER SMALL STERILE DISPOSABLE</t>
  </si>
  <si>
    <t>500931</t>
  </si>
  <si>
    <t>NONFS300Z</t>
  </si>
  <si>
    <t>STRAWSTERILEFILTER5MICRON</t>
  </si>
  <si>
    <t>652962</t>
  </si>
  <si>
    <t>Ref#</t>
  </si>
  <si>
    <t>HCL19693</t>
  </si>
  <si>
    <t>Status</t>
  </si>
  <si>
    <t>2296-033-115</t>
  </si>
  <si>
    <t>BLADE SAW SAGITTAL STANDARD LONG 29.5X7X0.51 MM INTRAORAL NARROW 32 TEETH AGGRESSIVE FOR MANDIBULAR/MAXILLARY OSTEOTOMY CORE AND SMALL BONE POWER SYSTEM REPROCESSED STERILE PRECISION LATEXFREE DISPOSABLE</t>
  </si>
  <si>
    <t>BLADE SAW SHRT LG TPRD 27MM</t>
  </si>
  <si>
    <t>HCPCS</t>
  </si>
  <si>
    <t>Secondary Dimension(IDXODXWXHXDXTHKXL)</t>
  </si>
  <si>
    <t>URL</t>
  </si>
  <si>
    <t>BSMH_Material</t>
  </si>
  <si>
    <t>CABLE OXMTR SPO2 PULSE NONOEM</t>
  </si>
  <si>
    <t>DEVICE TOWER ARC WRIST SM</t>
  </si>
  <si>
    <t>500937</t>
  </si>
  <si>
    <t>500927</t>
  </si>
  <si>
    <t>500917</t>
  </si>
  <si>
    <t>NEEDLE QUINCKE 25GX35IN</t>
  </si>
  <si>
    <t>42291627</t>
  </si>
  <si>
    <t>STYLET ENDOTRACH 8FR 45CM</t>
  </si>
  <si>
    <t>CARDINAL HEALTH</t>
  </si>
  <si>
    <t>42222202</t>
  </si>
  <si>
    <t>BrandName1</t>
  </si>
  <si>
    <t>DEPRESSOR 5.5IN JR STRL BLDE SMTH SPLNTR FREE TNG WD LF</t>
  </si>
  <si>
    <t>RSH750</t>
  </si>
  <si>
    <t>42242102</t>
  </si>
  <si>
    <t>MEDLINE</t>
  </si>
  <si>
    <t>STRAP ARM SET UNIVERSAL 24 IN UPPER 36 FOREARM TIP MARKER FOR ARC WRIST TOWER WHITE OF 24IN 1 36IN</t>
  </si>
  <si>
    <t>BLADE SAW RECIPROCATING LONG 77.6X11.2X0.77 MM HEAVY DUTY OFFSET STAINLESS STEEL STERILE L77.6 MMXW11.2 MMXH.77 RECIPROCATE</t>
  </si>
  <si>
    <t>664Y</t>
  </si>
  <si>
    <t>COMP</t>
  </si>
  <si>
    <t>DTL4604</t>
  </si>
  <si>
    <t>42182103</t>
  </si>
  <si>
    <t>13644516</t>
  </si>
  <si>
    <t>MANUF-DIVISION</t>
  </si>
  <si>
    <t>PROSCOPE 664 DIAPHRAGM ONLY DISPOSABLE ABS CHESTPIECE WITH NONCHILL RIM FOR PATIENT COMFORT22IN PVC YTUBING</t>
  </si>
  <si>
    <t>102815</t>
  </si>
  <si>
    <t>CLEANER NAIL WHITE AVAGARD</t>
  </si>
  <si>
    <t>LABEL MEDCL 2 X 1-9/16 LAB</t>
  </si>
  <si>
    <t>Property</t>
  </si>
  <si>
    <t>BUR SURGICAL EGG SHAPE 4 MM RESURFACING TOOL 4.0MM</t>
  </si>
  <si>
    <t>A9900</t>
  </si>
  <si>
    <t>BUR SURGICAL ROUND 35 MM CARBIDE DISPOSABLE</t>
  </si>
  <si>
    <t>Potential / Duplicate Across Consolidated</t>
  </si>
  <si>
    <t>ACTION HEALTH</t>
  </si>
  <si>
    <t>Accepted Date</t>
  </si>
  <si>
    <t>10170052</t>
  </si>
  <si>
    <t>PAIN8118</t>
  </si>
  <si>
    <t>Description Duplicate</t>
  </si>
  <si>
    <t>Stylet Intubating Slick 8Fr 42cm Malleable Color Coded Ea</t>
  </si>
  <si>
    <t>BONE CEMENT KIT REVOLUTION BIOPREP APPLICATION LATEX FREE</t>
  </si>
  <si>
    <t>QE Code</t>
  </si>
  <si>
    <t>2296-033-106</t>
  </si>
  <si>
    <t>500943</t>
  </si>
  <si>
    <t>500923</t>
  </si>
  <si>
    <t>PRECISION</t>
  </si>
  <si>
    <t>Ziplock Bag 9x12 1000/Ca</t>
  </si>
  <si>
    <t>Sterile</t>
  </si>
  <si>
    <t>STRYKER MEDICAL INSTRUM (ACI)</t>
  </si>
  <si>
    <t>KIT CHEMO SPILL CLEAN UP</t>
  </si>
  <si>
    <t>BLADE SAW L13XW.51MMXLONG CO CHROM RT FEM KNEE NXGN</t>
  </si>
  <si>
    <t>TAPE LABELING BROSELOW</t>
  </si>
  <si>
    <t>DEVICE TOWER ARC WRIST LRG</t>
  </si>
  <si>
    <t>500936</t>
  </si>
  <si>
    <t>500926</t>
  </si>
  <si>
    <t>500916</t>
  </si>
  <si>
    <t>12298660</t>
  </si>
  <si>
    <t>TRAP FINGER SMALL NON STERILE  LATEX-FREE DISPOSABLE</t>
  </si>
  <si>
    <t>MEDLINE INDUSTRIES INC</t>
  </si>
  <si>
    <t>BSMH_Volume/Weight</t>
  </si>
  <si>
    <t>BSMH Long 254 Desc</t>
  </si>
  <si>
    <t>500944</t>
  </si>
  <si>
    <t>STRAP ARM SET UNIVERSAL 24 IN UPPER ARM 36 IN FOREARM TIP MARKER FOR ARC WRIST TOWER WHITE</t>
  </si>
  <si>
    <t>649234</t>
  </si>
  <si>
    <t>11853</t>
  </si>
  <si>
    <t>Ref</t>
  </si>
  <si>
    <t>L3806</t>
  </si>
  <si>
    <t>MEDLINE INDUSTRIES</t>
  </si>
  <si>
    <t>615024</t>
  </si>
  <si>
    <t>DYK200CHCH</t>
  </si>
  <si>
    <t>RefName</t>
  </si>
  <si>
    <t>BLADE SAW XLG WIDE 34.5X13MM</t>
  </si>
  <si>
    <t>PM996</t>
  </si>
  <si>
    <t>2406406</t>
  </si>
  <si>
    <t>873096</t>
  </si>
  <si>
    <t>SE Code</t>
  </si>
  <si>
    <t>CARDINAL HEALTHCARE</t>
  </si>
  <si>
    <t>PROSCOPE</t>
  </si>
  <si>
    <t>KIT CATHETER CVC 4FR FLEX TIP</t>
  </si>
  <si>
    <t>102781</t>
  </si>
  <si>
    <t>DEVICE TOWER ARC WRIST X-LRG</t>
  </si>
  <si>
    <t>VENDOR</t>
  </si>
  <si>
    <t>AMERICAN DIAGNOSTIC CORP</t>
  </si>
  <si>
    <t>504001</t>
  </si>
  <si>
    <t>BSMH_SIZE</t>
  </si>
  <si>
    <t>Activities</t>
  </si>
  <si>
    <t>MMM9204</t>
  </si>
  <si>
    <t>Final</t>
  </si>
  <si>
    <t>DRAIN PENROSE12 X 5/8 IN</t>
  </si>
  <si>
    <t>BUR RND 6 FLUTE CRBD 3.5MM</t>
  </si>
  <si>
    <t>KIT BN CMNT W/BRKAWAY FEM NOZZ</t>
  </si>
  <si>
    <t>O-T240000031</t>
  </si>
  <si>
    <t>BLADE TONGUE 5 1/2 IN STRL</t>
  </si>
  <si>
    <t>652960</t>
  </si>
  <si>
    <t>STETHOSCOPE DISPOSABLE YLW 10</t>
  </si>
  <si>
    <t>42181501</t>
  </si>
  <si>
    <t>500942</t>
  </si>
  <si>
    <t>500922</t>
  </si>
  <si>
    <t>DBRPL1R</t>
  </si>
  <si>
    <t>TYDENBROOKS</t>
  </si>
  <si>
    <t>AVAGARD</t>
  </si>
  <si>
    <t>PDG</t>
  </si>
  <si>
    <t>0277-010-235</t>
  </si>
  <si>
    <t>653020</t>
  </si>
  <si>
    <t>42142502</t>
  </si>
  <si>
    <t>42272004</t>
  </si>
  <si>
    <t>691102</t>
  </si>
  <si>
    <t>Location</t>
  </si>
  <si>
    <t>STYLET INTUBATION 8FR L42CM MALLEABLE DISPOSABLE SLICK STYLETTE</t>
  </si>
  <si>
    <t>13676980</t>
  </si>
  <si>
    <t>BLADE SAW RECIPROCATING 70X12.5X0.64 MM THICK 20 TEETH DOUBLE SIDED HEAVY DUTY STAINLESS STEEL NON STERILE 70X0.64</t>
  </si>
  <si>
    <t>PAPER ECG PRINTER 50MMX30M</t>
  </si>
  <si>
    <t>3864661</t>
  </si>
  <si>
    <t>ARROW</t>
  </si>
  <si>
    <t>NEEDLE ANESTHESIA BEVEL 25 GAX3.5 IN SHARP LUER LOCK CANNULA HUB QUINCKE LATEXFREE 25G X 31/2IN LF</t>
  </si>
  <si>
    <t>BOOT TRACTION UNIVERSAL BUCK S TRACTION ELASTIC STRAP 6 SPREADER BAR ATTACHED HOOK &amp; LOOP PILE FOAM FOAM LINING LATEX FREE BOOT TRACTION UNIVERSAL BUCK TRACTION ELASTIC STRAP 6 IN SPREADER BAR ATTACHED HOOK &amp; LOOP PILE FOAM LINING LATEXFREE</t>
  </si>
  <si>
    <t>BMTPM996</t>
  </si>
  <si>
    <t>Miscellaneous</t>
  </si>
  <si>
    <t>0277-096-325</t>
  </si>
  <si>
    <t>652795</t>
  </si>
  <si>
    <t>BLADE SAW XLG WIDE 39X13X0.51</t>
  </si>
  <si>
    <t>BURR SURGICAL 3.5MM DIA HEAD MICRO 44.5MML CARBIDE ROUND FLUTEX6 FAST CUTTING STERILE</t>
  </si>
  <si>
    <t>102780</t>
  </si>
  <si>
    <t>4131311</t>
  </si>
  <si>
    <t>LongDescription</t>
  </si>
  <si>
    <t>MASK SURGICAL FACE ANTIFOG WITH TIES THICK FOAM STRIP PLEATED STYLE CELLULOSE BLUE LATEX FREE</t>
  </si>
  <si>
    <t>1282505</t>
  </si>
  <si>
    <t>10170051</t>
  </si>
  <si>
    <t>BrandName</t>
  </si>
  <si>
    <t>41300452</t>
  </si>
  <si>
    <t>STRYKER ORTHOPEDICS(HOWMEDICA)</t>
  </si>
  <si>
    <t>500924</t>
  </si>
  <si>
    <t>11240-000031</t>
  </si>
  <si>
    <t>SHIELD FACE FULL FOAM</t>
  </si>
  <si>
    <t>BLADE SAW LG NAR 29.5X7X0.51MM</t>
  </si>
  <si>
    <t>274958</t>
  </si>
  <si>
    <t>XODUS MEDICAL INC</t>
  </si>
  <si>
    <t>Customer Code</t>
  </si>
  <si>
    <t>BSMH_Packaging for drugs and solutions</t>
  </si>
  <si>
    <t>Quality A/R</t>
  </si>
  <si>
    <t>TOOL RESURFACE 4.0MM EGG</t>
  </si>
  <si>
    <t>ACB525185010Z</t>
  </si>
  <si>
    <t>Production Comments</t>
  </si>
  <si>
    <t>BAG ZIP CLOSURE9X12IN CLR 2ML</t>
  </si>
  <si>
    <t>3865819</t>
  </si>
  <si>
    <t>PL-1R</t>
  </si>
  <si>
    <t>3014117</t>
  </si>
  <si>
    <t>30414-058</t>
  </si>
  <si>
    <t>37764936</t>
  </si>
  <si>
    <t>Verified MFR Name</t>
  </si>
  <si>
    <t>42131713</t>
  </si>
  <si>
    <t>Volume/Weight</t>
  </si>
  <si>
    <t>DRAIN WOUND PENROSE 5/8INW X 12INL LATEX NONRADIOLUCENT STERILE</t>
  </si>
  <si>
    <t>52152002</t>
  </si>
  <si>
    <t>11996-000093</t>
  </si>
  <si>
    <t>APVENMAST#VENDOR-VNAME</t>
  </si>
  <si>
    <t>BLADE SAW SAGITTAL 34.5X13X0.51 MM OSCILLATING HEAVY DUTY STAINLESS STEEL STERILE PRECISION 13MML 0.51MMTHK 34.5MMDEPTH SS</t>
  </si>
  <si>
    <t>2574964</t>
  </si>
  <si>
    <t>BOOT TRACTION UNIVERSAL BUCK TRACTION ELASTIC STRAP 6 IN SPREADER BAR ATTACHED HOOK &amp; LOOP PILE FOAM LINING LATEXFREE</t>
  </si>
  <si>
    <t>652959</t>
  </si>
  <si>
    <t>Verified MFR Num</t>
  </si>
  <si>
    <t>BSMH_Modifier</t>
  </si>
  <si>
    <t>MANUF-CODE</t>
  </si>
  <si>
    <t>500939</t>
  </si>
  <si>
    <t>500929</t>
  </si>
  <si>
    <t>500919</t>
  </si>
  <si>
    <t>ProdigoReferenceID</t>
  </si>
  <si>
    <t>42295211</t>
  </si>
  <si>
    <t>Remarks</t>
  </si>
  <si>
    <t>BSMH_PrimaryDimension(IDXODXLXWXHXDXTHK)</t>
  </si>
  <si>
    <t>BLADE DBLSD 70.0X0.64X12.6MM</t>
  </si>
  <si>
    <t>Orlando Long 300 Desc</t>
  </si>
  <si>
    <t>BAGZIP8"X10"2 MIL</t>
  </si>
  <si>
    <t>1900-015-040</t>
  </si>
  <si>
    <t>QE Comments</t>
  </si>
  <si>
    <t>10170060</t>
  </si>
  <si>
    <t>RefCat</t>
  </si>
  <si>
    <t>STRAW MEDICATION FILTER</t>
  </si>
  <si>
    <t>ARWAK14402</t>
  </si>
  <si>
    <t>PICK NAIL AVAGARD</t>
  </si>
  <si>
    <t>BAG ZIP 8X10IN 2 MIL</t>
  </si>
  <si>
    <t>Size</t>
  </si>
  <si>
    <t>411939</t>
  </si>
  <si>
    <t>HCPCS1</t>
  </si>
  <si>
    <t>CATHETERIZATION KIT DOUBLE LUMEN 0.018X17.75 IN PEDIATRIC 4 FRX13 CM SPRING GUIDEWIRE J TIP 25GAX1/1.5IN INJECTION 21GAX1.5IN THIN/ROUND WALL INTRODUCER NEEDLE 5ML LUERSLIP SYRINGE TISSUE DILATOR POLYURETHANE BLUE FLEXTIP TWOLUMEN CVC FR X 13</t>
  </si>
  <si>
    <t>BEMIS</t>
  </si>
  <si>
    <t>5100037134</t>
  </si>
  <si>
    <t>Modifier</t>
  </si>
  <si>
    <t>0277-096-275</t>
  </si>
  <si>
    <t>ITEMMAST#DESCRIPTION</t>
  </si>
  <si>
    <t>WRAP FILM PRFLM 4INX76CM 125FT</t>
  </si>
  <si>
    <t>42242104</t>
  </si>
  <si>
    <t>BSMH_Property</t>
  </si>
  <si>
    <t>750</t>
  </si>
  <si>
    <t>BLADE SAW 75X18X0.89 MM BEVELED EDGE NO OFFSET HIGH PERFORMANCE FOR SYSTEM 6 CORE TPS STERILE PRECISION LATEX FREE DISPOSABLE</t>
  </si>
  <si>
    <t>TRAP FINGER LARGE STERILE DISPOSABLE</t>
  </si>
  <si>
    <t>CHJ</t>
  </si>
  <si>
    <t/>
  </si>
  <si>
    <t>LOCK PLASTIC RED</t>
  </si>
  <si>
    <t>SZYVIT7700RE</t>
  </si>
  <si>
    <t>ASIS Description (Long  Desc 4000)</t>
  </si>
  <si>
    <t>KIT PREP BONE CEMENT SHORT CARTRIDGE SHORT NOZZLE REVOLUTION</t>
  </si>
  <si>
    <t>NON27378A</t>
  </si>
  <si>
    <t>Material</t>
  </si>
  <si>
    <t>ACUMED</t>
  </si>
  <si>
    <t>BLADE SAW SAGITTAL 34.5X13X0.51 MM OSCILLATING HEAVY DUTY STAINLESS STEEL STERILE</t>
  </si>
  <si>
    <t>MASK FACE BLUE ANTI FOG TIE</t>
  </si>
  <si>
    <t>ShortDescription</t>
  </si>
  <si>
    <t>3M COMPANY</t>
  </si>
  <si>
    <t>42296704</t>
  </si>
  <si>
    <t>500935</t>
  </si>
  <si>
    <t>500925</t>
  </si>
  <si>
    <t>500915</t>
  </si>
  <si>
    <t>BSMH_AGE</t>
  </si>
  <si>
    <t>Short Desc</t>
  </si>
  <si>
    <t>500938</t>
  </si>
  <si>
    <t>500928</t>
  </si>
  <si>
    <t>500918</t>
  </si>
  <si>
    <t>BSMH_Gender</t>
  </si>
  <si>
    <t>VIT7700RE</t>
  </si>
  <si>
    <t>574513</t>
  </si>
  <si>
    <t>5198179</t>
  </si>
  <si>
    <t>TRAP FINGER XLARGE STERILE DISPOSABLE</t>
  </si>
  <si>
    <t>Potential Duplicate</t>
  </si>
  <si>
    <t>10170054</t>
  </si>
  <si>
    <t>Noun</t>
  </si>
  <si>
    <t>41300455</t>
  </si>
  <si>
    <t>3294218</t>
  </si>
  <si>
    <t>134-B400-1006AV-10</t>
  </si>
  <si>
    <t>BSMH_NOUN</t>
  </si>
  <si>
    <t>C1751</t>
  </si>
  <si>
    <t>2296-033-108</t>
  </si>
  <si>
    <t>Latex</t>
  </si>
  <si>
    <t>Start Date</t>
  </si>
  <si>
    <t>MEDTRONIC PHYSIO CONTROL CORP</t>
  </si>
  <si>
    <t>BSMH_SecondaryDimension(IDXODXLXWXHXDXTHK)</t>
  </si>
  <si>
    <t>13389641</t>
  </si>
  <si>
    <t>015-Diff143-325</t>
  </si>
  <si>
    <t>354666</t>
  </si>
  <si>
    <t>56736</t>
  </si>
  <si>
    <t>TRI ANIM HEALTH SVCS INC</t>
  </si>
  <si>
    <t>1179142</t>
  </si>
  <si>
    <t>Short Desc 30</t>
  </si>
  <si>
    <t>10170053</t>
  </si>
  <si>
    <t>STRAP ARM 24IN - 36IN</t>
  </si>
  <si>
    <t>6118-089-075</t>
  </si>
  <si>
    <t>Sort Comment</t>
  </si>
  <si>
    <t>9316642</t>
  </si>
  <si>
    <t>42295453</t>
  </si>
  <si>
    <t>85251-85011</t>
  </si>
  <si>
    <t>85251-85010</t>
  </si>
  <si>
    <t>ACB25185011ZZ</t>
  </si>
  <si>
    <t>PHY6000093CSH</t>
  </si>
  <si>
    <t>19693</t>
  </si>
  <si>
    <t>BUR SURGICAL EGG SHAPE 4 MM RESURFACING TOOL</t>
  </si>
  <si>
    <t>BLADE SAW L13XW.51MMXLONG COBALT CHROME RIGHT FEMORAL KNEE NEXGEN</t>
  </si>
  <si>
    <t>BSMH_Brandname</t>
  </si>
  <si>
    <t>Production User</t>
  </si>
  <si>
    <t>DE Code</t>
  </si>
  <si>
    <t>TELEFLEX MEDICAL</t>
  </si>
  <si>
    <t>806208</t>
  </si>
  <si>
    <t>QUINCKE</t>
  </si>
  <si>
    <t>500921</t>
  </si>
  <si>
    <t>ACB525185009Z</t>
  </si>
  <si>
    <t>0606-705-000</t>
  </si>
  <si>
    <t>500914</t>
  </si>
  <si>
    <t>DEVICE TOWER ARC WRIST MED</t>
  </si>
  <si>
    <t>STRYKER INSTRUMENTS</t>
  </si>
  <si>
    <t>Conc</t>
  </si>
  <si>
    <t>HEALTH CARE LOGISTICS</t>
  </si>
  <si>
    <t>552761</t>
  </si>
  <si>
    <t>3178053</t>
  </si>
  <si>
    <t>42203447</t>
  </si>
  <si>
    <t>41122410</t>
  </si>
  <si>
    <t>691103</t>
  </si>
  <si>
    <t>70646</t>
  </si>
  <si>
    <t>AK-14402</t>
  </si>
  <si>
    <t>41300449</t>
  </si>
  <si>
    <t>ORTH</t>
  </si>
  <si>
    <t>A7045</t>
  </si>
  <si>
    <t>41300454</t>
  </si>
  <si>
    <t>Job No</t>
  </si>
  <si>
    <t>Len</t>
  </si>
  <si>
    <t>TRAP FINGER XLARGE NON STERILE LATEX-FREE DISPOSABLE</t>
  </si>
  <si>
    <t>BLADE SAW RECIPROCATING LONG SHORT 24X0.64 MM TAPERED</t>
  </si>
  <si>
    <t>42295159</t>
  </si>
  <si>
    <t>MDS202073Z</t>
  </si>
  <si>
    <t>SE Comments</t>
  </si>
  <si>
    <t>BOOT TRCTN UNIVERSAL SIZE</t>
  </si>
  <si>
    <t>1438679</t>
  </si>
  <si>
    <t>PrimaryDimension(IDXODXWXHXDXTHKXL)</t>
  </si>
  <si>
    <t>STRYKER ORTHO</t>
  </si>
  <si>
    <t>BXT30414058Z</t>
  </si>
  <si>
    <t>MED-TECH RESOURCE LLC</t>
  </si>
  <si>
    <t>Classification Remarks</t>
  </si>
  <si>
    <t>VEN-ITEM</t>
  </si>
  <si>
    <t>3170105</t>
  </si>
  <si>
    <t>A4215</t>
  </si>
  <si>
    <t>TRI ANIM/UNITED HOSP SUPPLY</t>
  </si>
  <si>
    <t>TRAP FINGER MEDIUM STERILE DISPOSABLE</t>
  </si>
  <si>
    <t>Long Description Creation | UNSPSC Classification</t>
  </si>
  <si>
    <t>BLADE SAW RECIPROCATING 70X12.5X0.64 MM THICK 20 TEETH DOUBLE SIDED HEAVY DUTY STAINLESS STEEL NON STERILE</t>
  </si>
  <si>
    <t>REVOLUTION</t>
  </si>
  <si>
    <t>47131704</t>
  </si>
  <si>
    <t>Corrected By</t>
  </si>
  <si>
    <t>Color</t>
  </si>
  <si>
    <t>PHYS</t>
  </si>
  <si>
    <t>500941</t>
  </si>
  <si>
    <t>BLADE SAG 18.0 X 0.89 X 75MM</t>
  </si>
  <si>
    <t>41300450</t>
  </si>
  <si>
    <t>500940</t>
  </si>
  <si>
    <t>500930</t>
  </si>
  <si>
    <t>500920</t>
  </si>
  <si>
    <t>24111514</t>
  </si>
  <si>
    <t>41300451</t>
  </si>
  <si>
    <t>SlNo</t>
  </si>
  <si>
    <t>CATHETERIZATION KIT DOUBLE LUMEN 0.018X17.75 IN PEDIATRIC 4 FRX13 CM SPRING GUIDEWIRE J TIP 25GAX1/1.5IN INJECTION 21GAX1.5IN THIN/ROUND WALL INTRODUCER NEEDLE 5ML LUERSLIP SYRINGE TISSUE DILATOR POLYURETHANE BLUE FLEXTIP</t>
  </si>
  <si>
    <t>BAG ZIP CLOSURE 8X8IN CLR 2ML</t>
  </si>
  <si>
    <t>GlobalUNSPSC</t>
  </si>
  <si>
    <t>BLADE SAW SAGITTAL STANDARD LONG 29.5X7X0.51 MM INTRAORAL NARROW 32 TEETH AGGRESSIVE FOR MANDIBULAR/MAXILLARY OSTEOTOMY CORE AND SMALL BONE POWER SYSTEM REPROCESSED STERILE PRECISION LATEXFREE DISPOSABLE 29.5 MMX7 INTRA ORAL TOOTH LATEX FREE</t>
  </si>
  <si>
    <t>BLADE SAW RECIPROCATING LONG 77.6X11.2X0.77 MM HEAVY DUTY OFFSET STAINLESS STEEL STERILE</t>
  </si>
  <si>
    <t>TRAP FINGER LARGE NON STERILE LATEX-FREE DISPOSABLE</t>
  </si>
  <si>
    <t>BSMH_Location</t>
  </si>
  <si>
    <t>Disposable</t>
  </si>
  <si>
    <t>NEEDLE ANESTHESIA BEVEL 25 GAX3.5 IN SHARP LUER LOCK CANNULA HUB QUINCKE LATEXFREE</t>
  </si>
  <si>
    <t>ELECTRODE PEDS EDGEQUIK</t>
  </si>
  <si>
    <t>ORT31100</t>
  </si>
  <si>
    <t>RUSCH</t>
  </si>
  <si>
    <t>CE Comments</t>
  </si>
  <si>
    <t>BSMH_Adjective</t>
  </si>
  <si>
    <t>UNSPSC v24.0301</t>
  </si>
  <si>
    <t>571810</t>
  </si>
  <si>
    <t>A4928</t>
  </si>
  <si>
    <t>PARAFILM M PM996 CLEAR 4X125FT</t>
  </si>
  <si>
    <t>85251-85009</t>
  </si>
  <si>
    <t>MANUF-NBR</t>
  </si>
  <si>
    <t>459254</t>
  </si>
  <si>
    <t>ITEM</t>
  </si>
  <si>
    <t>HCPCS Description</t>
  </si>
  <si>
    <t>Packaging Comment</t>
  </si>
  <si>
    <t>A4649</t>
  </si>
  <si>
    <t>THIRD PARTY</t>
  </si>
  <si>
    <t>OK</t>
  </si>
  <si>
    <t>SOURCED</t>
  </si>
  <si>
    <t>DIMENSION VARIES</t>
  </si>
  <si>
    <t>UNSOURCED</t>
  </si>
  <si>
    <t>STRYKER CORP</t>
  </si>
  <si>
    <t>ACUMED LLC</t>
  </si>
  <si>
    <t>TRI-ANIM HEALTH SERVICES INC</t>
  </si>
  <si>
    <t>TELEFLEX INC</t>
  </si>
  <si>
    <t>CARDINAL HEALTH INC</t>
  </si>
  <si>
    <t>3M HEALTHCARE</t>
  </si>
  <si>
    <t>BEMIS COMPANY INC</t>
  </si>
  <si>
    <t>MEDTRONIC INC</t>
  </si>
  <si>
    <t>STRYKER</t>
  </si>
  <si>
    <t>0277096325</t>
  </si>
  <si>
    <t>STRYKER_0277096325</t>
  </si>
  <si>
    <t>ACUMED_10170052</t>
  </si>
  <si>
    <t>AMER DIAGNOSTIC</t>
  </si>
  <si>
    <t>AMER DIAGNOSTIC_664Y</t>
  </si>
  <si>
    <t>TRI-ANIM</t>
  </si>
  <si>
    <t>134B4001006AV10</t>
  </si>
  <si>
    <t>TRI-ANIM_134B4001006AV10</t>
  </si>
  <si>
    <t>MEDLINE_MDS202073Z</t>
  </si>
  <si>
    <t>MEDLINE_DTL4604</t>
  </si>
  <si>
    <t>HEALTHCARE LOGISTICS</t>
  </si>
  <si>
    <t>HEALTHCARE LOGISTICS_19693</t>
  </si>
  <si>
    <t>STRYKER_2296033115</t>
  </si>
  <si>
    <t>STRYKER_2296033106</t>
  </si>
  <si>
    <t>5100-037-134</t>
  </si>
  <si>
    <t>STRYKER_5100037134</t>
  </si>
  <si>
    <t>0277096275</t>
  </si>
  <si>
    <t>STRYKER_0277096275</t>
  </si>
  <si>
    <t>STRYKER_1900015040</t>
  </si>
  <si>
    <t>MEDLINE_DYK200CHCH</t>
  </si>
  <si>
    <t>ACUMED_10170051</t>
  </si>
  <si>
    <t>TELEFLEX</t>
  </si>
  <si>
    <t>TELEFLEX_750</t>
  </si>
  <si>
    <t>ACTION HEALTH_8525185009</t>
  </si>
  <si>
    <t>STRYKER_6118089075</t>
  </si>
  <si>
    <t>MEDLINE_NON27378A</t>
  </si>
  <si>
    <t>MEDLINE_PAIN8118</t>
  </si>
  <si>
    <t>ACUMED_10170053</t>
  </si>
  <si>
    <t>ACTION HEALTH_8525185011</t>
  </si>
  <si>
    <t>PL1R</t>
  </si>
  <si>
    <t>TYDENBROOKS_PL1R</t>
  </si>
  <si>
    <t>CARDINAL</t>
  </si>
  <si>
    <t>CARDINAL_30414058</t>
  </si>
  <si>
    <t>3M</t>
  </si>
  <si>
    <t>3M_9204</t>
  </si>
  <si>
    <t>BEMIS_PM996</t>
  </si>
  <si>
    <t>ACTION HEALTH_8525185010</t>
  </si>
  <si>
    <t>MED-TECH RESOURCE</t>
  </si>
  <si>
    <t>MED-TECH RESOURCE_VIT7700RE</t>
  </si>
  <si>
    <t>AK14402</t>
  </si>
  <si>
    <t>TELEFLEX_AK14402</t>
  </si>
  <si>
    <t>0277010235</t>
  </si>
  <si>
    <t>STRYKER_0277010235</t>
  </si>
  <si>
    <t>ACUMED_10170054</t>
  </si>
  <si>
    <t>ACUMED_10170060</t>
  </si>
  <si>
    <t>0606705000</t>
  </si>
  <si>
    <t>STRYKER_0606705000</t>
  </si>
  <si>
    <t>MEDLINE_NONFS300Z</t>
  </si>
  <si>
    <t>MEDLINE_ORT31100</t>
  </si>
  <si>
    <t>MEDTRONIC</t>
  </si>
  <si>
    <t>MEDTRONIC_11996000093</t>
  </si>
  <si>
    <t>MEDTRONIC_11240000031</t>
  </si>
  <si>
    <t>STRYKER_2296033108</t>
  </si>
  <si>
    <t>42295211  Surgical powered saw blades</t>
  </si>
  <si>
    <t>Reciprocating Saw Blade 77.6 mm Cut Edge 11.2 mm Cut Depth 0.77 mm Thickness Heavy Duty Long For Stryker Reciprocating Saw</t>
  </si>
  <si>
    <t>BLADE, SAW, RECIPROCATING, LONG, 11.2X0.77 MM, 77.6 MM CUT EDGE, HEAVY DUTY, OFFSET, STAINLESS STEEL, STERILE, PRECISION, LATEX</t>
  </si>
  <si>
    <t>BLADE, SAW, PRECISION, LONG, 11.2X0.77MM, 77.6MM CUT EDGE, STAINLESS STEEL, RECIPROCATING, HEAVY DUTY, OFFSET , STERILE, LATEX</t>
  </si>
  <si>
    <t>BLDE, SAW, PRECSN, LG, 11.2X0.77MM, 77.6MM CUT EDGE, SS, RECIPROCATING, HEAVY DUTY, OFST , STRL, LTX</t>
  </si>
  <si>
    <t>BLADE, SAW, LG, 11.2X0.77MM, SS</t>
  </si>
  <si>
    <t>BLADE</t>
  </si>
  <si>
    <t>SAW</t>
  </si>
  <si>
    <t>RECIPROCATING</t>
  </si>
  <si>
    <t>LONG</t>
  </si>
  <si>
    <t>11.2X0.77MM</t>
  </si>
  <si>
    <t>11.2X0.77 MM</t>
  </si>
  <si>
    <t>77.6MM CUT EDGE</t>
  </si>
  <si>
    <t>77.6 MM CUT EDGE</t>
  </si>
  <si>
    <t>STAINLESS STEEL</t>
  </si>
  <si>
    <t xml:space="preserve">RECIPROCATING, HEAVY DUTY, OFFSET </t>
  </si>
  <si>
    <t>HEAVY DUTY, OFFSET</t>
  </si>
  <si>
    <t>STERILE</t>
  </si>
  <si>
    <t>LATEX</t>
  </si>
  <si>
    <t>https://www.geosurgical.com/0277-096-325-we1-0277-096-325, https://accessgudid.nlm.nih.gov/devices/04546540051783</t>
  </si>
  <si>
    <t>42242102  Hand or finger traction supplies</t>
  </si>
  <si>
    <t>WRIST HAND FINGER ORTHOSIS, INCLUDES ONE OR MORE NONTORSION JOINT(S), TURNBUCKLES, ELASTIC BANDS/SPRINGS, MAY INCLUDE SOFT INTERFACE MATERIAL, STRAPS, CUSTOM FABRICATED, INCLUDES FITTING AND ADJUSTMENT</t>
  </si>
  <si>
    <t>Finger Trap Medium (2 ea.)</t>
  </si>
  <si>
    <t>TRAP, FINGER, MEDIUM, WRIST, ARC, DEVICE TOWER, NON STERILE, LATEX-FREE, DISPOSABLE</t>
  </si>
  <si>
    <t>TRAP, FINGER, MEDIUM, WRIST, ARC, DEVICE TOWER, NON STERILE, LATEX FREE, DISPOSABLE</t>
  </si>
  <si>
    <t>TRAP, FINGER, MED, WRIST, ARC, DEV TOWER, NON STRL, LATEX-FREE, DISP</t>
  </si>
  <si>
    <t>TRAP, FINGER, MED, WRIST, ARC, DEV</t>
  </si>
  <si>
    <t>TRAP</t>
  </si>
  <si>
    <t>FINGER</t>
  </si>
  <si>
    <t>MEDIUM</t>
  </si>
  <si>
    <t>WRIST</t>
  </si>
  <si>
    <t>ARC, DEVICE TOWER</t>
  </si>
  <si>
    <t>NON STERILE</t>
  </si>
  <si>
    <t>LATEX-FREE</t>
  </si>
  <si>
    <t>DISPOSABLE</t>
  </si>
  <si>
    <t>https://www.acumed.net/wp-content/uploads/2013/09/Acumed-Surgical-Technique-EN-Arc-Wrist-Tower-HNW00-00-D.pdf, https://accessgudid.nlm.nih.gov/devices/10806378010705</t>
  </si>
  <si>
    <t>42182103  Medical acoustic stethoscopes</t>
  </si>
  <si>
    <t>Proscope 664 Disposable Stethoscope Case of 50</t>
  </si>
  <si>
    <t>STETHOSCOPE, MEDICAL, 22 IN, ABS CHESTPIECE, WITH NONCHILL RIM, FOR PATIENT COMFORT, PVC Y TUBING, YELLOW, NON STERILE, PROSCOPE, LATEX, DISPOSABLE</t>
  </si>
  <si>
    <t>STETHOSCOPE, MEDICAL, PROSCOPE, YELLOW, ABS CHESTPIECE, WITH NONCHILL RIM, FOR PATIENT COMFORT, PVC Y TUBING, NON STERILE, LATEX, DISPOSABLE</t>
  </si>
  <si>
    <t>STHSCOPE, MEDCL, PROSCOPE, YLW, ABS CHESTPIECE, W/ NONCHILL RIM, FOR PT COMFORT, PVC Y TBNG, NON STRL, LTX, DISP</t>
  </si>
  <si>
    <t>STETHOSCOPE, MEDCL, PROSCOPE, YLW</t>
  </si>
  <si>
    <t>STETHOSCOPE</t>
  </si>
  <si>
    <t>MEDICAL</t>
  </si>
  <si>
    <t>22 IN</t>
  </si>
  <si>
    <t>YELLOW</t>
  </si>
  <si>
    <t>ABS CHESTPIECE, WITH NONCHILL RIM, FOR PATIENT COMFORT, PVC Y TUBING</t>
  </si>
  <si>
    <t>CASE OF 50</t>
  </si>
  <si>
    <t>https://www.adctoday.com/products/664, https://accessgudid.nlm.nih.gov/devices/00634782051495</t>
  </si>
  <si>
    <t>42181802  Pulse oximeter cables</t>
  </si>
  <si>
    <t>CABLE, OXIMETER, SPO2, PULSE</t>
  </si>
  <si>
    <t>CBL, OXMTR, SPO2, PULSE</t>
  </si>
  <si>
    <t>CABLE, OXMTR, SPO2, PULSE</t>
  </si>
  <si>
    <t>CABLE</t>
  </si>
  <si>
    <t>OXIMETER</t>
  </si>
  <si>
    <t>SPO2</t>
  </si>
  <si>
    <t>SPO2, PULSE</t>
  </si>
  <si>
    <t>PULSE</t>
  </si>
  <si>
    <t>NONOEM</t>
  </si>
  <si>
    <t>URL NOT FOUND</t>
  </si>
  <si>
    <t>42181501  Tongue depressors or blades or sticks</t>
  </si>
  <si>
    <t>Medline Sterile Tongue Depressors</t>
  </si>
  <si>
    <t>DEPRESSOR, TONGUE, 5.5 IN, BLADE, SMOOTH, SPLINTER FREE, WOOD, STERILE, LATEX-FREE</t>
  </si>
  <si>
    <t>DEPRESSOR, TONGUE, 5.5IN, WOOD, BLADE, SMOOTH, SPLINTER FREE, STERILE, LATEX FREE</t>
  </si>
  <si>
    <t>DEPRESSOR, TONGUE, 5.5IN, WOOD, BLDE, SMT, SPLINTER FREE, STRL, LATEX-FREE</t>
  </si>
  <si>
    <t>DEPRESSOR, TONGUE, 5.5IN, WOOD</t>
  </si>
  <si>
    <t>DEPRESSOR</t>
  </si>
  <si>
    <t>TONGUE</t>
  </si>
  <si>
    <t>5.5IN</t>
  </si>
  <si>
    <t>5.5 IN</t>
  </si>
  <si>
    <t>WOOD</t>
  </si>
  <si>
    <t>BLADE, SMOOTH, SPLINTER FREE</t>
  </si>
  <si>
    <t>https://www.medline.com/sku/item/MDPMDS202073Z</t>
  </si>
  <si>
    <t>42142301  General use medical labels</t>
  </si>
  <si>
    <t>LABEL, MEDICAL, 2X1-9/16 IN, LAB</t>
  </si>
  <si>
    <t>LABEL, MEDICAL, 1-9/16X2IN, LAB</t>
  </si>
  <si>
    <t>LABEL, MEDCL, 1-9/16X2IN, LAB</t>
  </si>
  <si>
    <t>LABEL</t>
  </si>
  <si>
    <t>1-9/16X2IN</t>
  </si>
  <si>
    <t>2X1-9/16 IN</t>
  </si>
  <si>
    <t>LAB</t>
  </si>
  <si>
    <t>42222202  Needleless vial or bag withdrawal cannulas or adapters or decanters</t>
  </si>
  <si>
    <t>Sterile 5 Micron 1-3/4IN Filter Straws</t>
  </si>
  <si>
    <t>STRAW, MEDICATION, FILTER, 5 MH, 1.75 IN, FLEXIBLE, STERILE, LATEX-FREE</t>
  </si>
  <si>
    <t>STRAW, MEDICATION, 5MH, 1-3/4IN, FILTER, FLEXIBLE, STERILE, LATEX FREE</t>
  </si>
  <si>
    <t>STRAW, MEDICATION, 5MH, 1-3/4IN, FLTR, FLXB, STRL, LATEX-FREE</t>
  </si>
  <si>
    <t>STRAW, MEDICATION, 5MH, 1-3/4IN</t>
  </si>
  <si>
    <t>STRAW</t>
  </si>
  <si>
    <t>MEDICATION</t>
  </si>
  <si>
    <t>FILTER</t>
  </si>
  <si>
    <t>5MH</t>
  </si>
  <si>
    <t>5 MH</t>
  </si>
  <si>
    <t>1-3/4IN</t>
  </si>
  <si>
    <t>1.75 IN</t>
  </si>
  <si>
    <t>FILTER, FLEXIBLE</t>
  </si>
  <si>
    <t>FLEXIBLE</t>
  </si>
  <si>
    <t>https://serfinitymedical.com/products/hcl-sterile-5-micron-1-3-4-filter-straws-19693</t>
  </si>
  <si>
    <t>Oscillating/Sagittal Saw Blade 29.5 L x 7 mm W 0.56 mm Cut Thickness 0.51 mm Material Thickness Long Narrow Thick 12.6 Teeth/cm For Stryker Oscillating and Sagittal Saw Systems</t>
  </si>
  <si>
    <t>BLADE, SAW, OSCILLATING, STANDARD, LONG, 29.5X7X0.56 MM, INTRAORAL NARROW, 32 TEETH, AGGRESSIVE, FOR MANDIBULAR/MAXILLARY OSTEOTOMY CORE AND SMALL BONE POWER SYSTEM, REPROCESSED, STERILE, PRECISION, LATEX-FREE, DISPOSABLE</t>
  </si>
  <si>
    <t>BLADE, SAW, PRECISION, STANDARD, LONG, 7X0.56X29.5MM, OSCILLATING, INTRAORAL NARROW, 32 TEETH, AGGRESSIVE, FOR MANDIBULAR/MAXILLARY OSTEOTOMY CORE AND SMALL BONE POWER SYSTEM, REPROCESSED, STERILE, LATEX FREE, DISPOSABLE</t>
  </si>
  <si>
    <t>BLDE, SAW, PRECSN, STD, LG, 7X0.56X29.5MM, OSCIL, INTRAORAL NAR, 32 TEETH, AGGR, FOR MANDIBULAR/MAXILLARY OSTM CORE AND SM BN POWER SYS, REP, STRL, LATEX-FREE, DISP</t>
  </si>
  <si>
    <t>BLADE, SAW, STD, LG, 7X0.56X29.5MM</t>
  </si>
  <si>
    <t>OSCILLATING</t>
  </si>
  <si>
    <t>STANDARD, LONG</t>
  </si>
  <si>
    <t>7X0.56X29.5MM</t>
  </si>
  <si>
    <t>29.5X7X0.56 MM</t>
  </si>
  <si>
    <t>OSCILLATING, INTRAORAL NARROW, 32 TEETH, AGGRESSIVE, FOR MANDIBULAR/MAXILLARY OSTEOTOMY CORE AND SMALL BONE POWER SYSTEM, REPROCESSED</t>
  </si>
  <si>
    <t>INTRAORAL NARROW, 32 TEETH, AGGRESSIVE, FOR MANDIBULAR/MAXILLARY OSTEOTOMY CORE AND SMALL BONE POWER SYSTEM, REPROCESSED</t>
  </si>
  <si>
    <t>https://www.geosurgical.com/2296-033-115-we1-2296-033-115</t>
  </si>
  <si>
    <t>Stryker Sagittal Saw Blades - Sagittal Saw Blade Wide Extra-Long 34.5 mm x 13 mm</t>
  </si>
  <si>
    <t>BLADE, SAW, EXTRA LONG, WIDE, 34.5X13 MM, SAGITTAL, STERILE, LATEX, DISPOSABLE</t>
  </si>
  <si>
    <t>BLADE, SAW, XLONG, WIDE, 13X34.5MM, SAGITTAL, STERILE, LATEX, DISPOSABLE</t>
  </si>
  <si>
    <t>BLDE, SAW, EXTRA LG, WIDE, 13X34.5MM, SAG, STRL, LTX, DISP</t>
  </si>
  <si>
    <t>BLADE, SAW, XLONG, 13X34.5MM</t>
  </si>
  <si>
    <t>XLONG, WIDE</t>
  </si>
  <si>
    <t>EXTRA LONG, WIDE</t>
  </si>
  <si>
    <t>13X34.5MM</t>
  </si>
  <si>
    <t>34.5X13 MM</t>
  </si>
  <si>
    <t>SAGITTAL</t>
  </si>
  <si>
    <t>https://www.graylinemedical.com/products/stryker-sagittal-saw-blades-sagittal-saw-blade-wide-extra-long-34-5-mm-x-13-mm-2296-033-106, https://accessgudid.nlm.nih.gov/devices/04546540046932</t>
  </si>
  <si>
    <t>STRYKER PRECISION RECIPROCATING SAW BLADE 27MM X 0.64MM</t>
  </si>
  <si>
    <t>BLADE, SAW, RECIPROCATING, SHORT, LONG, 27X0.64MM, TAPERED, STERILE, LATEX</t>
  </si>
  <si>
    <t>BLADE, SAW, SHORT, LONG, 0.64X27MM, TAPERED, RECIPROCATING, STERILE, LATEX</t>
  </si>
  <si>
    <t>BLDE, SAW, SHRT, LG, 0.64X27MM, TPRD, RECIPROCATING, STRL, LTX</t>
  </si>
  <si>
    <t>BLADE, SAW, SHRT, LG, 0.64X27MM</t>
  </si>
  <si>
    <t>SHORT, LONG</t>
  </si>
  <si>
    <t>0.64X27MM</t>
  </si>
  <si>
    <t>27X0.64MM</t>
  </si>
  <si>
    <t>TAPERED, RECIPROCATING</t>
  </si>
  <si>
    <t>TAPERED</t>
  </si>
  <si>
    <t>https://www.esutures.com/product/1-expired/32-stryker/561-blades-and-burs/46298527-stryker-precision-reciprocating-saw-blade-27mm-x-0.64mm-5100-037-134/, https://accessgudid.nlm.nih.gov/devices/04546540075673</t>
  </si>
  <si>
    <t>STRYKER RECIPROCATING BLADE DOUBLE SIDED 70MM X 0.64MM</t>
  </si>
  <si>
    <t>BLADE, SAW, RECIPROCATING, 70X12.5X0.64 MM, DOUBLE SIDED, STAINLESS STEEL, NON STERILE, PRECISION, LATEX</t>
  </si>
  <si>
    <t>BLADE, SAW, PRECISION, 12.5X0.64X70MM, STAINLESS STEEL, RECIPROCATING, DOUBLE SIDED, 20 TEETH, HEAVY DUTY, NON STERILE, LATEX</t>
  </si>
  <si>
    <t>BLDE, SAW, PRECSN, 12.5X0.64X70MM, SS, RECIPROCATING, DBL SIDED, 20 TEETH, HEAVY DUTY, NON STRL, LTX</t>
  </si>
  <si>
    <t>BLADE, SAW, 12.5X0.64X70MM, SS</t>
  </si>
  <si>
    <t>12.5X0.64X70MM</t>
  </si>
  <si>
    <t>70X12.5X0.64 MM</t>
  </si>
  <si>
    <t>RECIPROCATING, DOUBLE SIDED, 20 TEETH, HEAVY DUTY</t>
  </si>
  <si>
    <t>DOUBLE SIDED</t>
  </si>
  <si>
    <t>https://www.esutures.com/product/0-in-date/32-stryker/561-blades-and-burs/46247308-stryker-reciprocating-blade-double-sided-70mm-x-0.64mm-0277-096-275/, https://accessgudid.nlm.nih.gov/devices/04546540051769</t>
  </si>
  <si>
    <t>42291627  Surgical burr</t>
  </si>
  <si>
    <t>Stryker 4Mm Egg Resurfacing Tool</t>
  </si>
  <si>
    <t>BUR, SURGICAL, EGG SHAPE, 4 MM, RESURFACING TOOL, STERILE, LATEX</t>
  </si>
  <si>
    <t>BUR, SURGICAL, 4MM, EGG SHAPE, RESURFACING TOOL, STERILE, LATEX</t>
  </si>
  <si>
    <t>BUR, SURG, 4MM, EGG SHP, RESURFACING TOOL, STRL, LTX</t>
  </si>
  <si>
    <t>BUR, SURG, 4MM, EGG SHP, TOOL</t>
  </si>
  <si>
    <t>BUR</t>
  </si>
  <si>
    <t>SURGICAL</t>
  </si>
  <si>
    <t>EGG SHAPE</t>
  </si>
  <si>
    <t>4MM</t>
  </si>
  <si>
    <t>4 MM</t>
  </si>
  <si>
    <t>EGG SHAPE, RESURFACING TOOL</t>
  </si>
  <si>
    <t>RESURFACING TOOL</t>
  </si>
  <si>
    <t>https://surgishop.com/product/1900-015-040-stryker-4mm-egg-resurfacing-tool/, https://accessgudid.nlm.nih.gov/devices/07613327376319</t>
  </si>
  <si>
    <t>47131905  Spill kits</t>
  </si>
  <si>
    <t>Chemo Spill Kits</t>
  </si>
  <si>
    <t>SPILL KIT, CHEMO, CLEAN UP, LATEX-FREE</t>
  </si>
  <si>
    <t>KIT, SPILL, CHEMO, CLEAN UP, LATEX FREE</t>
  </si>
  <si>
    <t>KIT, SPILL, CHEMO, CLEAN UP, LATEX-FREE</t>
  </si>
  <si>
    <t>KIT, SPILL, CHEMO, CLEAN UP</t>
  </si>
  <si>
    <t>KIT</t>
  </si>
  <si>
    <t>SPILL KIT</t>
  </si>
  <si>
    <t>SPILL</t>
  </si>
  <si>
    <t>CHEMO</t>
  </si>
  <si>
    <t>CHEMO, CLEAN UP</t>
  </si>
  <si>
    <t>CLEAN UP</t>
  </si>
  <si>
    <t>https://www.medline.com/sku/item/MDPDYK200CHCH</t>
  </si>
  <si>
    <t>Finger Trap Small (2 ea.)</t>
  </si>
  <si>
    <t>TRAP, FINGER, SMALL, WRIST, ARC, DEVICE TOWER, NON STERILE, LATEX-FREE, DISPOSABLE</t>
  </si>
  <si>
    <t>TRAP, FINGER, SMALL, WRIST, ARC, DEVICE TOWER, NON STERILE, LATEX FREE, DISPOSABLE</t>
  </si>
  <si>
    <t>TRAP, FINGER, SM, WRIST, ARC, DEV TOWER, NON STRL, LATEX-FREE, DISP</t>
  </si>
  <si>
    <t>TRAP, FINGER, SM, WRIST, ARC, DEV</t>
  </si>
  <si>
    <t>SMALL</t>
  </si>
  <si>
    <t>https://www.acumed.net/wp-content/uploads/2013/09/Acumed-Surgical-Technique-EN-Arc-Wrist-Tower-HNW00-00-D.pdf, https://accessgudid.nlm.nih.gov/devices/10806378010699</t>
  </si>
  <si>
    <t>42272004  Intubation stylets</t>
  </si>
  <si>
    <t>Stylet Endotracheal Slick</t>
  </si>
  <si>
    <t>STYLET, ENDOTRACHEAL, 8 FRX45 CM, MALLEABLE, STYLETTE, SLICK, DISPOSABLE</t>
  </si>
  <si>
    <t>STYLET, ENDOTRACHEAL, SLICK, 8FRX45CM, MALLEABLE, STYLETTE, DISPOSABLE</t>
  </si>
  <si>
    <t>STYLET, ENDTRCHL, SLICK, 8FRX45CM, MALLEABLE, STYLETTE, DISP</t>
  </si>
  <si>
    <t>STYLET, ENDTRCHL, SLICK, 8FRX45CM</t>
  </si>
  <si>
    <t>STYLET</t>
  </si>
  <si>
    <t>ENDOTRACHEAL</t>
  </si>
  <si>
    <t>SLICK</t>
  </si>
  <si>
    <t>8FRX45CM</t>
  </si>
  <si>
    <t>8 FRX45 CM</t>
  </si>
  <si>
    <t>MALLEABLE, STYLETTE</t>
  </si>
  <si>
    <t>https://mms.mckesson.com/product/421453/Teleflex-LLC-750</t>
  </si>
  <si>
    <t>24111514  Zipper bag</t>
  </si>
  <si>
    <t>Zip Bag 8W x 8H 2 MIL</t>
  </si>
  <si>
    <t>BAG, ZIP, CLOSURE, 8X8 INX2 MIL, CLEAR</t>
  </si>
  <si>
    <t>BAG, ZIP, 8X8INX2MIL, CLEAR, CLOSURE</t>
  </si>
  <si>
    <t>BAG, ZIP, 8X8INX2MIL, CLEAR, CLSR</t>
  </si>
  <si>
    <t>BAG</t>
  </si>
  <si>
    <t>ZIP</t>
  </si>
  <si>
    <t>CLOSURE</t>
  </si>
  <si>
    <t>8X8INX2MIL</t>
  </si>
  <si>
    <t>8X8 INX2 MIL</t>
  </si>
  <si>
    <t>CLEAR</t>
  </si>
  <si>
    <t>https://actionhealth.com/product/8w-x-8h-2-mil-zip-bags/</t>
  </si>
  <si>
    <t>STRYKER SYSTEM 6 SAGITTAL BLADE: 18MM X 75MM X 0.89MM</t>
  </si>
  <si>
    <t>BLADE, SAW, 75X18X0.89 MM, SAGITTAL, BEVELED EDGE, NO OFFSET, HIGH PERFORMANCE, FOR SYSTEM 6 CORE TPS, STERILE, PRECISION, LATEX-FREE, DISPOSABLE</t>
  </si>
  <si>
    <t>BLADE, SAW, PRECISION, 18X0.89X75MM, SAGITTAL, BEVELED EDGE, NO OFFSET, HIGH PERFORMANCE, FOR SYSTEM 6 CORE TPS, STERILE, LATEX FREE, DISPOSABLE</t>
  </si>
  <si>
    <t>BLDE, SAW, PRECSN, 18X0.89X75MM, SAG, BEVELED EDGE, NO OFST, HI PERFORMANCE, FOR SYS 6 CORE TPS, STRL, LATEX-FREE, DISP</t>
  </si>
  <si>
    <t>BLADE, SAW, PRECSN, 18X0.89X75MM</t>
  </si>
  <si>
    <t>18X0.89X75MM</t>
  </si>
  <si>
    <t>75X18X0.89 MM</t>
  </si>
  <si>
    <t>SAGITTAL, BEVELED EDGE, NO OFFSET, HIGH PERFORMANCE, FOR SYSTEM 6 CORE TPS</t>
  </si>
  <si>
    <t>https://www.esutures.com/product/1-expired/32-stryker/561-blades-and-burs/46246546-stryker-system-6-sagittal-blade-18mm-x-75mm-x-0.89mm-6118-089-075/</t>
  </si>
  <si>
    <t>42131713  Surgical isolation or surgical masks</t>
  </si>
  <si>
    <t>SURGICAL MASK, PER 20</t>
  </si>
  <si>
    <t>Anti-Fog Surgical Face Masks with Ties</t>
  </si>
  <si>
    <t>MASK, SURGICAL, ANTI FOG, FACE, 3 PLY, FOAM STRIP, WITH TIES AND COMFORT, PLEATED, BLUE, NON STERILE, LATEX, DISPOSABLE</t>
  </si>
  <si>
    <t>MASK, SURGICAL, FACE, BLUE, 3 PLY, ANTI FOG, FOAM STRIP, WITH TIES AND COMFORT, PLEATED, NON STERILE, LATEX, DISPOSABLE</t>
  </si>
  <si>
    <t>MASK, SURG, FACE, BLUE, 3 PLY, ANTI FOG, FOAM STRIP, W/ TIES AND COMFORT, PLEATED, NON STRL, LTX, DISP</t>
  </si>
  <si>
    <t>MASK, SURG, FACE, BLUE, 3 PLY</t>
  </si>
  <si>
    <t>MASK</t>
  </si>
  <si>
    <t>ANTI FOG</t>
  </si>
  <si>
    <t>FACE</t>
  </si>
  <si>
    <t>BLUE</t>
  </si>
  <si>
    <t>3 PLY, ANTI FOG, FOAM STRIP, WITH TIES AND COMFORT, PLEATED</t>
  </si>
  <si>
    <t>3 PLY, FOAM STRIP, WITH TIES AND COMFORT, PLEATED</t>
  </si>
  <si>
    <t>https://www.medline.com/sku/item/MDPNON27378A, https://accessgudid.nlm.nih.gov/devices/30080196713961</t>
  </si>
  <si>
    <t>42142502  Anesthesia needles</t>
  </si>
  <si>
    <t>NEEDLE, STERILE, ANY SIZE, EACH</t>
  </si>
  <si>
    <t>Sharp Bevel Quincke Needles</t>
  </si>
  <si>
    <t>NEEDLE, ANESTHESIA, 25 GAX3.5 IN, BEVEL, SHARP, LUER LOCK, CANNULA HUB, STERILE, QUINCKE, LATEX-FREE</t>
  </si>
  <si>
    <t>NEEDLE, ANESTHESIA, QUINCKE, 25GAX3-1/2IN, BEVEL, SHARP, LUER LOCK, CANNULA HUB, STERILE, LATEX FREE</t>
  </si>
  <si>
    <t>NDL, ANES, QNCKE, 25GAX3-1/2IN, BEVEL, SHRP, LL, CANN HUB, STRL, LATEX-FREE</t>
  </si>
  <si>
    <t>NEEDLE, ANES, QNCKE, 25GAX3-1/2IN</t>
  </si>
  <si>
    <t>NEEDLE</t>
  </si>
  <si>
    <t>ANESTHESIA</t>
  </si>
  <si>
    <t>25GAX3-1/2IN</t>
  </si>
  <si>
    <t>25 GAX3.5 IN</t>
  </si>
  <si>
    <t>BEVEL, SHARP, LUER LOCK, CANNULA HUB</t>
  </si>
  <si>
    <t>https://www.medline.com/sku/item/MDPPAIN8118</t>
  </si>
  <si>
    <t xml:space="preserve">Finger Trap Large (2 ea.) </t>
  </si>
  <si>
    <t>TRAP, FINGER, LARGE, WRIST, ARC, DEVICE TOWER, NON STERILE, LATEX-FREE, DISPOSABLE</t>
  </si>
  <si>
    <t>TRAP, FINGER, LARGE, WRIST, ARC, DEVICE TOWER, NON STERILE, LATEX FREE, DISPOSABLE</t>
  </si>
  <si>
    <t>TRAP, FINGER, LRG, WRIST, ARC, DEV TOWER, NON STRL, LATEX-FREE, DISP</t>
  </si>
  <si>
    <t>TRAP, FINGER, LRG, WRIST, ARC, DEV</t>
  </si>
  <si>
    <t>LARGE</t>
  </si>
  <si>
    <t>https://www.acumed.net/wp-content/uploads/2013/09/Acumed-Surgical-Technique-EN-Arc-Wrist-Tower-HNW00-00-D.pdf, https://accessgudid.nlm.nih.gov/devices/10806378010712</t>
  </si>
  <si>
    <t>9W x 12H 2-Mil Zip Bags</t>
  </si>
  <si>
    <t>BAG, ZIP, CLOSURE, 9X12 INX2 MIL, CLEAR</t>
  </si>
  <si>
    <t>BAG, ZIP, 9X12INX2MIL, CLEAR, CLOSURE, LOCK</t>
  </si>
  <si>
    <t>BAG, ZIP, 9X12INX2MIL, CLEAR, CLSR, LCK</t>
  </si>
  <si>
    <t>BAG, ZIP, 9X12INX2MIL, CLEAR, CLSR</t>
  </si>
  <si>
    <t>9X12INX2MIL</t>
  </si>
  <si>
    <t>9X12 INX2 MIL</t>
  </si>
  <si>
    <t>CLOSURE, LOCK</t>
  </si>
  <si>
    <t>https://actionhealth.com/product/9w-x-12h-2-mil-zip-bags/</t>
  </si>
  <si>
    <t>24141504  Tamper proof or security seals</t>
  </si>
  <si>
    <t>SEAL, SECURITY, LOCK, PLASTIC, RED</t>
  </si>
  <si>
    <t>SEAL, SECURITY, PLASTIC, RED, LOCK</t>
  </si>
  <si>
    <t>SEAL, SCRTY, PLSTC, RED, LCK</t>
  </si>
  <si>
    <t>SEAL</t>
  </si>
  <si>
    <t>SECURITY</t>
  </si>
  <si>
    <t>PLASTIC</t>
  </si>
  <si>
    <t>RED</t>
  </si>
  <si>
    <t>LOCK</t>
  </si>
  <si>
    <t>42295453  Surgical drains or drain sets</t>
  </si>
  <si>
    <t>Surgical Drain Penrose 5/8in 12in Latex Sterile</t>
  </si>
  <si>
    <t>DRAIN, SURGICAL, PENROSE, 12X5/8 IN, FLAT SHAPE, STERILE, LATEX</t>
  </si>
  <si>
    <t>DRAIN, SURGICAL, 5/8X12IN, PENROSE, FLAT SHAPE, STERILE, LATEX</t>
  </si>
  <si>
    <t>DRAIN, SURG, 5/8X12IN, PENROSE, FLAT SHP, STRL, LTX</t>
  </si>
  <si>
    <t>DRAIN, SURG, 5/8X12IN, PENROSE</t>
  </si>
  <si>
    <t>DRAIN</t>
  </si>
  <si>
    <t>PENROSE</t>
  </si>
  <si>
    <t>5/8X12IN</t>
  </si>
  <si>
    <t>12X5/8 IN</t>
  </si>
  <si>
    <t>PENROSE, FLAT SHAPE</t>
  </si>
  <si>
    <t>FLAT SHAPE</t>
  </si>
  <si>
    <t>https://www.cardinalhealth.com/en/product-solutions/medical/infection-control/wound-drains/penrose-drains.html, https://accessgudid.nlm.nih.gov/devices/10885425505821</t>
  </si>
  <si>
    <t>53131651  Personal hygiene kit</t>
  </si>
  <si>
    <t>3M Avagard Nail Cleaners 9204</t>
  </si>
  <si>
    <t>CLEANER, NAIL, PICK, WHITE, AVAGARD</t>
  </si>
  <si>
    <t>CLEANER, NAIL, AVAGARD, WHITE, PICK</t>
  </si>
  <si>
    <t>CLEANER, NAIL, AVAGARD, WHT, PICK</t>
  </si>
  <si>
    <t>CLEANER</t>
  </si>
  <si>
    <t>NAIL</t>
  </si>
  <si>
    <t>WHITE</t>
  </si>
  <si>
    <t>PICK</t>
  </si>
  <si>
    <t>https://www.3m.com/3M/en_LB/p/d/v000057968/</t>
  </si>
  <si>
    <t>41122410  Laboratory sealing film</t>
  </si>
  <si>
    <t>Bemis Parafilm M Laboratory Wrapping Film</t>
  </si>
  <si>
    <t>FILM, SEALING, 125 FTX4 IN, WRAPPING, PARAFILM M</t>
  </si>
  <si>
    <t>FILM, SEALING, PARAFILM M, 4INX125FT, WRAPPING</t>
  </si>
  <si>
    <t>FILM, SEALNG, PRFLM M, 4INX125FT, WRPNG</t>
  </si>
  <si>
    <t>FILM, SEALNG, PRFLM M, 4INX125FT</t>
  </si>
  <si>
    <t>FILM</t>
  </si>
  <si>
    <t>SEALING</t>
  </si>
  <si>
    <t>PARAFILM M</t>
  </si>
  <si>
    <t>4INX125FT</t>
  </si>
  <si>
    <t>125 FTX4 IN</t>
  </si>
  <si>
    <t>WRAPPING</t>
  </si>
  <si>
    <t>76 CM</t>
  </si>
  <si>
    <t>https://www.fishersci.com/shop/products/parafilm-m-laboratory-wrapping-film-2/1337410</t>
  </si>
  <si>
    <t>8W x 10H 2-Mil Zip Bags</t>
  </si>
  <si>
    <t>BAG, ZIP, CLOSURE, 8X10 INX2 MIL, CLEAR</t>
  </si>
  <si>
    <t>BAG, ZIP, 8X10INX2MIL, CLEAR, CLOSURE</t>
  </si>
  <si>
    <t>BAG, ZIP, 8X10INX2MIL, CLEAR, CLSR</t>
  </si>
  <si>
    <t>8X10INX2MIL</t>
  </si>
  <si>
    <t>8X10 INX2 MIL</t>
  </si>
  <si>
    <t>https://actionhealth.com/product/8w-x-10h-2-mil-zip-bags/</t>
  </si>
  <si>
    <t>41122702  Labeling tapes</t>
  </si>
  <si>
    <t>Broselow Pediatric Emergency Tape</t>
  </si>
  <si>
    <t>TAPE, LABELING, PEDIATRIC, EMERGENCY, BROSELOW</t>
  </si>
  <si>
    <t>TAPE, LABELING, BROSELOW, PEDIATRIC, EMERGENCY</t>
  </si>
  <si>
    <t>TAPE, LBLNG, BROS, PED, EMER</t>
  </si>
  <si>
    <t>TAPE</t>
  </si>
  <si>
    <t>LABELING</t>
  </si>
  <si>
    <t>BROSELOW</t>
  </si>
  <si>
    <t>PEDIATRIC</t>
  </si>
  <si>
    <t>EMERGENCY</t>
  </si>
  <si>
    <t>https://www.duraprohealth.com/shop/vit7700re-med-tech-resource-llc-broselow-pediatric-emergency-tape-397641</t>
  </si>
  <si>
    <t>42221503  Central venous catheters</t>
  </si>
  <si>
    <t>CATHETER, INFUSION, INSERTED PERIPHERALLY, CENTRALLY OR MIDLINE (OTHER THAN HEMODIALYSIS)</t>
  </si>
  <si>
    <t>Small Vein Two-Lumen CVC CVC KIT: 2-LUMEN 4 FR X 13 CM</t>
  </si>
  <si>
    <t>CATHETER, CENTRAL VENOUS, 2 LUMEN, 0.018X17.75 IN, 4 FRX13 CM, 25 GAX1/1.5 IN , SMALL VEIN, KIT, FLEXIBLE TIP, SPRING, GUIDEWIRE, J TIP, INJECTION, THIN/ROUND WALL, INTRODUCER NEEDLE, 5 ML LUERSLIP SYRINGE, TISSUE DILATOR, POLYURETHANE, BLUE, STERILE, LATEX-FREE</t>
  </si>
  <si>
    <t>CATHETER, CENTRAL VENOUS, 0.018X17.75IN, 4FRX13CM, 25GAX1/1.5IN, POLYURETHANE, BLUE, 2 LUMEN, SMALL VEIN, KIT, FLEXIBLE TIP, SPRING, GUIDEWIRE, J TIP, INJECTION, THIN/ROUND WALL, INTRODUCER NEEDLE, 5 ML LUERSLIP SYRINGE, TISSUE DILATOR, STERILE, LATEX FREE</t>
  </si>
  <si>
    <t>CATH, CV, 0.018X17.75IN, 4FRX13CM, 25GAX1/1.5IN, PU, BLUE, 2 LUMEN, SM VEIN, KIT, FLXB TIP, SPRG, GDWR, J TIP, INJCTN, THIN/ROUND WALL, INTRO NDL, 5 ML LUERSLIP SYR, TISS DIL, STRL, LATEX-FREE</t>
  </si>
  <si>
    <t>CATH, CV, 0.018X17.75IN, 4FRX13CM</t>
  </si>
  <si>
    <t>CATHETER</t>
  </si>
  <si>
    <t>CENTRAL VENOUS</t>
  </si>
  <si>
    <t>2 LUMEN</t>
  </si>
  <si>
    <t>0.018X17.75IN</t>
  </si>
  <si>
    <t>0.018X17.75 IN</t>
  </si>
  <si>
    <t>4FRX13CM</t>
  </si>
  <si>
    <t>4 FRX13 CM</t>
  </si>
  <si>
    <t>25GAX1/1.5IN</t>
  </si>
  <si>
    <t xml:space="preserve">25 GAX1/1.5 IN </t>
  </si>
  <si>
    <t>POLYURETHANE</t>
  </si>
  <si>
    <t>2 LUMEN, SMALL VEIN, KIT, FLEXIBLE TIP, SPRING, GUIDEWIRE, J TIP, INJECTION, THIN/ROUND WALL, INTRODUCER NEEDLE, 5 ML LUERSLIP SYRINGE, TISSUE DILATOR</t>
  </si>
  <si>
    <t>SMALL VEIN, KIT, FLEXIBLE TIP, SPRING, GUIDEWIRE, J TIP, INJECTION, THIN/ROUND WALL, INTRODUCER NEEDLE, 5 ML LUERSLIP SYRINGE, TISSUE DILATOR</t>
  </si>
  <si>
    <t>https://www.teleflexvascular.com/products/ak-14402, https://accessgudid.nlm.nih.gov/devices/60801902122027</t>
  </si>
  <si>
    <t>3.5MM ROUND CARBIDE BUR</t>
  </si>
  <si>
    <t>BUR, SURGICAL, ROUND, 3.5X44.5 MM, 6 FLUTE, FAST CUTTING, CARBIDE, STERILE, LATEX, DISPOSABLE</t>
  </si>
  <si>
    <t>BUR, SURGICAL, 3.5X44.5MM, CARBIDE, ROUND, 6 FLUTE, FAST CUTTING, STERILE, LATEX, DISPOSABLE</t>
  </si>
  <si>
    <t>BUR, SURG, 3.5X44.5MM, CARBIDE, RND, 6 FLUTE, FAST CUTNG, STRL, LTX, DISP</t>
  </si>
  <si>
    <t>BUR, SURG, 3.5X44.5MM, RND</t>
  </si>
  <si>
    <t>ROUND</t>
  </si>
  <si>
    <t>3.5X44.5MM</t>
  </si>
  <si>
    <t>3.5X44.5 MM</t>
  </si>
  <si>
    <t>CARBIDE</t>
  </si>
  <si>
    <t>ROUND, 6 FLUTE, FAST CUTTING</t>
  </si>
  <si>
    <t>6 FLUTE, FAST CUTTING</t>
  </si>
  <si>
    <t>https://www.esutures.com/product/0-in-date/32-stryker/561-blades-and-burs/46329892-stryker-3.5mm-round-carbide-bur-0277-010-235/, https://accessgudid.nlm.nih.gov/devices/04546540050540</t>
  </si>
  <si>
    <t>Finger Trap X-Large (2 ea.)</t>
  </si>
  <si>
    <t>TRAP, FINGER, XLARGE, WRIST, ARC, DEVICE TOWER, NON STERILE, LATEX-FREE, DISPOSABLE</t>
  </si>
  <si>
    <t>TRAP, FINGER, EXTRA LARGE, WRIST, ARC, DEVICE TOWER, NON STERILE, LATEX FREE, DISPOSABLE</t>
  </si>
  <si>
    <t>TRAP, FINGER, XLRG, WRIST, ARC, DEV TOWER, NON STRL, LATEX-FREE, DISP</t>
  </si>
  <si>
    <t>TRAP, FINGER, XLRG, WRIST, ARC, DEV</t>
  </si>
  <si>
    <t>EXTRA LARGE</t>
  </si>
  <si>
    <t>XLARGE</t>
  </si>
  <si>
    <t>https://www.acumed.net/wp-content/uploads/2013/09/Acumed-Surgical-Technique-EN-Arc-Wrist-Tower-HNW00-00-D.pdf, https://accessgudid.nlm.nih.gov/devices/10806378010729</t>
  </si>
  <si>
    <t>42295159  Operating room patient procedure table accessories</t>
  </si>
  <si>
    <t>Straps 2 of 24 1 of 36 IN</t>
  </si>
  <si>
    <t>STRAP, ARM, SET, UNIVERSAL, 24 IN UPPER ARM 36 IN FOREARM TIP MARKER, FOR ARC WRIST TOWER, WHITE, NON STERILE, LATEX-FREE</t>
  </si>
  <si>
    <t>STRAP, ARM, UNIVERSAL, WHITE, 24 IN UPPER ARM 36 IN FOREARM TIP MARKER, FOR ARC WRIST TOWER, SET, NON STERILE, LATEX FREE</t>
  </si>
  <si>
    <t>STRAP, ARM, UNIV, WHT, 24 IN UPPER ARM 36 IN FOREARM TIP MRKR, FOR ARC WRIST TOWER, SET, NON STRL, LATEX-FREE</t>
  </si>
  <si>
    <t>STRAP, ARM, UNIV, WHT, 24IN UPPER</t>
  </si>
  <si>
    <t>STRAP</t>
  </si>
  <si>
    <t>ARM</t>
  </si>
  <si>
    <t>SET</t>
  </si>
  <si>
    <t>UNIVERSAL</t>
  </si>
  <si>
    <t>24 IN UPPER ARM 36 IN FOREARM TIP MARKER, FOR ARC WRIST TOWER, SET</t>
  </si>
  <si>
    <t>24 IN UPPER ARM 36 IN FOREARM TIP MARKER, FOR ARC WRIST TOWER</t>
  </si>
  <si>
    <t>https://www.acumed.net/wp-content/uploads/2013/09/Acumed-Surgical-Technique-EN-Arc-Wrist-Tower-HNW00-00-D.pdf, https://accessgudid.nlm.nih.gov/devices/10806378010736</t>
  </si>
  <si>
    <t>42296702  Surgical bone cement mixers</t>
  </si>
  <si>
    <t>Cement Mixing System with Femoral Breakaway Nozzle Medium Solid Proximal Pressurizer Universal Cement Restrictor with Disposable Inserter and Small Cement Restrictor</t>
  </si>
  <si>
    <t>MIXER, BONE CEMENT, WITH FEMORAL BREAKAWAY NOZZLE, BIOPREP, APPLICATION, SHORT CARTRIDGE, KIT, STERILE, REVOLUTION, LATEX-FREE</t>
  </si>
  <si>
    <t>MIXER, BONE CEMENT, REVOLUTION, WITH FEMORAL BREAKAWAY NOZZLE, BIOPREP, APPLICATION, SHORT CARTRIDGE, KIT, STERILE, LATEX FREE</t>
  </si>
  <si>
    <t>MIXER, BN CMNT, REVTN, W/ FEM BREAKAWAY NOZZLE, BIOPREP, APPL, SHRT CRTDG, KIT, STRL, LATEX-FREE</t>
  </si>
  <si>
    <t>MIXER, BN CMNT, REVTN, BREAKAWAY</t>
  </si>
  <si>
    <t>MIXER</t>
  </si>
  <si>
    <t>BONE CEMENT</t>
  </si>
  <si>
    <t>WITH FEMORAL BREAKAWAY NOZZLE, BIOPREP, APPLICATION, SHORT CARTRIDGE, KIT</t>
  </si>
  <si>
    <t>https://accessgudid.nlm.nih.gov/devices/04546540912343</t>
  </si>
  <si>
    <t>42131613  Medical staff eye shields or visors</t>
  </si>
  <si>
    <t>Full Length Face Shields</t>
  </si>
  <si>
    <t>SHIELD, FACE, FULL LENGTH, LONG, 7.5 IN, WITH FOAM TOP, ELASTIC BAND, POLYESTER, LATEX-FREE</t>
  </si>
  <si>
    <t>SHIELD, FACE, FULL LENGTH, 7.5IN, POLYESTER, WITH FOAM TOP, ELASTIC BAND, LATEX FREE</t>
  </si>
  <si>
    <t>SHIELD, FACE, FULL LGTH, 7.5IN, POLY, W/ FOAM TOP, ELAS BAND, LATEX-FREE</t>
  </si>
  <si>
    <t>SHIELD, FACE, FULL LGTH, 7.5IN</t>
  </si>
  <si>
    <t>SHIELD</t>
  </si>
  <si>
    <t>FULL LENGTH</t>
  </si>
  <si>
    <t>FULL LENGTH, LONG</t>
  </si>
  <si>
    <t>7.5IN</t>
  </si>
  <si>
    <t>7.5 IN</t>
  </si>
  <si>
    <t>POLYESTER</t>
  </si>
  <si>
    <t>WITH FOAM TOP, ELASTIC BAND</t>
  </si>
  <si>
    <t>https://www.medline.com/sku/item/MDPNONFS300Z</t>
  </si>
  <si>
    <t>42242104  Leg traction supplies</t>
  </si>
  <si>
    <t>Medline Buck's Traction Boots</t>
  </si>
  <si>
    <t>BOOT, TRACTION, UNIVERSAL, 6 IN SPREADER, HOOK AND LOOP, REMOVABLE ALUMINUM, BAR ATTACHED, PILE FOAM, FOAM LINING</t>
  </si>
  <si>
    <t>BOOT, TRACTION, UNIVERSAL, 6IN SPREADER, PILE FOAM, FOAM LINING, HOOK AND LOOP, REMOVABLE ALUMINUM, BAR ATTACHED</t>
  </si>
  <si>
    <t>BOOT, TRCTN, UNIV, 6IN SPREADER, PILE FOAM, FOAM LINING, HOOK AND LOOP, REMOVABLE ALUM, BAR ATTACHED</t>
  </si>
  <si>
    <t>BOOT, TRCTN, UNIV, 6IN SPREADER</t>
  </si>
  <si>
    <t>BOOT</t>
  </si>
  <si>
    <t>TRACTION</t>
  </si>
  <si>
    <t>6IN SPREADER</t>
  </si>
  <si>
    <t>6 IN SPREADER</t>
  </si>
  <si>
    <t>PILE FOAM, FOAM LINING</t>
  </si>
  <si>
    <t>HOOK AND LOOP, REMOVABLE ALUMINUM, BAR ATTACHED</t>
  </si>
  <si>
    <t>https://www.medline.com/sku/item/MDPORT31100</t>
  </si>
  <si>
    <t>42172105  Mobile medical service automated external defibrillator AED accessories</t>
  </si>
  <si>
    <t>Defibrillator Electrode Pad Edge System Pediatric</t>
  </si>
  <si>
    <t>PAD, ELECTRODE, PEDIATRIC, FOR DEFIBRILLATOR EDGE QUIK COMBO, EDGE SYSTEM</t>
  </si>
  <si>
    <t>PAD, ELECTRODE, EDGE SYSTEM, PEDIATRIC, FOR DEFIBRILLATOR EDGE QUIK COMBO</t>
  </si>
  <si>
    <t>PAD, ELECT, EDGSYS, PED, FOR AICD EDGE QUIK COMBO</t>
  </si>
  <si>
    <t>PAD, ELECT, EDGSYS, PED, FOR EDGE</t>
  </si>
  <si>
    <t>PAD</t>
  </si>
  <si>
    <t>ELECTRODE</t>
  </si>
  <si>
    <t>EDGE SYSTEM</t>
  </si>
  <si>
    <t>FOR DEFIBRILLATOR EDGE QUIK COMBO</t>
  </si>
  <si>
    <t>https://mms.mckesson.com/product/472417/The-Palm-Tree-Group-11996-000093</t>
  </si>
  <si>
    <t>42181723  Electrocardiography EKG recording papers</t>
  </si>
  <si>
    <t>Diagnostic Recording Paper Thermal Paper 1.97 Inch X 100 Foot Roll Red Grid</t>
  </si>
  <si>
    <t>PAPER, RECORDING, ECG, 30 MRX50 MM, THERMAL, GRID, PRINTER, RED</t>
  </si>
  <si>
    <t>PAPER, RECORDING, 50MMX30MR, RED, ECG, THERMAL, GRID, PRINTER</t>
  </si>
  <si>
    <t>PPR, RCDNG, 50MMX30MR, RED, ECG, THRML, GRID, PRNTR</t>
  </si>
  <si>
    <t>PAPER, RCDNG, 50MMX30MR, RED, ECG</t>
  </si>
  <si>
    <t>PAPER</t>
  </si>
  <si>
    <t>RECORDING</t>
  </si>
  <si>
    <t>ECG</t>
  </si>
  <si>
    <t>50MMX30MR</t>
  </si>
  <si>
    <t>30 MRX50 MM</t>
  </si>
  <si>
    <t>ECG, THERMAL, GRID, PRINTER</t>
  </si>
  <si>
    <t>THERMAL, GRID, PRINTER</t>
  </si>
  <si>
    <t>https://mms.mckesson.com/product/475525/The-Palm-Tree-Group-11240-000031</t>
  </si>
  <si>
    <t>Oscillating/Sagittal Saw Blade 39 L x 13 mm W 0.51 mm Material Thickness Precision Thick Non-Sterile For Stryker Oscillating and Sagittal Saw Systems</t>
  </si>
  <si>
    <t>BLADE, SAW, OSCILLATING, EXTRA LONG, WIDE, 39X13X0.51 MM, RIGHT, FEMORAL, KNEE, SAGITTAL, COBALT CHROME, NON STERILE, PRECISION, NEXGEN, LATEX</t>
  </si>
  <si>
    <t>BLADE, SAW, PRECISION, NEXGEN, XLONG, WIDE, 13X0.51X39MM, COBALT CHROME, RIGHT, FEMORAL, KNEE, OSCILLATING, SAGITTAL, NON STERILE, LATEX</t>
  </si>
  <si>
    <t>BLDE, SAW, PRECSN, NEXGEN, EXTRA LG, WIDE, 13X0.51X39MM, COCR, RT, FEM, KNEE, OSCIL, SAG, NON STRL, LTX</t>
  </si>
  <si>
    <t>BLADE, SAW, XLONG, 13X0.51X39MM</t>
  </si>
  <si>
    <t>PRECISION, NEXGEN</t>
  </si>
  <si>
    <t>13X0.51X39MM</t>
  </si>
  <si>
    <t>39X13X0.51 MM</t>
  </si>
  <si>
    <t>COBALT CHROME</t>
  </si>
  <si>
    <t>RIGHT, FEMORAL, KNEE</t>
  </si>
  <si>
    <t>OSCILLATING, SAGITTAL</t>
  </si>
  <si>
    <t>https://www.geosurgical.com/2296-033-108-we1-2296-033-108, https://accessgudid.nlm.nih.gov/devices/04546540046949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</si>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</sst>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10" fillId="0" borderId="1" applyNumberFormat="0" applyFill="0" applyBorder="0" applyAlignment="0" applyProtection="0">
      <alignment vertical="top"/>
      <protection locked="0"/>
    </xf>
  </cellStyleXfs>
  <cellXfs count="2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quotePrefix="1" applyFont="1" applyAlignment="1">
      <alignment horizontal="left"/>
    </xf>
    <xf numFmtId="0" fontId="8" fillId="0" borderId="1" xfId="0" applyNumberFormat="1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Fill="1" applyAlignment="1">
      <alignment horizontal="left"/>
    </xf>
    <xf numFmtId="0" fontId="8" fillId="0" borderId="2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9" fillId="0" borderId="2" xfId="0" applyFont="1" applyFill="1" applyBorder="1" applyAlignment="1">
      <alignment horizontal="left"/>
    </xf>
    <xf numFmtId="0" fontId="11" fillId="0" borderId="1" xfId="7" applyFont="1" applyAlignment="1" applyProtection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cessgudid.nlm.nih.gov/devices/04546540912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38"/>
  <sheetViews>
    <sheetView tabSelected="1" workbookViewId="0"/>
  </sheetViews>
  <sheetFormatPr defaultColWidth="9.140625" defaultRowHeight="12"/>
  <cols>
    <col min="1" max="1" width="14.28515625" style="1" customWidth="1"/>
    <col min="2" max="2" width="15.140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5.140625" style="1" customWidth="1"/>
    <col min="17" max="17" width="5.7109375" style="1" customWidth="1"/>
    <col min="18" max="18" width="8.140625" style="1" customWidth="1"/>
    <col min="19" max="19" width="8.85546875" style="1" customWidth="1"/>
    <col min="20" max="20" width="35.5703125" style="1" customWidth="1"/>
    <col min="21" max="21" width="19.85546875" style="1" customWidth="1"/>
    <col min="22" max="22" width="34" style="1" customWidth="1"/>
    <col min="23" max="23" width="15.85546875" style="1" customWidth="1"/>
    <col min="24" max="24" width="17.42578125" style="1" customWidth="1"/>
    <col min="25" max="25" width="19.8554687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4.7109375" style="1" customWidth="1"/>
    <col min="32" max="32" width="17.85546875" style="1" customWidth="1"/>
    <col min="33" max="33" width="255.7109375" style="1" customWidth="1"/>
    <col min="34" max="34" width="223.85546875" style="1" customWidth="1"/>
    <col min="35" max="35" width="13.140625" style="1" customWidth="1"/>
    <col min="36" max="36" width="8.140625" style="1" customWidth="1"/>
    <col min="37" max="37" width="18.285156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>
      <c r="A1" s="2" t="s">
        <v>155</v>
      </c>
      <c r="B1" s="3" t="s">
        <v>299</v>
      </c>
      <c r="C1" s="2" t="s">
        <v>93</v>
      </c>
      <c r="D1" s="2" t="s">
        <v>305</v>
      </c>
      <c r="E1" s="2" t="s">
        <v>275</v>
      </c>
      <c r="F1" s="2" t="s">
        <v>346</v>
      </c>
      <c r="G1" s="2" t="s">
        <v>103</v>
      </c>
      <c r="H1" s="2" t="s">
        <v>264</v>
      </c>
      <c r="I1" s="2" t="s">
        <v>276</v>
      </c>
      <c r="J1" s="2" t="s">
        <v>59</v>
      </c>
      <c r="K1" s="2" t="s">
        <v>192</v>
      </c>
      <c r="L1" s="2" t="s">
        <v>322</v>
      </c>
      <c r="M1" s="2" t="s">
        <v>251</v>
      </c>
      <c r="N1" s="2" t="s">
        <v>53</v>
      </c>
      <c r="O1" s="2" t="s">
        <v>157</v>
      </c>
      <c r="P1" s="4" t="s">
        <v>83</v>
      </c>
      <c r="Q1" s="4" t="s">
        <v>333</v>
      </c>
      <c r="R1" s="5" t="s">
        <v>355</v>
      </c>
      <c r="S1" s="5" t="s">
        <v>99</v>
      </c>
      <c r="T1" s="5" t="s">
        <v>173</v>
      </c>
      <c r="U1" s="5" t="s">
        <v>313</v>
      </c>
      <c r="V1" s="5" t="s">
        <v>180</v>
      </c>
      <c r="W1" s="5" t="s">
        <v>42</v>
      </c>
      <c r="X1" s="6" t="s">
        <v>167</v>
      </c>
      <c r="Y1" s="5" t="s">
        <v>353</v>
      </c>
      <c r="Z1" s="6" t="s">
        <v>178</v>
      </c>
      <c r="AA1" s="7" t="s">
        <v>88</v>
      </c>
      <c r="AB1" s="7" t="s">
        <v>194</v>
      </c>
      <c r="AC1" s="8" t="s">
        <v>10</v>
      </c>
      <c r="AD1" s="7" t="s">
        <v>286</v>
      </c>
      <c r="AE1" s="5" t="s">
        <v>207</v>
      </c>
      <c r="AF1" s="9" t="s">
        <v>184</v>
      </c>
      <c r="AG1" s="10" t="s">
        <v>142</v>
      </c>
      <c r="AH1" s="10" t="s">
        <v>225</v>
      </c>
      <c r="AI1" s="10" t="s">
        <v>336</v>
      </c>
      <c r="AJ1" s="10" t="s">
        <v>201</v>
      </c>
      <c r="AK1" s="10" t="s">
        <v>30</v>
      </c>
      <c r="AL1" s="6" t="s">
        <v>348</v>
      </c>
      <c r="AM1" s="11" t="s">
        <v>16</v>
      </c>
      <c r="AN1" s="11" t="s">
        <v>356</v>
      </c>
      <c r="AO1" s="12" t="s">
        <v>218</v>
      </c>
      <c r="AP1" s="12" t="s">
        <v>105</v>
      </c>
      <c r="AQ1" s="6" t="s">
        <v>78</v>
      </c>
      <c r="AR1" s="6" t="s">
        <v>189</v>
      </c>
      <c r="AS1" s="6" t="s">
        <v>232</v>
      </c>
      <c r="AT1" s="6" t="s">
        <v>260</v>
      </c>
      <c r="AU1" s="13" t="s">
        <v>300</v>
      </c>
      <c r="AV1" s="14" t="s">
        <v>243</v>
      </c>
      <c r="AW1" s="15" t="s">
        <v>247</v>
      </c>
      <c r="AX1" s="14" t="s">
        <v>205</v>
      </c>
      <c r="AY1" s="15" t="s">
        <v>179</v>
      </c>
      <c r="AZ1" s="14" t="s">
        <v>146</v>
      </c>
      <c r="BA1" s="15" t="s">
        <v>274</v>
      </c>
      <c r="BB1" s="15" t="s">
        <v>347</v>
      </c>
      <c r="BC1" s="14" t="s">
        <v>199</v>
      </c>
      <c r="BD1" s="15" t="s">
        <v>102</v>
      </c>
      <c r="BE1" s="15" t="s">
        <v>231</v>
      </c>
      <c r="BF1" s="14" t="s">
        <v>308</v>
      </c>
      <c r="BG1" s="15" t="s">
        <v>187</v>
      </c>
      <c r="BH1" s="14" t="s">
        <v>17</v>
      </c>
      <c r="BI1" s="15" t="s">
        <v>253</v>
      </c>
      <c r="BJ1" s="14" t="s">
        <v>169</v>
      </c>
      <c r="BK1" s="15" t="s">
        <v>77</v>
      </c>
      <c r="BL1" s="15" t="s">
        <v>236</v>
      </c>
      <c r="BM1" s="14" t="s">
        <v>221</v>
      </c>
      <c r="BN1" s="15" t="s">
        <v>19</v>
      </c>
      <c r="BO1" s="14" t="s">
        <v>125</v>
      </c>
      <c r="BP1" s="15" t="s">
        <v>340</v>
      </c>
      <c r="BQ1" s="14" t="s">
        <v>323</v>
      </c>
      <c r="BR1" s="14" t="s">
        <v>47</v>
      </c>
      <c r="BS1" s="15" t="s">
        <v>210</v>
      </c>
      <c r="BT1" s="14" t="s">
        <v>65</v>
      </c>
      <c r="BU1" s="14" t="s">
        <v>250</v>
      </c>
      <c r="BV1" s="14" t="s">
        <v>341</v>
      </c>
      <c r="BW1" s="15" t="s">
        <v>156</v>
      </c>
      <c r="BX1" s="14" t="s">
        <v>135</v>
      </c>
      <c r="BY1" s="16" t="s">
        <v>18</v>
      </c>
      <c r="BZ1" s="17" t="s">
        <v>241</v>
      </c>
      <c r="CA1" s="17" t="s">
        <v>56</v>
      </c>
      <c r="CB1" s="17" t="s">
        <v>357</v>
      </c>
      <c r="CC1" s="7" t="s">
        <v>186</v>
      </c>
      <c r="CD1" s="18" t="s">
        <v>312</v>
      </c>
      <c r="CE1" s="18" t="s">
        <v>51</v>
      </c>
      <c r="CF1" s="18" t="s">
        <v>160</v>
      </c>
      <c r="CG1" s="1" t="s">
        <v>12</v>
      </c>
    </row>
    <row r="2" spans="1:85" ht="12" customHeight="1">
      <c r="A2" s="19" t="s">
        <v>119</v>
      </c>
      <c r="B2" s="19" t="s">
        <v>255</v>
      </c>
      <c r="C2" t="s">
        <v>214</v>
      </c>
      <c r="D2" s="20" t="s">
        <v>359</v>
      </c>
      <c r="E2" s="20" t="s">
        <v>214</v>
      </c>
      <c r="F2" s="20" t="s">
        <v>360</v>
      </c>
      <c r="G2" s="19" t="s">
        <v>318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71</v>
      </c>
      <c r="S2" t="s">
        <v>238</v>
      </c>
      <c r="T2" t="s">
        <v>66</v>
      </c>
      <c r="U2" t="s">
        <v>136</v>
      </c>
      <c r="V2" t="s">
        <v>285</v>
      </c>
      <c r="W2" t="s">
        <v>215</v>
      </c>
      <c r="X2" s="20" t="s">
        <v>364</v>
      </c>
      <c r="Y2" t="s">
        <v>136</v>
      </c>
      <c r="Z2" s="20" t="s">
        <v>136</v>
      </c>
      <c r="AA2" s="20" t="s">
        <v>372</v>
      </c>
      <c r="AB2" s="20" t="s">
        <v>136</v>
      </c>
      <c r="AC2" s="21" t="s">
        <v>373</v>
      </c>
      <c r="AD2" s="20" t="s">
        <v>374</v>
      </c>
      <c r="AE2" t="s">
        <v>1</v>
      </c>
      <c r="AF2" t="s">
        <v>82</v>
      </c>
      <c r="AG2" t="s">
        <v>36</v>
      </c>
      <c r="AH2" t="s">
        <v>338</v>
      </c>
      <c r="AI2" t="s">
        <v>185</v>
      </c>
      <c r="AJ2" t="s">
        <v>358</v>
      </c>
      <c r="AK2" t="s">
        <v>63</v>
      </c>
      <c r="AL2" s="23" t="s">
        <v>426</v>
      </c>
      <c r="AM2" s="20"/>
      <c r="AN2" s="20"/>
      <c r="AO2" s="20" t="s">
        <v>427</v>
      </c>
      <c r="AP2" s="20"/>
      <c r="AQ2" s="23" t="s">
        <v>428</v>
      </c>
      <c r="AR2" s="23" t="s">
        <v>429</v>
      </c>
      <c r="AS2" s="20" t="s">
        <v>430</v>
      </c>
      <c r="AT2" s="20" t="s">
        <v>431</v>
      </c>
      <c r="AU2" s="20">
        <f t="shared" ref="AU2:AU38" si="0">LEN(SUBSTITUTE(AT2, ", ",","))</f>
        <v>27</v>
      </c>
      <c r="AV2" s="23" t="s">
        <v>432</v>
      </c>
      <c r="AW2" s="23" t="s">
        <v>432</v>
      </c>
      <c r="AX2" s="23" t="s">
        <v>433</v>
      </c>
      <c r="AY2" s="23" t="s">
        <v>433</v>
      </c>
      <c r="AZ2" s="20" t="s">
        <v>63</v>
      </c>
      <c r="BA2" s="20" t="s">
        <v>63</v>
      </c>
      <c r="BB2" s="20" t="s">
        <v>434</v>
      </c>
      <c r="BC2" s="20" t="s">
        <v>435</v>
      </c>
      <c r="BD2" s="20" t="s">
        <v>435</v>
      </c>
      <c r="BE2" s="20"/>
      <c r="BF2" s="20" t="s">
        <v>436</v>
      </c>
      <c r="BG2" s="20" t="s">
        <v>437</v>
      </c>
      <c r="BH2" s="20" t="s">
        <v>438</v>
      </c>
      <c r="BI2" s="20" t="s">
        <v>439</v>
      </c>
      <c r="BJ2" s="20"/>
      <c r="BK2" s="20"/>
      <c r="BL2" s="20"/>
      <c r="BM2" s="20" t="s">
        <v>440</v>
      </c>
      <c r="BN2" s="20" t="s">
        <v>440</v>
      </c>
      <c r="BO2" s="20"/>
      <c r="BP2" s="20"/>
      <c r="BQ2" s="20"/>
      <c r="BR2" s="20" t="s">
        <v>441</v>
      </c>
      <c r="BS2" s="20" t="s">
        <v>442</v>
      </c>
      <c r="BT2" s="20" t="s">
        <v>443</v>
      </c>
      <c r="BU2" s="20" t="s">
        <v>444</v>
      </c>
      <c r="BV2" s="20"/>
      <c r="BW2" s="20"/>
      <c r="BX2" s="20"/>
      <c r="BY2" s="20" t="s">
        <v>445</v>
      </c>
      <c r="BZ2"/>
      <c r="CA2"/>
      <c r="CB2"/>
      <c r="CC2"/>
      <c r="CD2"/>
      <c r="CE2"/>
      <c r="CF2"/>
      <c r="CG2" s="1" t="s">
        <v>869</v>
      </c>
    </row>
    <row r="3" spans="1:85" ht="12" customHeight="1">
      <c r="A3" s="19" t="s">
        <v>119</v>
      </c>
      <c r="B3" s="19" t="s">
        <v>255</v>
      </c>
      <c r="C3" t="s">
        <v>214</v>
      </c>
      <c r="D3" s="20" t="s">
        <v>361</v>
      </c>
      <c r="E3" s="20" t="s">
        <v>214</v>
      </c>
      <c r="F3" s="20" t="s">
        <v>360</v>
      </c>
      <c r="G3" s="19" t="s">
        <v>318</v>
      </c>
      <c r="H3"/>
      <c r="I3"/>
      <c r="J3"/>
      <c r="K3"/>
      <c r="L3"/>
      <c r="M3"/>
      <c r="N3"/>
      <c r="O3"/>
      <c r="P3">
        <v>37</v>
      </c>
      <c r="Q3">
        <v>37</v>
      </c>
      <c r="R3" t="s">
        <v>114</v>
      </c>
      <c r="S3" t="s">
        <v>86</v>
      </c>
      <c r="T3" t="s">
        <v>154</v>
      </c>
      <c r="U3" t="s">
        <v>54</v>
      </c>
      <c r="V3" t="s">
        <v>222</v>
      </c>
      <c r="W3" t="s">
        <v>215</v>
      </c>
      <c r="X3" s="20" t="s">
        <v>365</v>
      </c>
      <c r="Y3" t="s">
        <v>54</v>
      </c>
      <c r="Z3" s="20" t="s">
        <v>54</v>
      </c>
      <c r="AA3" s="20" t="s">
        <v>222</v>
      </c>
      <c r="AB3" s="20" t="s">
        <v>54</v>
      </c>
      <c r="AC3" s="20" t="s">
        <v>54</v>
      </c>
      <c r="AD3" s="20" t="s">
        <v>375</v>
      </c>
      <c r="AE3" t="s">
        <v>284</v>
      </c>
      <c r="AF3" t="s">
        <v>130</v>
      </c>
      <c r="AG3" t="s">
        <v>317</v>
      </c>
      <c r="AH3" t="s">
        <v>3</v>
      </c>
      <c r="AI3" t="s">
        <v>33</v>
      </c>
      <c r="AJ3" t="s">
        <v>84</v>
      </c>
      <c r="AK3" t="s">
        <v>222</v>
      </c>
      <c r="AL3" s="23" t="s">
        <v>446</v>
      </c>
      <c r="AM3" s="20" t="s">
        <v>84</v>
      </c>
      <c r="AN3" s="24" t="s">
        <v>447</v>
      </c>
      <c r="AO3" s="20" t="s">
        <v>448</v>
      </c>
      <c r="AP3" s="20"/>
      <c r="AQ3" s="23" t="s">
        <v>449</v>
      </c>
      <c r="AR3" s="23" t="s">
        <v>450</v>
      </c>
      <c r="AS3" s="20" t="s">
        <v>451</v>
      </c>
      <c r="AT3" s="20" t="s">
        <v>452</v>
      </c>
      <c r="AU3" s="20">
        <f t="shared" si="0"/>
        <v>29</v>
      </c>
      <c r="AV3" s="23" t="s">
        <v>453</v>
      </c>
      <c r="AW3" s="23" t="s">
        <v>453</v>
      </c>
      <c r="AX3" s="23" t="s">
        <v>454</v>
      </c>
      <c r="AY3" s="23" t="s">
        <v>454</v>
      </c>
      <c r="AZ3" s="20"/>
      <c r="BA3" s="20"/>
      <c r="BB3" s="20"/>
      <c r="BC3" s="20" t="s">
        <v>455</v>
      </c>
      <c r="BD3" s="20" t="s">
        <v>455</v>
      </c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 t="s">
        <v>456</v>
      </c>
      <c r="BP3" s="20" t="s">
        <v>456</v>
      </c>
      <c r="BQ3" s="20"/>
      <c r="BR3" s="20" t="s">
        <v>457</v>
      </c>
      <c r="BS3" s="20" t="s">
        <v>457</v>
      </c>
      <c r="BT3" s="20" t="s">
        <v>458</v>
      </c>
      <c r="BU3" s="20" t="s">
        <v>459</v>
      </c>
      <c r="BV3" s="20" t="s">
        <v>460</v>
      </c>
      <c r="BW3" s="20"/>
      <c r="BX3" s="20"/>
      <c r="BY3" s="20" t="s">
        <v>461</v>
      </c>
      <c r="BZ3"/>
      <c r="CA3"/>
      <c r="CB3"/>
      <c r="CC3"/>
      <c r="CD3"/>
      <c r="CE3"/>
      <c r="CF3"/>
      <c r="CG3" s="1" t="s">
        <v>869</v>
      </c>
    </row>
    <row r="4" spans="1:85" ht="12" customHeight="1">
      <c r="A4" s="19" t="s">
        <v>119</v>
      </c>
      <c r="B4" s="19" t="s">
        <v>255</v>
      </c>
      <c r="C4" t="s">
        <v>214</v>
      </c>
      <c r="D4" s="20" t="s">
        <v>361</v>
      </c>
      <c r="E4" s="20" t="s">
        <v>214</v>
      </c>
      <c r="F4" s="20" t="s">
        <v>362</v>
      </c>
      <c r="G4" s="19" t="s">
        <v>318</v>
      </c>
      <c r="H4"/>
      <c r="I4"/>
      <c r="J4"/>
      <c r="K4"/>
      <c r="L4"/>
      <c r="M4"/>
      <c r="N4"/>
      <c r="O4"/>
      <c r="P4">
        <v>38</v>
      </c>
      <c r="Q4">
        <v>38</v>
      </c>
      <c r="R4" t="s">
        <v>24</v>
      </c>
      <c r="S4" t="s">
        <v>101</v>
      </c>
      <c r="T4" t="s">
        <v>76</v>
      </c>
      <c r="U4" t="s">
        <v>0</v>
      </c>
      <c r="V4" t="s">
        <v>100</v>
      </c>
      <c r="W4" t="s">
        <v>215</v>
      </c>
      <c r="X4" s="20" t="s">
        <v>100</v>
      </c>
      <c r="Y4" t="s">
        <v>37</v>
      </c>
      <c r="Z4" s="20" t="s">
        <v>37</v>
      </c>
      <c r="AA4" s="20" t="s">
        <v>376</v>
      </c>
      <c r="AB4" s="20" t="s">
        <v>37</v>
      </c>
      <c r="AC4" s="20" t="s">
        <v>37</v>
      </c>
      <c r="AD4" s="20" t="s">
        <v>377</v>
      </c>
      <c r="AE4" t="s">
        <v>112</v>
      </c>
      <c r="AF4" t="s">
        <v>91</v>
      </c>
      <c r="AG4" t="s">
        <v>43</v>
      </c>
      <c r="AH4" t="s">
        <v>215</v>
      </c>
      <c r="AI4" t="s">
        <v>40</v>
      </c>
      <c r="AJ4" t="s">
        <v>215</v>
      </c>
      <c r="AK4" t="s">
        <v>95</v>
      </c>
      <c r="AL4" s="23" t="s">
        <v>462</v>
      </c>
      <c r="AM4" s="20"/>
      <c r="AN4" s="20"/>
      <c r="AO4" s="20" t="s">
        <v>463</v>
      </c>
      <c r="AP4" s="20"/>
      <c r="AQ4" s="20" t="s">
        <v>464</v>
      </c>
      <c r="AR4" s="20" t="s">
        <v>465</v>
      </c>
      <c r="AS4" s="20" t="s">
        <v>466</v>
      </c>
      <c r="AT4" s="20" t="s">
        <v>467</v>
      </c>
      <c r="AU4" s="20">
        <f t="shared" si="0"/>
        <v>30</v>
      </c>
      <c r="AV4" s="20" t="s">
        <v>468</v>
      </c>
      <c r="AW4" s="20" t="s">
        <v>468</v>
      </c>
      <c r="AX4" s="20" t="s">
        <v>469</v>
      </c>
      <c r="AY4" s="20" t="s">
        <v>469</v>
      </c>
      <c r="AZ4" s="20" t="s">
        <v>95</v>
      </c>
      <c r="BA4" s="20" t="s">
        <v>95</v>
      </c>
      <c r="BB4" s="20"/>
      <c r="BC4" s="20"/>
      <c r="BD4" s="20"/>
      <c r="BE4" s="20"/>
      <c r="BF4" s="20"/>
      <c r="BG4" s="20" t="s">
        <v>470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471</v>
      </c>
      <c r="BR4" s="20" t="s">
        <v>472</v>
      </c>
      <c r="BS4" s="20" t="s">
        <v>472</v>
      </c>
      <c r="BT4" s="20" t="s">
        <v>458</v>
      </c>
      <c r="BU4" s="20" t="s">
        <v>444</v>
      </c>
      <c r="BV4" s="20" t="s">
        <v>460</v>
      </c>
      <c r="BW4" s="20"/>
      <c r="BX4" s="20" t="s">
        <v>473</v>
      </c>
      <c r="BY4" s="20" t="s">
        <v>474</v>
      </c>
      <c r="BZ4"/>
      <c r="CA4"/>
      <c r="CB4"/>
      <c r="CC4"/>
      <c r="CD4"/>
      <c r="CE4"/>
      <c r="CF4"/>
      <c r="CG4" s="1" t="s">
        <v>869</v>
      </c>
    </row>
    <row r="5" spans="1:85" ht="12" customHeight="1">
      <c r="A5" s="19" t="s">
        <v>119</v>
      </c>
      <c r="B5" s="19" t="s">
        <v>255</v>
      </c>
      <c r="C5" t="s">
        <v>214</v>
      </c>
      <c r="D5" s="20" t="s">
        <v>363</v>
      </c>
      <c r="E5" s="20" t="s">
        <v>214</v>
      </c>
      <c r="F5" s="20" t="s">
        <v>360</v>
      </c>
      <c r="G5" s="19" t="s">
        <v>318</v>
      </c>
      <c r="H5"/>
      <c r="I5"/>
      <c r="J5"/>
      <c r="K5"/>
      <c r="L5"/>
      <c r="M5"/>
      <c r="N5"/>
      <c r="O5"/>
      <c r="P5">
        <v>46</v>
      </c>
      <c r="Q5">
        <v>46</v>
      </c>
      <c r="R5" t="s">
        <v>44</v>
      </c>
      <c r="S5" t="s">
        <v>288</v>
      </c>
      <c r="T5" t="s">
        <v>258</v>
      </c>
      <c r="U5" t="s">
        <v>246</v>
      </c>
      <c r="V5" t="s">
        <v>316</v>
      </c>
      <c r="W5" t="s">
        <v>215</v>
      </c>
      <c r="X5" s="20" t="s">
        <v>366</v>
      </c>
      <c r="Y5" t="s">
        <v>246</v>
      </c>
      <c r="Z5" s="20" t="s">
        <v>246</v>
      </c>
      <c r="AA5" s="20" t="s">
        <v>378</v>
      </c>
      <c r="AB5" s="20" t="s">
        <v>246</v>
      </c>
      <c r="AC5" s="20" t="s">
        <v>379</v>
      </c>
      <c r="AD5" s="20" t="s">
        <v>380</v>
      </c>
      <c r="AE5" t="s">
        <v>20</v>
      </c>
      <c r="AF5" t="s">
        <v>295</v>
      </c>
      <c r="AG5" t="s">
        <v>215</v>
      </c>
      <c r="AH5" t="s">
        <v>215</v>
      </c>
      <c r="AI5" t="s">
        <v>215</v>
      </c>
      <c r="AJ5" t="s">
        <v>215</v>
      </c>
      <c r="AK5" t="s">
        <v>215</v>
      </c>
      <c r="AL5" s="23" t="s">
        <v>475</v>
      </c>
      <c r="AM5" s="20"/>
      <c r="AN5" s="20"/>
      <c r="AO5" s="20" t="s">
        <v>20</v>
      </c>
      <c r="AP5" s="20"/>
      <c r="AQ5" s="20" t="s">
        <v>476</v>
      </c>
      <c r="AR5" s="20" t="s">
        <v>476</v>
      </c>
      <c r="AS5" s="20" t="s">
        <v>477</v>
      </c>
      <c r="AT5" s="20" t="s">
        <v>478</v>
      </c>
      <c r="AU5" s="20">
        <f t="shared" si="0"/>
        <v>22</v>
      </c>
      <c r="AV5" s="20" t="s">
        <v>479</v>
      </c>
      <c r="AW5" s="20" t="s">
        <v>479</v>
      </c>
      <c r="AX5" s="20" t="s">
        <v>480</v>
      </c>
      <c r="AY5" s="20" t="s">
        <v>480</v>
      </c>
      <c r="AZ5" s="20"/>
      <c r="BA5" s="20"/>
      <c r="BB5" s="20" t="s">
        <v>481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 t="s">
        <v>482</v>
      </c>
      <c r="BS5" s="20" t="s">
        <v>483</v>
      </c>
      <c r="BT5" s="20"/>
      <c r="BU5" s="20"/>
      <c r="BV5" s="20"/>
      <c r="BW5" s="20"/>
      <c r="BX5" s="20" t="s">
        <v>484</v>
      </c>
      <c r="BY5" s="20" t="s">
        <v>485</v>
      </c>
      <c r="BZ5"/>
      <c r="CA5"/>
      <c r="CB5"/>
      <c r="CC5"/>
      <c r="CD5"/>
      <c r="CE5"/>
      <c r="CF5"/>
      <c r="CG5" s="1" t="s">
        <v>869</v>
      </c>
    </row>
    <row r="6" spans="1:85" ht="12" customHeight="1">
      <c r="A6" s="19" t="s">
        <v>119</v>
      </c>
      <c r="B6" s="19" t="s">
        <v>255</v>
      </c>
      <c r="C6" t="s">
        <v>214</v>
      </c>
      <c r="D6" s="20" t="s">
        <v>361</v>
      </c>
      <c r="E6" s="20" t="s">
        <v>214</v>
      </c>
      <c r="F6" s="20" t="s">
        <v>360</v>
      </c>
      <c r="G6" s="19" t="s">
        <v>318</v>
      </c>
      <c r="H6"/>
      <c r="I6"/>
      <c r="J6"/>
      <c r="K6"/>
      <c r="L6"/>
      <c r="M6"/>
      <c r="N6"/>
      <c r="O6"/>
      <c r="P6">
        <v>47</v>
      </c>
      <c r="Q6">
        <v>47</v>
      </c>
      <c r="R6" t="s">
        <v>182</v>
      </c>
      <c r="S6" t="s">
        <v>101</v>
      </c>
      <c r="T6" t="s">
        <v>76</v>
      </c>
      <c r="U6" t="s">
        <v>304</v>
      </c>
      <c r="V6" t="s">
        <v>85</v>
      </c>
      <c r="W6" t="s">
        <v>215</v>
      </c>
      <c r="X6" s="20" t="s">
        <v>76</v>
      </c>
      <c r="Y6" t="s">
        <v>304</v>
      </c>
      <c r="Z6" s="20" t="s">
        <v>304</v>
      </c>
      <c r="AA6" s="20" t="s">
        <v>34</v>
      </c>
      <c r="AB6" s="20" t="s">
        <v>304</v>
      </c>
      <c r="AC6" s="20" t="s">
        <v>304</v>
      </c>
      <c r="AD6" s="20" t="s">
        <v>381</v>
      </c>
      <c r="AE6" t="s">
        <v>110</v>
      </c>
      <c r="AF6" t="s">
        <v>144</v>
      </c>
      <c r="AG6" t="s">
        <v>31</v>
      </c>
      <c r="AH6" t="s">
        <v>215</v>
      </c>
      <c r="AI6" t="s">
        <v>113</v>
      </c>
      <c r="AJ6" t="s">
        <v>215</v>
      </c>
      <c r="AK6" t="s">
        <v>215</v>
      </c>
      <c r="AL6" s="23" t="s">
        <v>486</v>
      </c>
      <c r="AM6" s="20"/>
      <c r="AN6" s="25"/>
      <c r="AO6" s="20" t="s">
        <v>487</v>
      </c>
      <c r="AP6" s="20"/>
      <c r="AQ6" s="20" t="s">
        <v>488</v>
      </c>
      <c r="AR6" s="20" t="s">
        <v>489</v>
      </c>
      <c r="AS6" s="20" t="s">
        <v>490</v>
      </c>
      <c r="AT6" s="20" t="s">
        <v>491</v>
      </c>
      <c r="AU6" s="20">
        <f t="shared" si="0"/>
        <v>27</v>
      </c>
      <c r="AV6" s="20" t="s">
        <v>492</v>
      </c>
      <c r="AW6" s="20" t="s">
        <v>492</v>
      </c>
      <c r="AX6" s="23" t="s">
        <v>493</v>
      </c>
      <c r="AY6" s="23" t="s">
        <v>493</v>
      </c>
      <c r="AZ6" s="20"/>
      <c r="BA6" s="20"/>
      <c r="BB6" s="20"/>
      <c r="BC6" s="20"/>
      <c r="BD6" s="20"/>
      <c r="BE6" s="20"/>
      <c r="BF6" s="20" t="s">
        <v>494</v>
      </c>
      <c r="BG6" s="20" t="s">
        <v>495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496</v>
      </c>
      <c r="BR6" s="20" t="s">
        <v>497</v>
      </c>
      <c r="BS6" s="20" t="s">
        <v>497</v>
      </c>
      <c r="BT6" s="20" t="s">
        <v>443</v>
      </c>
      <c r="BU6" s="20" t="s">
        <v>459</v>
      </c>
      <c r="BV6" s="20"/>
      <c r="BW6" s="20"/>
      <c r="BX6" s="20"/>
      <c r="BY6" s="20" t="s">
        <v>498</v>
      </c>
      <c r="BZ6"/>
      <c r="CA6"/>
      <c r="CB6"/>
      <c r="CC6"/>
      <c r="CD6"/>
      <c r="CE6"/>
      <c r="CF6"/>
      <c r="CG6" s="1" t="s">
        <v>869</v>
      </c>
    </row>
    <row r="7" spans="1:85" ht="12" customHeight="1">
      <c r="A7" s="19" t="s">
        <v>119</v>
      </c>
      <c r="B7" s="19" t="s">
        <v>255</v>
      </c>
      <c r="C7" t="s">
        <v>214</v>
      </c>
      <c r="D7" s="20" t="s">
        <v>363</v>
      </c>
      <c r="E7" s="20" t="s">
        <v>214</v>
      </c>
      <c r="F7" s="20" t="s">
        <v>360</v>
      </c>
      <c r="G7" s="19" t="s">
        <v>318</v>
      </c>
      <c r="H7"/>
      <c r="I7"/>
      <c r="J7"/>
      <c r="K7"/>
      <c r="L7"/>
      <c r="M7"/>
      <c r="N7"/>
      <c r="O7"/>
      <c r="P7">
        <v>48</v>
      </c>
      <c r="Q7">
        <v>48</v>
      </c>
      <c r="R7" t="s">
        <v>97</v>
      </c>
      <c r="S7" t="s">
        <v>101</v>
      </c>
      <c r="T7" t="s">
        <v>76</v>
      </c>
      <c r="U7" t="s">
        <v>39</v>
      </c>
      <c r="V7" t="s">
        <v>85</v>
      </c>
      <c r="W7" t="s">
        <v>215</v>
      </c>
      <c r="X7" s="20" t="s">
        <v>76</v>
      </c>
      <c r="Y7" t="s">
        <v>39</v>
      </c>
      <c r="Z7" s="20" t="s">
        <v>39</v>
      </c>
      <c r="AA7" s="20" t="s">
        <v>34</v>
      </c>
      <c r="AB7" s="20" t="s">
        <v>39</v>
      </c>
      <c r="AC7" s="20" t="s">
        <v>39</v>
      </c>
      <c r="AD7" s="20" t="s">
        <v>382</v>
      </c>
      <c r="AE7" t="s">
        <v>46</v>
      </c>
      <c r="AF7" t="s">
        <v>327</v>
      </c>
      <c r="AG7" t="s">
        <v>215</v>
      </c>
      <c r="AH7" t="s">
        <v>215</v>
      </c>
      <c r="AI7" t="s">
        <v>215</v>
      </c>
      <c r="AJ7" t="s">
        <v>215</v>
      </c>
      <c r="AK7" t="s">
        <v>215</v>
      </c>
      <c r="AL7" s="23" t="s">
        <v>499</v>
      </c>
      <c r="AM7" s="20"/>
      <c r="AN7" s="25"/>
      <c r="AO7" s="20" t="s">
        <v>46</v>
      </c>
      <c r="AP7" s="20"/>
      <c r="AQ7" s="20" t="s">
        <v>500</v>
      </c>
      <c r="AR7" s="20" t="s">
        <v>501</v>
      </c>
      <c r="AS7" s="20" t="s">
        <v>502</v>
      </c>
      <c r="AT7" s="20" t="s">
        <v>502</v>
      </c>
      <c r="AU7" s="20">
        <f t="shared" si="0"/>
        <v>26</v>
      </c>
      <c r="AV7" s="20" t="s">
        <v>503</v>
      </c>
      <c r="AW7" s="20" t="s">
        <v>503</v>
      </c>
      <c r="AX7" s="20" t="s">
        <v>469</v>
      </c>
      <c r="AY7" s="20" t="s">
        <v>469</v>
      </c>
      <c r="AZ7" s="20"/>
      <c r="BA7" s="20"/>
      <c r="BB7" s="20"/>
      <c r="BC7" s="20"/>
      <c r="BD7" s="20"/>
      <c r="BE7" s="20"/>
      <c r="BF7" s="20" t="s">
        <v>504</v>
      </c>
      <c r="BG7" s="20" t="s">
        <v>505</v>
      </c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 t="s">
        <v>506</v>
      </c>
      <c r="BS7" s="20" t="s">
        <v>506</v>
      </c>
      <c r="BT7" s="20"/>
      <c r="BU7" s="20"/>
      <c r="BV7" s="20"/>
      <c r="BW7" s="20"/>
      <c r="BX7" s="20"/>
      <c r="BY7" s="20" t="s">
        <v>485</v>
      </c>
      <c r="BZ7"/>
      <c r="CA7"/>
      <c r="CB7"/>
      <c r="CC7"/>
      <c r="CD7"/>
      <c r="CE7"/>
      <c r="CF7"/>
      <c r="CG7" s="1" t="s">
        <v>869</v>
      </c>
    </row>
    <row r="8" spans="1:85" ht="12" customHeight="1">
      <c r="A8" s="19" t="s">
        <v>119</v>
      </c>
      <c r="B8" s="19" t="s">
        <v>255</v>
      </c>
      <c r="C8" t="s">
        <v>214</v>
      </c>
      <c r="D8" s="20" t="s">
        <v>361</v>
      </c>
      <c r="E8" s="20" t="s">
        <v>214</v>
      </c>
      <c r="F8" s="20" t="s">
        <v>360</v>
      </c>
      <c r="G8" s="19" t="s">
        <v>318</v>
      </c>
      <c r="H8"/>
      <c r="I8"/>
      <c r="J8"/>
      <c r="K8"/>
      <c r="L8"/>
      <c r="M8"/>
      <c r="N8"/>
      <c r="O8"/>
      <c r="P8">
        <v>49</v>
      </c>
      <c r="Q8">
        <v>49</v>
      </c>
      <c r="R8" t="s">
        <v>6</v>
      </c>
      <c r="S8" t="s">
        <v>101</v>
      </c>
      <c r="T8" t="s">
        <v>76</v>
      </c>
      <c r="U8" t="s">
        <v>11</v>
      </c>
      <c r="V8" t="s">
        <v>287</v>
      </c>
      <c r="W8" t="s">
        <v>215</v>
      </c>
      <c r="X8" s="20" t="s">
        <v>287</v>
      </c>
      <c r="Y8" t="s">
        <v>271</v>
      </c>
      <c r="Z8" s="20">
        <v>19693</v>
      </c>
      <c r="AA8" s="20" t="s">
        <v>383</v>
      </c>
      <c r="AB8" s="20">
        <v>19693</v>
      </c>
      <c r="AC8" s="20">
        <v>19693</v>
      </c>
      <c r="AD8" s="20" t="s">
        <v>384</v>
      </c>
      <c r="AE8" t="s">
        <v>195</v>
      </c>
      <c r="AF8" t="s">
        <v>239</v>
      </c>
      <c r="AG8" t="s">
        <v>8</v>
      </c>
      <c r="AH8" t="s">
        <v>215</v>
      </c>
      <c r="AI8" t="s">
        <v>29</v>
      </c>
      <c r="AJ8" t="s">
        <v>215</v>
      </c>
      <c r="AK8" t="s">
        <v>215</v>
      </c>
      <c r="AL8" s="23" t="s">
        <v>507</v>
      </c>
      <c r="AM8" s="20"/>
      <c r="AN8" s="25"/>
      <c r="AO8" s="20" t="s">
        <v>508</v>
      </c>
      <c r="AP8" s="20"/>
      <c r="AQ8" s="20" t="s">
        <v>509</v>
      </c>
      <c r="AR8" s="20" t="s">
        <v>510</v>
      </c>
      <c r="AS8" s="20" t="s">
        <v>511</v>
      </c>
      <c r="AT8" s="20" t="s">
        <v>512</v>
      </c>
      <c r="AU8" s="20">
        <f t="shared" si="0"/>
        <v>28</v>
      </c>
      <c r="AV8" s="20" t="s">
        <v>513</v>
      </c>
      <c r="AW8" s="20" t="s">
        <v>513</v>
      </c>
      <c r="AX8" s="20" t="s">
        <v>514</v>
      </c>
      <c r="AY8" s="20" t="s">
        <v>514</v>
      </c>
      <c r="AZ8" s="20"/>
      <c r="BA8" s="20"/>
      <c r="BB8" s="20" t="s">
        <v>515</v>
      </c>
      <c r="BC8" s="20" t="s">
        <v>516</v>
      </c>
      <c r="BD8" s="20" t="s">
        <v>517</v>
      </c>
      <c r="BE8" s="20"/>
      <c r="BF8" s="20" t="s">
        <v>518</v>
      </c>
      <c r="BG8" s="20" t="s">
        <v>519</v>
      </c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 t="s">
        <v>520</v>
      </c>
      <c r="BS8" s="20" t="s">
        <v>521</v>
      </c>
      <c r="BT8" s="26" t="s">
        <v>443</v>
      </c>
      <c r="BU8" s="20" t="s">
        <v>459</v>
      </c>
      <c r="BV8" s="20"/>
      <c r="BW8" s="20"/>
      <c r="BX8" s="20"/>
      <c r="BY8" s="20" t="s">
        <v>522</v>
      </c>
      <c r="BZ8"/>
      <c r="CA8"/>
      <c r="CB8"/>
      <c r="CC8"/>
      <c r="CD8"/>
      <c r="CE8"/>
      <c r="CF8"/>
      <c r="CG8" s="1" t="s">
        <v>869</v>
      </c>
    </row>
    <row r="9" spans="1:85" ht="12" customHeight="1">
      <c r="A9" s="19" t="s">
        <v>119</v>
      </c>
      <c r="B9" s="19" t="s">
        <v>255</v>
      </c>
      <c r="C9" t="s">
        <v>214</v>
      </c>
      <c r="D9" s="20" t="s">
        <v>359</v>
      </c>
      <c r="E9" s="20" t="s">
        <v>214</v>
      </c>
      <c r="F9" s="20" t="s">
        <v>360</v>
      </c>
      <c r="G9" s="19" t="s">
        <v>318</v>
      </c>
      <c r="H9"/>
      <c r="I9"/>
      <c r="J9"/>
      <c r="K9"/>
      <c r="L9"/>
      <c r="M9"/>
      <c r="N9"/>
      <c r="O9"/>
      <c r="P9">
        <v>86</v>
      </c>
      <c r="Q9">
        <v>86</v>
      </c>
      <c r="R9" t="s">
        <v>9</v>
      </c>
      <c r="S9" t="s">
        <v>238</v>
      </c>
      <c r="T9" t="s">
        <v>66</v>
      </c>
      <c r="U9" t="s">
        <v>13</v>
      </c>
      <c r="V9" t="s">
        <v>309</v>
      </c>
      <c r="W9" t="s">
        <v>296</v>
      </c>
      <c r="X9" s="20" t="s">
        <v>364</v>
      </c>
      <c r="Y9" t="s">
        <v>13</v>
      </c>
      <c r="Z9" s="20" t="s">
        <v>13</v>
      </c>
      <c r="AA9" s="20" t="s">
        <v>372</v>
      </c>
      <c r="AB9" s="20" t="s">
        <v>13</v>
      </c>
      <c r="AC9" s="20">
        <v>2296033115</v>
      </c>
      <c r="AD9" s="20" t="s">
        <v>385</v>
      </c>
      <c r="AE9" t="s">
        <v>152</v>
      </c>
      <c r="AF9" t="s">
        <v>153</v>
      </c>
      <c r="AG9" t="s">
        <v>337</v>
      </c>
      <c r="AH9" t="s">
        <v>14</v>
      </c>
      <c r="AI9" t="s">
        <v>185</v>
      </c>
      <c r="AJ9" t="s">
        <v>358</v>
      </c>
      <c r="AK9" t="s">
        <v>63</v>
      </c>
      <c r="AL9" s="23" t="s">
        <v>426</v>
      </c>
      <c r="AM9" s="20"/>
      <c r="AN9" s="25"/>
      <c r="AO9" s="20" t="s">
        <v>523</v>
      </c>
      <c r="AP9" s="20"/>
      <c r="AQ9" s="20" t="s">
        <v>524</v>
      </c>
      <c r="AR9" s="20" t="s">
        <v>525</v>
      </c>
      <c r="AS9" s="20" t="s">
        <v>526</v>
      </c>
      <c r="AT9" s="20" t="s">
        <v>527</v>
      </c>
      <c r="AU9" s="20">
        <f t="shared" si="0"/>
        <v>30</v>
      </c>
      <c r="AV9" s="20" t="s">
        <v>432</v>
      </c>
      <c r="AW9" s="20" t="s">
        <v>432</v>
      </c>
      <c r="AX9" s="20" t="s">
        <v>433</v>
      </c>
      <c r="AY9" s="20" t="s">
        <v>433</v>
      </c>
      <c r="AZ9" s="20" t="s">
        <v>63</v>
      </c>
      <c r="BA9" s="20" t="s">
        <v>63</v>
      </c>
      <c r="BB9" s="20" t="s">
        <v>528</v>
      </c>
      <c r="BC9" s="20" t="s">
        <v>529</v>
      </c>
      <c r="BD9" s="20" t="s">
        <v>529</v>
      </c>
      <c r="BE9" s="20"/>
      <c r="BF9" s="20" t="s">
        <v>530</v>
      </c>
      <c r="BG9" s="20" t="s">
        <v>531</v>
      </c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 t="s">
        <v>532</v>
      </c>
      <c r="BS9" s="20" t="s">
        <v>533</v>
      </c>
      <c r="BT9" s="20" t="s">
        <v>443</v>
      </c>
      <c r="BU9" s="20" t="s">
        <v>459</v>
      </c>
      <c r="BV9" s="20" t="s">
        <v>460</v>
      </c>
      <c r="BW9" s="20"/>
      <c r="BX9" s="20"/>
      <c r="BY9" s="20" t="s">
        <v>534</v>
      </c>
      <c r="BZ9"/>
      <c r="CA9"/>
      <c r="CB9"/>
      <c r="CC9"/>
      <c r="CD9"/>
      <c r="CE9"/>
      <c r="CF9"/>
      <c r="CG9" s="1" t="s">
        <v>869</v>
      </c>
    </row>
    <row r="10" spans="1:85" ht="12" customHeight="1">
      <c r="A10" s="19" t="s">
        <v>119</v>
      </c>
      <c r="B10" s="19" t="s">
        <v>255</v>
      </c>
      <c r="C10" t="s">
        <v>214</v>
      </c>
      <c r="D10" s="20" t="s">
        <v>359</v>
      </c>
      <c r="E10" s="20" t="s">
        <v>214</v>
      </c>
      <c r="F10" s="20" t="s">
        <v>360</v>
      </c>
      <c r="G10" s="19" t="s">
        <v>318</v>
      </c>
      <c r="H10"/>
      <c r="I10"/>
      <c r="J10"/>
      <c r="K10"/>
      <c r="L10"/>
      <c r="M10"/>
      <c r="N10"/>
      <c r="O10"/>
      <c r="P10">
        <v>87</v>
      </c>
      <c r="Q10">
        <v>87</v>
      </c>
      <c r="R10" t="s">
        <v>177</v>
      </c>
      <c r="S10" t="s">
        <v>238</v>
      </c>
      <c r="T10" t="s">
        <v>66</v>
      </c>
      <c r="U10" t="s">
        <v>60</v>
      </c>
      <c r="V10" t="s">
        <v>309</v>
      </c>
      <c r="W10" t="s">
        <v>296</v>
      </c>
      <c r="X10" s="20" t="s">
        <v>364</v>
      </c>
      <c r="Y10" t="s">
        <v>60</v>
      </c>
      <c r="Z10" s="20" t="s">
        <v>60</v>
      </c>
      <c r="AA10" s="20" t="s">
        <v>372</v>
      </c>
      <c r="AB10" s="20" t="s">
        <v>60</v>
      </c>
      <c r="AC10" s="20">
        <v>2296033106</v>
      </c>
      <c r="AD10" s="20" t="s">
        <v>386</v>
      </c>
      <c r="AE10" t="s">
        <v>89</v>
      </c>
      <c r="AF10" t="s">
        <v>164</v>
      </c>
      <c r="AG10" t="s">
        <v>174</v>
      </c>
      <c r="AH10" t="s">
        <v>223</v>
      </c>
      <c r="AI10" t="s">
        <v>185</v>
      </c>
      <c r="AJ10" t="s">
        <v>358</v>
      </c>
      <c r="AK10" t="s">
        <v>215</v>
      </c>
      <c r="AL10" s="23" t="s">
        <v>426</v>
      </c>
      <c r="AM10" s="20"/>
      <c r="AN10" s="20"/>
      <c r="AO10" s="20" t="s">
        <v>535</v>
      </c>
      <c r="AP10" s="20"/>
      <c r="AQ10" s="20" t="s">
        <v>536</v>
      </c>
      <c r="AR10" s="20" t="s">
        <v>537</v>
      </c>
      <c r="AS10" s="20" t="s">
        <v>538</v>
      </c>
      <c r="AT10" s="20" t="s">
        <v>539</v>
      </c>
      <c r="AU10" s="20">
        <f t="shared" si="0"/>
        <v>25</v>
      </c>
      <c r="AV10" s="20" t="s">
        <v>432</v>
      </c>
      <c r="AW10" s="20" t="s">
        <v>432</v>
      </c>
      <c r="AX10" s="20" t="s">
        <v>433</v>
      </c>
      <c r="AY10" s="20" t="s">
        <v>433</v>
      </c>
      <c r="AZ10" s="20"/>
      <c r="BA10" s="20"/>
      <c r="BB10" s="20"/>
      <c r="BC10" s="20" t="s">
        <v>540</v>
      </c>
      <c r="BD10" s="20" t="s">
        <v>541</v>
      </c>
      <c r="BE10" s="20"/>
      <c r="BF10" s="20" t="s">
        <v>542</v>
      </c>
      <c r="BG10" s="20" t="s">
        <v>543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 t="s">
        <v>544</v>
      </c>
      <c r="BS10" s="20" t="s">
        <v>544</v>
      </c>
      <c r="BT10" s="20" t="s">
        <v>443</v>
      </c>
      <c r="BU10" s="20" t="s">
        <v>444</v>
      </c>
      <c r="BV10" s="20" t="s">
        <v>460</v>
      </c>
      <c r="BW10" s="20"/>
      <c r="BX10" s="20"/>
      <c r="BY10" s="20" t="s">
        <v>545</v>
      </c>
      <c r="BZ10"/>
      <c r="CA10"/>
      <c r="CB10"/>
      <c r="CC10"/>
      <c r="CD10"/>
      <c r="CE10"/>
      <c r="CF10"/>
      <c r="CG10" s="1" t="s">
        <v>869</v>
      </c>
    </row>
    <row r="11" spans="1:85" ht="12" customHeight="1">
      <c r="A11" s="19" t="s">
        <v>119</v>
      </c>
      <c r="B11" s="19" t="s">
        <v>255</v>
      </c>
      <c r="C11" t="s">
        <v>214</v>
      </c>
      <c r="D11" s="20" t="s">
        <v>359</v>
      </c>
      <c r="E11" s="20" t="s">
        <v>214</v>
      </c>
      <c r="F11" s="20" t="s">
        <v>360</v>
      </c>
      <c r="G11" s="19" t="s">
        <v>318</v>
      </c>
      <c r="H11"/>
      <c r="I11"/>
      <c r="J11"/>
      <c r="K11"/>
      <c r="L11"/>
      <c r="M11"/>
      <c r="N11"/>
      <c r="O11"/>
      <c r="P11">
        <v>88</v>
      </c>
      <c r="Q11">
        <v>88</v>
      </c>
      <c r="R11" t="s">
        <v>121</v>
      </c>
      <c r="S11" t="s">
        <v>238</v>
      </c>
      <c r="T11" t="s">
        <v>66</v>
      </c>
      <c r="U11" t="s">
        <v>204</v>
      </c>
      <c r="V11" t="s">
        <v>309</v>
      </c>
      <c r="W11" t="s">
        <v>296</v>
      </c>
      <c r="X11" s="20" t="s">
        <v>364</v>
      </c>
      <c r="Y11" t="s">
        <v>204</v>
      </c>
      <c r="Z11" s="20" t="s">
        <v>387</v>
      </c>
      <c r="AA11" s="20" t="s">
        <v>372</v>
      </c>
      <c r="AB11" s="20" t="s">
        <v>387</v>
      </c>
      <c r="AC11" s="20">
        <v>5100037134</v>
      </c>
      <c r="AD11" s="20" t="s">
        <v>388</v>
      </c>
      <c r="AE11" t="s">
        <v>15</v>
      </c>
      <c r="AF11" t="s">
        <v>162</v>
      </c>
      <c r="AG11" t="s">
        <v>302</v>
      </c>
      <c r="AH11" t="s">
        <v>302</v>
      </c>
      <c r="AI11" t="s">
        <v>185</v>
      </c>
      <c r="AJ11" t="s">
        <v>358</v>
      </c>
      <c r="AK11" t="s">
        <v>215</v>
      </c>
      <c r="AL11" s="23" t="s">
        <v>426</v>
      </c>
      <c r="AM11" s="20"/>
      <c r="AN11" s="20"/>
      <c r="AO11" s="20" t="s">
        <v>546</v>
      </c>
      <c r="AP11" s="20"/>
      <c r="AQ11" s="20" t="s">
        <v>547</v>
      </c>
      <c r="AR11" s="20" t="s">
        <v>548</v>
      </c>
      <c r="AS11" s="20" t="s">
        <v>549</v>
      </c>
      <c r="AT11" s="20" t="s">
        <v>550</v>
      </c>
      <c r="AU11" s="20">
        <f t="shared" si="0"/>
        <v>27</v>
      </c>
      <c r="AV11" s="20" t="s">
        <v>432</v>
      </c>
      <c r="AW11" s="20" t="s">
        <v>432</v>
      </c>
      <c r="AX11" s="20" t="s">
        <v>433</v>
      </c>
      <c r="AY11" s="20" t="s">
        <v>433</v>
      </c>
      <c r="AZ11" s="20"/>
      <c r="BA11" s="20"/>
      <c r="BB11" s="20" t="s">
        <v>434</v>
      </c>
      <c r="BC11" s="20" t="s">
        <v>551</v>
      </c>
      <c r="BD11" s="20" t="s">
        <v>551</v>
      </c>
      <c r="BE11" s="20"/>
      <c r="BF11" s="20" t="s">
        <v>552</v>
      </c>
      <c r="BG11" s="20" t="s">
        <v>553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 t="s">
        <v>554</v>
      </c>
      <c r="BS11" s="20" t="s">
        <v>555</v>
      </c>
      <c r="BT11" s="20" t="s">
        <v>443</v>
      </c>
      <c r="BU11" s="20" t="s">
        <v>444</v>
      </c>
      <c r="BV11" s="20"/>
      <c r="BW11" s="20"/>
      <c r="BX11" s="20"/>
      <c r="BY11" s="20" t="s">
        <v>556</v>
      </c>
      <c r="BZ11"/>
      <c r="CA11"/>
      <c r="CB11"/>
      <c r="CC11"/>
      <c r="CD11"/>
      <c r="CE11"/>
      <c r="CF11"/>
      <c r="CG11" s="1" t="s">
        <v>869</v>
      </c>
    </row>
    <row r="12" spans="1:85" ht="12" customHeight="1">
      <c r="A12" s="19" t="s">
        <v>119</v>
      </c>
      <c r="B12" s="19" t="s">
        <v>255</v>
      </c>
      <c r="C12" t="s">
        <v>214</v>
      </c>
      <c r="D12" s="20" t="s">
        <v>359</v>
      </c>
      <c r="E12" s="20" t="s">
        <v>214</v>
      </c>
      <c r="F12" s="20" t="s">
        <v>360</v>
      </c>
      <c r="G12" s="19" t="s">
        <v>318</v>
      </c>
      <c r="H12"/>
      <c r="I12"/>
      <c r="J12"/>
      <c r="K12"/>
      <c r="L12"/>
      <c r="M12"/>
      <c r="N12"/>
      <c r="O12"/>
      <c r="P12">
        <v>94</v>
      </c>
      <c r="Q12">
        <v>94</v>
      </c>
      <c r="R12" t="s">
        <v>228</v>
      </c>
      <c r="S12" t="s">
        <v>238</v>
      </c>
      <c r="T12" t="s">
        <v>66</v>
      </c>
      <c r="U12" t="s">
        <v>206</v>
      </c>
      <c r="V12" t="s">
        <v>285</v>
      </c>
      <c r="W12" t="s">
        <v>215</v>
      </c>
      <c r="X12" s="20" t="s">
        <v>364</v>
      </c>
      <c r="Y12" t="s">
        <v>206</v>
      </c>
      <c r="Z12" s="20" t="s">
        <v>206</v>
      </c>
      <c r="AA12" s="20" t="s">
        <v>372</v>
      </c>
      <c r="AB12" s="20" t="s">
        <v>206</v>
      </c>
      <c r="AC12" s="21" t="s">
        <v>389</v>
      </c>
      <c r="AD12" s="20" t="s">
        <v>390</v>
      </c>
      <c r="AE12" t="s">
        <v>188</v>
      </c>
      <c r="AF12" t="s">
        <v>257</v>
      </c>
      <c r="AG12" t="s">
        <v>128</v>
      </c>
      <c r="AH12" t="s">
        <v>319</v>
      </c>
      <c r="AI12" t="s">
        <v>185</v>
      </c>
      <c r="AJ12" t="s">
        <v>358</v>
      </c>
      <c r="AK12" t="s">
        <v>63</v>
      </c>
      <c r="AL12" s="23" t="s">
        <v>426</v>
      </c>
      <c r="AM12" s="20"/>
      <c r="AN12" s="20"/>
      <c r="AO12" s="20" t="s">
        <v>557</v>
      </c>
      <c r="AP12" s="20"/>
      <c r="AQ12" s="23" t="s">
        <v>558</v>
      </c>
      <c r="AR12" s="23" t="s">
        <v>559</v>
      </c>
      <c r="AS12" s="20" t="s">
        <v>560</v>
      </c>
      <c r="AT12" s="20" t="s">
        <v>561</v>
      </c>
      <c r="AU12" s="20">
        <f t="shared" si="0"/>
        <v>27</v>
      </c>
      <c r="AV12" s="23" t="s">
        <v>432</v>
      </c>
      <c r="AW12" s="23" t="s">
        <v>432</v>
      </c>
      <c r="AX12" s="23" t="s">
        <v>433</v>
      </c>
      <c r="AY12" s="23" t="s">
        <v>433</v>
      </c>
      <c r="AZ12" s="20" t="s">
        <v>63</v>
      </c>
      <c r="BA12" s="20" t="s">
        <v>63</v>
      </c>
      <c r="BB12" s="20" t="s">
        <v>434</v>
      </c>
      <c r="BC12" s="20"/>
      <c r="BD12" s="20"/>
      <c r="BE12" s="20"/>
      <c r="BF12" s="23" t="s">
        <v>562</v>
      </c>
      <c r="BG12" s="23" t="s">
        <v>563</v>
      </c>
      <c r="BH12" s="20"/>
      <c r="BI12" s="20"/>
      <c r="BJ12" s="20"/>
      <c r="BK12" s="20"/>
      <c r="BL12" s="20"/>
      <c r="BM12" s="20" t="s">
        <v>440</v>
      </c>
      <c r="BN12" s="20" t="s">
        <v>440</v>
      </c>
      <c r="BO12" s="20"/>
      <c r="BP12" s="20"/>
      <c r="BQ12" s="20"/>
      <c r="BR12" s="20" t="s">
        <v>564</v>
      </c>
      <c r="BS12" s="20" t="s">
        <v>565</v>
      </c>
      <c r="BT12" s="20" t="s">
        <v>458</v>
      </c>
      <c r="BU12" s="20" t="s">
        <v>444</v>
      </c>
      <c r="BV12" s="20"/>
      <c r="BW12" s="20"/>
      <c r="BX12" s="20"/>
      <c r="BY12" s="20" t="s">
        <v>566</v>
      </c>
      <c r="BZ12"/>
      <c r="CA12"/>
      <c r="CB12"/>
      <c r="CC12"/>
      <c r="CD12"/>
      <c r="CE12"/>
      <c r="CF12"/>
      <c r="CG12" s="1" t="s">
        <v>869</v>
      </c>
    </row>
    <row r="13" spans="1:85" ht="12" customHeight="1">
      <c r="A13" s="19" t="s">
        <v>119</v>
      </c>
      <c r="B13" s="19" t="s">
        <v>255</v>
      </c>
      <c r="C13" t="s">
        <v>214</v>
      </c>
      <c r="D13" s="20" t="s">
        <v>359</v>
      </c>
      <c r="E13" s="20" t="s">
        <v>214</v>
      </c>
      <c r="F13" s="20" t="s">
        <v>360</v>
      </c>
      <c r="G13" s="19" t="s">
        <v>318</v>
      </c>
      <c r="H13"/>
      <c r="I13"/>
      <c r="J13"/>
      <c r="K13"/>
      <c r="L13"/>
      <c r="M13"/>
      <c r="N13"/>
      <c r="O13"/>
      <c r="P13">
        <v>95</v>
      </c>
      <c r="Q13">
        <v>95</v>
      </c>
      <c r="R13" t="s">
        <v>233</v>
      </c>
      <c r="S13" t="s">
        <v>238</v>
      </c>
      <c r="T13" t="s">
        <v>66</v>
      </c>
      <c r="U13" t="s">
        <v>191</v>
      </c>
      <c r="V13" t="s">
        <v>285</v>
      </c>
      <c r="W13" t="s">
        <v>215</v>
      </c>
      <c r="X13" s="20" t="s">
        <v>364</v>
      </c>
      <c r="Y13" t="s">
        <v>191</v>
      </c>
      <c r="Z13" s="20" t="s">
        <v>191</v>
      </c>
      <c r="AA13" s="20" t="s">
        <v>372</v>
      </c>
      <c r="AB13" s="20" t="s">
        <v>191</v>
      </c>
      <c r="AC13" s="20">
        <v>1900015040</v>
      </c>
      <c r="AD13" s="20" t="s">
        <v>391</v>
      </c>
      <c r="AE13" t="s">
        <v>158</v>
      </c>
      <c r="AF13" t="s">
        <v>265</v>
      </c>
      <c r="AG13" t="s">
        <v>48</v>
      </c>
      <c r="AH13" t="s">
        <v>272</v>
      </c>
      <c r="AI13" t="s">
        <v>26</v>
      </c>
      <c r="AJ13" t="s">
        <v>358</v>
      </c>
      <c r="AK13" t="s">
        <v>215</v>
      </c>
      <c r="AL13" s="23" t="s">
        <v>567</v>
      </c>
      <c r="AM13" s="20"/>
      <c r="AN13" s="20"/>
      <c r="AO13" s="20" t="s">
        <v>568</v>
      </c>
      <c r="AP13" s="20"/>
      <c r="AQ13" s="20" t="s">
        <v>569</v>
      </c>
      <c r="AR13" s="20" t="s">
        <v>570</v>
      </c>
      <c r="AS13" s="20" t="s">
        <v>571</v>
      </c>
      <c r="AT13" s="20" t="s">
        <v>572</v>
      </c>
      <c r="AU13" s="20">
        <f t="shared" si="0"/>
        <v>25</v>
      </c>
      <c r="AV13" s="20" t="s">
        <v>573</v>
      </c>
      <c r="AW13" s="20" t="s">
        <v>573</v>
      </c>
      <c r="AX13" s="20" t="s">
        <v>574</v>
      </c>
      <c r="AY13" s="20" t="s">
        <v>574</v>
      </c>
      <c r="AZ13" s="20"/>
      <c r="BA13" s="20"/>
      <c r="BB13" s="20" t="s">
        <v>575</v>
      </c>
      <c r="BC13" s="20"/>
      <c r="BD13" s="20"/>
      <c r="BE13" s="20"/>
      <c r="BF13" s="20" t="s">
        <v>576</v>
      </c>
      <c r="BG13" s="20" t="s">
        <v>577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 t="s">
        <v>578</v>
      </c>
      <c r="BS13" s="20" t="s">
        <v>579</v>
      </c>
      <c r="BT13" s="20" t="s">
        <v>443</v>
      </c>
      <c r="BU13" s="20" t="s">
        <v>444</v>
      </c>
      <c r="BV13" s="20"/>
      <c r="BW13" s="20"/>
      <c r="BX13" s="20"/>
      <c r="BY13" s="20" t="s">
        <v>580</v>
      </c>
      <c r="BZ13"/>
      <c r="CA13"/>
      <c r="CB13"/>
      <c r="CC13"/>
      <c r="CD13"/>
      <c r="CE13"/>
      <c r="CF13"/>
      <c r="CG13" s="1" t="s">
        <v>869</v>
      </c>
    </row>
    <row r="14" spans="1:85" ht="12" customHeight="1">
      <c r="A14" s="19" t="s">
        <v>119</v>
      </c>
      <c r="B14" s="19" t="s">
        <v>255</v>
      </c>
      <c r="C14" t="s">
        <v>214</v>
      </c>
      <c r="D14" s="20" t="s">
        <v>361</v>
      </c>
      <c r="E14" s="20" t="s">
        <v>214</v>
      </c>
      <c r="F14" s="20" t="s">
        <v>360</v>
      </c>
      <c r="G14" s="19" t="s">
        <v>318</v>
      </c>
      <c r="H14"/>
      <c r="I14"/>
      <c r="J14"/>
      <c r="K14"/>
      <c r="L14"/>
      <c r="M14"/>
      <c r="N14"/>
      <c r="O14"/>
      <c r="P14">
        <v>96</v>
      </c>
      <c r="Q14">
        <v>96</v>
      </c>
      <c r="R14" t="s">
        <v>62</v>
      </c>
      <c r="S14" t="s">
        <v>101</v>
      </c>
      <c r="T14" t="s">
        <v>76</v>
      </c>
      <c r="U14" t="s">
        <v>87</v>
      </c>
      <c r="V14" t="s">
        <v>85</v>
      </c>
      <c r="W14" t="s">
        <v>215</v>
      </c>
      <c r="X14" s="20" t="s">
        <v>76</v>
      </c>
      <c r="Y14" t="s">
        <v>87</v>
      </c>
      <c r="Z14" s="20" t="s">
        <v>87</v>
      </c>
      <c r="AA14" s="20" t="s">
        <v>34</v>
      </c>
      <c r="AB14" s="20" t="s">
        <v>87</v>
      </c>
      <c r="AC14" s="20" t="s">
        <v>87</v>
      </c>
      <c r="AD14" s="20" t="s">
        <v>392</v>
      </c>
      <c r="AE14" t="s">
        <v>67</v>
      </c>
      <c r="AF14" t="s">
        <v>332</v>
      </c>
      <c r="AG14" t="s">
        <v>215</v>
      </c>
      <c r="AH14" t="s">
        <v>215</v>
      </c>
      <c r="AI14" t="s">
        <v>215</v>
      </c>
      <c r="AJ14" t="s">
        <v>215</v>
      </c>
      <c r="AK14" t="s">
        <v>215</v>
      </c>
      <c r="AL14" s="23" t="s">
        <v>581</v>
      </c>
      <c r="AM14" s="20"/>
      <c r="AN14" s="20"/>
      <c r="AO14" s="20" t="s">
        <v>582</v>
      </c>
      <c r="AP14" s="20"/>
      <c r="AQ14" s="20" t="s">
        <v>583</v>
      </c>
      <c r="AR14" s="20" t="s">
        <v>584</v>
      </c>
      <c r="AS14" s="20" t="s">
        <v>585</v>
      </c>
      <c r="AT14" s="20" t="s">
        <v>586</v>
      </c>
      <c r="AU14" s="20">
        <f t="shared" si="0"/>
        <v>24</v>
      </c>
      <c r="AV14" s="20" t="s">
        <v>587</v>
      </c>
      <c r="AW14" s="20" t="s">
        <v>588</v>
      </c>
      <c r="AX14" s="20" t="s">
        <v>589</v>
      </c>
      <c r="AY14" s="20"/>
      <c r="AZ14" s="20"/>
      <c r="BA14" s="20"/>
      <c r="BB14" s="20" t="s">
        <v>590</v>
      </c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 t="s">
        <v>591</v>
      </c>
      <c r="BS14" s="20" t="s">
        <v>592</v>
      </c>
      <c r="BT14" s="20"/>
      <c r="BU14" s="20" t="s">
        <v>459</v>
      </c>
      <c r="BV14" s="20"/>
      <c r="BW14" s="20"/>
      <c r="BX14" s="20"/>
      <c r="BY14" s="20" t="s">
        <v>593</v>
      </c>
      <c r="BZ14"/>
      <c r="CA14"/>
      <c r="CB14"/>
      <c r="CC14"/>
      <c r="CD14"/>
      <c r="CE14"/>
      <c r="CF14"/>
      <c r="CG14" s="1" t="s">
        <v>869</v>
      </c>
    </row>
    <row r="15" spans="1:85" ht="12" customHeight="1">
      <c r="A15" s="19" t="s">
        <v>119</v>
      </c>
      <c r="B15" s="19" t="s">
        <v>255</v>
      </c>
      <c r="C15" t="s">
        <v>214</v>
      </c>
      <c r="D15" s="20" t="s">
        <v>361</v>
      </c>
      <c r="E15" s="20" t="s">
        <v>214</v>
      </c>
      <c r="F15" s="20" t="s">
        <v>360</v>
      </c>
      <c r="G15" s="19" t="s">
        <v>318</v>
      </c>
      <c r="H15"/>
      <c r="I15"/>
      <c r="J15"/>
      <c r="K15"/>
      <c r="L15"/>
      <c r="M15"/>
      <c r="N15"/>
      <c r="O15"/>
      <c r="P15">
        <v>123</v>
      </c>
      <c r="Q15">
        <v>123</v>
      </c>
      <c r="R15" t="s">
        <v>325</v>
      </c>
      <c r="S15" t="s">
        <v>86</v>
      </c>
      <c r="T15" t="s">
        <v>154</v>
      </c>
      <c r="U15" t="s">
        <v>145</v>
      </c>
      <c r="V15" t="s">
        <v>222</v>
      </c>
      <c r="W15" t="s">
        <v>215</v>
      </c>
      <c r="X15" s="20" t="s">
        <v>365</v>
      </c>
      <c r="Y15" t="s">
        <v>145</v>
      </c>
      <c r="Z15" s="20" t="s">
        <v>145</v>
      </c>
      <c r="AA15" s="20" t="s">
        <v>222</v>
      </c>
      <c r="AB15" s="20" t="s">
        <v>145</v>
      </c>
      <c r="AC15" s="20" t="s">
        <v>145</v>
      </c>
      <c r="AD15" s="20" t="s">
        <v>393</v>
      </c>
      <c r="AE15" t="s">
        <v>21</v>
      </c>
      <c r="AF15" t="s">
        <v>124</v>
      </c>
      <c r="AG15" t="s">
        <v>5</v>
      </c>
      <c r="AH15" t="s">
        <v>75</v>
      </c>
      <c r="AI15" t="s">
        <v>33</v>
      </c>
      <c r="AJ15" t="s">
        <v>84</v>
      </c>
      <c r="AK15" t="s">
        <v>222</v>
      </c>
      <c r="AL15" s="23" t="s">
        <v>446</v>
      </c>
      <c r="AM15" s="20" t="s">
        <v>84</v>
      </c>
      <c r="AN15" s="24" t="s">
        <v>447</v>
      </c>
      <c r="AO15" s="20" t="s">
        <v>594</v>
      </c>
      <c r="AP15" s="20"/>
      <c r="AQ15" s="23" t="s">
        <v>595</v>
      </c>
      <c r="AR15" s="23" t="s">
        <v>596</v>
      </c>
      <c r="AS15" s="20" t="s">
        <v>597</v>
      </c>
      <c r="AT15" s="20" t="s">
        <v>598</v>
      </c>
      <c r="AU15" s="20">
        <f t="shared" si="0"/>
        <v>28</v>
      </c>
      <c r="AV15" s="23" t="s">
        <v>453</v>
      </c>
      <c r="AW15" s="23" t="s">
        <v>453</v>
      </c>
      <c r="AX15" s="23" t="s">
        <v>454</v>
      </c>
      <c r="AY15" s="23" t="s">
        <v>454</v>
      </c>
      <c r="AZ15" s="20"/>
      <c r="BA15" s="20"/>
      <c r="BB15" s="20"/>
      <c r="BC15" s="20" t="s">
        <v>599</v>
      </c>
      <c r="BD15" s="20" t="s">
        <v>599</v>
      </c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 t="s">
        <v>456</v>
      </c>
      <c r="BP15" s="20" t="s">
        <v>456</v>
      </c>
      <c r="BQ15" s="20"/>
      <c r="BR15" s="20" t="s">
        <v>457</v>
      </c>
      <c r="BS15" s="20" t="s">
        <v>457</v>
      </c>
      <c r="BT15" s="20" t="s">
        <v>458</v>
      </c>
      <c r="BU15" s="20" t="s">
        <v>459</v>
      </c>
      <c r="BV15" s="20" t="s">
        <v>460</v>
      </c>
      <c r="BW15" s="20"/>
      <c r="BX15" s="20"/>
      <c r="BY15" s="20" t="s">
        <v>600</v>
      </c>
      <c r="BZ15"/>
      <c r="CA15"/>
      <c r="CB15"/>
      <c r="CC15"/>
      <c r="CD15"/>
      <c r="CE15"/>
      <c r="CF15"/>
      <c r="CG15" s="1" t="s">
        <v>869</v>
      </c>
    </row>
    <row r="16" spans="1:85" ht="12" customHeight="1">
      <c r="A16" s="19" t="s">
        <v>119</v>
      </c>
      <c r="B16" s="19" t="s">
        <v>255</v>
      </c>
      <c r="C16" t="s">
        <v>214</v>
      </c>
      <c r="D16" s="20" t="s">
        <v>359</v>
      </c>
      <c r="E16" s="20" t="s">
        <v>214</v>
      </c>
      <c r="F16" s="20" t="s">
        <v>360</v>
      </c>
      <c r="G16" s="19" t="s">
        <v>318</v>
      </c>
      <c r="H16"/>
      <c r="I16"/>
      <c r="J16"/>
      <c r="K16"/>
      <c r="L16"/>
      <c r="M16"/>
      <c r="N16"/>
      <c r="O16"/>
      <c r="P16">
        <v>161</v>
      </c>
      <c r="Q16">
        <v>161</v>
      </c>
      <c r="R16" t="s">
        <v>73</v>
      </c>
      <c r="S16" t="s">
        <v>101</v>
      </c>
      <c r="T16" t="s">
        <v>76</v>
      </c>
      <c r="U16" t="s">
        <v>32</v>
      </c>
      <c r="V16" t="s">
        <v>277</v>
      </c>
      <c r="W16" t="s">
        <v>215</v>
      </c>
      <c r="X16" s="20" t="s">
        <v>367</v>
      </c>
      <c r="Y16" t="s">
        <v>211</v>
      </c>
      <c r="Z16" s="20" t="s">
        <v>211</v>
      </c>
      <c r="AA16" s="20" t="s">
        <v>394</v>
      </c>
      <c r="AB16" s="20" t="s">
        <v>211</v>
      </c>
      <c r="AC16" s="20" t="s">
        <v>211</v>
      </c>
      <c r="AD16" s="20" t="s">
        <v>395</v>
      </c>
      <c r="AE16" t="s">
        <v>27</v>
      </c>
      <c r="AF16" t="s">
        <v>81</v>
      </c>
      <c r="AG16" t="s">
        <v>57</v>
      </c>
      <c r="AH16" t="s">
        <v>126</v>
      </c>
      <c r="AI16" t="s">
        <v>123</v>
      </c>
      <c r="AJ16" t="s">
        <v>297</v>
      </c>
      <c r="AK16" t="s">
        <v>345</v>
      </c>
      <c r="AL16" s="23" t="s">
        <v>601</v>
      </c>
      <c r="AM16" s="20"/>
      <c r="AN16" s="20"/>
      <c r="AO16" s="20" t="s">
        <v>602</v>
      </c>
      <c r="AP16" s="20"/>
      <c r="AQ16" s="20" t="s">
        <v>603</v>
      </c>
      <c r="AR16" s="20" t="s">
        <v>604</v>
      </c>
      <c r="AS16" s="20" t="s">
        <v>605</v>
      </c>
      <c r="AT16" s="20" t="s">
        <v>606</v>
      </c>
      <c r="AU16" s="20">
        <f t="shared" si="0"/>
        <v>30</v>
      </c>
      <c r="AV16" s="20" t="s">
        <v>607</v>
      </c>
      <c r="AW16" s="20" t="s">
        <v>607</v>
      </c>
      <c r="AX16" s="20" t="s">
        <v>608</v>
      </c>
      <c r="AY16" s="20" t="s">
        <v>608</v>
      </c>
      <c r="AZ16" s="20" t="s">
        <v>609</v>
      </c>
      <c r="BA16" s="20" t="s">
        <v>609</v>
      </c>
      <c r="BB16" s="20"/>
      <c r="BC16" s="20"/>
      <c r="BD16" s="20"/>
      <c r="BE16" s="20"/>
      <c r="BF16" s="20" t="s">
        <v>610</v>
      </c>
      <c r="BG16" s="20" t="s">
        <v>611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 t="s">
        <v>612</v>
      </c>
      <c r="BS16" s="20" t="s">
        <v>612</v>
      </c>
      <c r="BT16" s="20"/>
      <c r="BU16" s="20"/>
      <c r="BV16" s="20" t="s">
        <v>460</v>
      </c>
      <c r="BW16" s="20"/>
      <c r="BX16" s="20"/>
      <c r="BY16" s="20" t="s">
        <v>613</v>
      </c>
      <c r="BZ16"/>
      <c r="CA16"/>
      <c r="CB16"/>
      <c r="CC16"/>
      <c r="CD16"/>
      <c r="CE16"/>
      <c r="CF16"/>
      <c r="CG16" s="1" t="s">
        <v>869</v>
      </c>
    </row>
    <row r="17" spans="1:85" ht="12" customHeight="1">
      <c r="A17" s="19" t="s">
        <v>119</v>
      </c>
      <c r="B17" s="19" t="s">
        <v>255</v>
      </c>
      <c r="C17" t="s">
        <v>214</v>
      </c>
      <c r="D17" s="20" t="s">
        <v>361</v>
      </c>
      <c r="E17" s="20" t="s">
        <v>214</v>
      </c>
      <c r="F17" s="20" t="s">
        <v>360</v>
      </c>
      <c r="G17" s="19" t="s">
        <v>318</v>
      </c>
      <c r="H17"/>
      <c r="I17"/>
      <c r="J17"/>
      <c r="K17"/>
      <c r="L17"/>
      <c r="M17"/>
      <c r="N17"/>
      <c r="O17"/>
      <c r="P17">
        <v>164</v>
      </c>
      <c r="Q17">
        <v>164</v>
      </c>
      <c r="R17" t="s">
        <v>229</v>
      </c>
      <c r="S17" t="s">
        <v>101</v>
      </c>
      <c r="T17" t="s">
        <v>76</v>
      </c>
      <c r="U17" t="s">
        <v>281</v>
      </c>
      <c r="V17" t="s">
        <v>52</v>
      </c>
      <c r="W17" t="s">
        <v>215</v>
      </c>
      <c r="X17" s="20" t="s">
        <v>52</v>
      </c>
      <c r="Y17" t="s">
        <v>352</v>
      </c>
      <c r="Z17" s="20" t="s">
        <v>352</v>
      </c>
      <c r="AA17" s="20" t="s">
        <v>52</v>
      </c>
      <c r="AB17" s="20" t="s">
        <v>352</v>
      </c>
      <c r="AC17" s="20">
        <v>8525185009</v>
      </c>
      <c r="AD17" s="20" t="s">
        <v>396</v>
      </c>
      <c r="AE17" t="s">
        <v>335</v>
      </c>
      <c r="AF17" t="s">
        <v>166</v>
      </c>
      <c r="AG17" t="s">
        <v>215</v>
      </c>
      <c r="AH17" t="s">
        <v>215</v>
      </c>
      <c r="AI17" t="s">
        <v>215</v>
      </c>
      <c r="AJ17" t="s">
        <v>215</v>
      </c>
      <c r="AK17" t="s">
        <v>215</v>
      </c>
      <c r="AL17" s="23" t="s">
        <v>614</v>
      </c>
      <c r="AM17" s="20"/>
      <c r="AN17" s="20"/>
      <c r="AO17" s="20" t="s">
        <v>615</v>
      </c>
      <c r="AP17" s="20"/>
      <c r="AQ17" s="20" t="s">
        <v>616</v>
      </c>
      <c r="AR17" s="20" t="s">
        <v>617</v>
      </c>
      <c r="AS17" s="20" t="s">
        <v>618</v>
      </c>
      <c r="AT17" s="20" t="s">
        <v>618</v>
      </c>
      <c r="AU17" s="20">
        <f t="shared" si="0"/>
        <v>29</v>
      </c>
      <c r="AV17" s="20" t="s">
        <v>619</v>
      </c>
      <c r="AW17" s="20" t="s">
        <v>619</v>
      </c>
      <c r="AX17" s="20" t="s">
        <v>620</v>
      </c>
      <c r="AY17" s="20" t="s">
        <v>620</v>
      </c>
      <c r="AZ17" s="20"/>
      <c r="BA17" s="20"/>
      <c r="BB17" s="20" t="s">
        <v>621</v>
      </c>
      <c r="BC17" s="20"/>
      <c r="BD17" s="20"/>
      <c r="BE17" s="20"/>
      <c r="BF17" s="20" t="s">
        <v>622</v>
      </c>
      <c r="BG17" s="20" t="s">
        <v>623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624</v>
      </c>
      <c r="BR17" s="20" t="s">
        <v>621</v>
      </c>
      <c r="BS17" s="20"/>
      <c r="BT17" s="20"/>
      <c r="BU17" s="20"/>
      <c r="BV17" s="20"/>
      <c r="BW17" s="20"/>
      <c r="BX17" s="20"/>
      <c r="BY17" s="20" t="s">
        <v>625</v>
      </c>
      <c r="BZ17"/>
      <c r="CA17"/>
      <c r="CB17"/>
      <c r="CC17"/>
      <c r="CD17"/>
      <c r="CE17"/>
      <c r="CF17"/>
      <c r="CG17" s="1" t="s">
        <v>869</v>
      </c>
    </row>
    <row r="18" spans="1:85" ht="12" customHeight="1">
      <c r="A18" s="19" t="s">
        <v>119</v>
      </c>
      <c r="B18" s="19" t="s">
        <v>255</v>
      </c>
      <c r="C18" t="s">
        <v>214</v>
      </c>
      <c r="D18" s="20" t="s">
        <v>359</v>
      </c>
      <c r="E18" s="20" t="s">
        <v>214</v>
      </c>
      <c r="F18" s="20" t="s">
        <v>360</v>
      </c>
      <c r="G18" s="19" t="s">
        <v>318</v>
      </c>
      <c r="H18"/>
      <c r="I18"/>
      <c r="J18"/>
      <c r="K18"/>
      <c r="L18"/>
      <c r="M18"/>
      <c r="N18"/>
      <c r="O18"/>
      <c r="P18">
        <v>168</v>
      </c>
      <c r="Q18">
        <v>168</v>
      </c>
      <c r="R18" t="s">
        <v>181</v>
      </c>
      <c r="S18" t="s">
        <v>238</v>
      </c>
      <c r="T18" t="s">
        <v>66</v>
      </c>
      <c r="U18" t="s">
        <v>263</v>
      </c>
      <c r="V18" t="s">
        <v>285</v>
      </c>
      <c r="W18" t="s">
        <v>215</v>
      </c>
      <c r="X18" s="20" t="s">
        <v>364</v>
      </c>
      <c r="Y18" t="s">
        <v>263</v>
      </c>
      <c r="Z18" s="20" t="s">
        <v>263</v>
      </c>
      <c r="AA18" s="20" t="s">
        <v>372</v>
      </c>
      <c r="AB18" s="20" t="s">
        <v>263</v>
      </c>
      <c r="AC18" s="20">
        <v>6118089075</v>
      </c>
      <c r="AD18" s="20" t="s">
        <v>397</v>
      </c>
      <c r="AE18" t="s">
        <v>326</v>
      </c>
      <c r="AF18" t="s">
        <v>141</v>
      </c>
      <c r="AG18" t="s">
        <v>212</v>
      </c>
      <c r="AH18" t="s">
        <v>212</v>
      </c>
      <c r="AI18" t="s">
        <v>185</v>
      </c>
      <c r="AJ18" t="s">
        <v>215</v>
      </c>
      <c r="AK18" t="s">
        <v>63</v>
      </c>
      <c r="AL18" s="23" t="s">
        <v>426</v>
      </c>
      <c r="AM18" s="20"/>
      <c r="AN18" s="25"/>
      <c r="AO18" s="20" t="s">
        <v>626</v>
      </c>
      <c r="AP18" s="20"/>
      <c r="AQ18" s="20" t="s">
        <v>627</v>
      </c>
      <c r="AR18" s="20" t="s">
        <v>628</v>
      </c>
      <c r="AS18" s="20" t="s">
        <v>629</v>
      </c>
      <c r="AT18" s="20" t="s">
        <v>630</v>
      </c>
      <c r="AU18" s="20">
        <f t="shared" si="0"/>
        <v>29</v>
      </c>
      <c r="AV18" s="20" t="s">
        <v>432</v>
      </c>
      <c r="AW18" s="20" t="s">
        <v>432</v>
      </c>
      <c r="AX18" s="20" t="s">
        <v>433</v>
      </c>
      <c r="AY18" s="20" t="s">
        <v>433</v>
      </c>
      <c r="AZ18" s="20" t="s">
        <v>63</v>
      </c>
      <c r="BA18" s="20" t="s">
        <v>63</v>
      </c>
      <c r="BB18" s="20"/>
      <c r="BC18" s="20"/>
      <c r="BD18" s="20"/>
      <c r="BE18" s="20"/>
      <c r="BF18" s="23" t="s">
        <v>631</v>
      </c>
      <c r="BG18" s="23" t="s">
        <v>632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 t="s">
        <v>633</v>
      </c>
      <c r="BS18" s="20" t="s">
        <v>633</v>
      </c>
      <c r="BT18" s="20" t="s">
        <v>443</v>
      </c>
      <c r="BU18" s="20" t="s">
        <v>459</v>
      </c>
      <c r="BV18" s="20" t="s">
        <v>460</v>
      </c>
      <c r="BW18" s="20"/>
      <c r="BX18" s="20"/>
      <c r="BY18" s="20" t="s">
        <v>634</v>
      </c>
      <c r="BZ18"/>
      <c r="CA18"/>
      <c r="CB18"/>
      <c r="CC18"/>
      <c r="CD18"/>
      <c r="CE18"/>
      <c r="CF18"/>
      <c r="CG18" s="1" t="s">
        <v>869</v>
      </c>
    </row>
    <row r="19" spans="1:85" ht="12" customHeight="1">
      <c r="A19" s="19" t="s">
        <v>119</v>
      </c>
      <c r="B19" s="19" t="s">
        <v>255</v>
      </c>
      <c r="C19" t="s">
        <v>214</v>
      </c>
      <c r="D19" s="20" t="s">
        <v>361</v>
      </c>
      <c r="E19" s="20" t="s">
        <v>214</v>
      </c>
      <c r="F19" s="20" t="s">
        <v>360</v>
      </c>
      <c r="G19" s="19" t="s">
        <v>318</v>
      </c>
      <c r="H19"/>
      <c r="I19"/>
      <c r="J19"/>
      <c r="K19"/>
      <c r="L19"/>
      <c r="M19"/>
      <c r="N19"/>
      <c r="O19"/>
      <c r="P19">
        <v>169</v>
      </c>
      <c r="Q19">
        <v>169</v>
      </c>
      <c r="R19" t="s">
        <v>115</v>
      </c>
      <c r="S19" t="s">
        <v>101</v>
      </c>
      <c r="T19" t="s">
        <v>76</v>
      </c>
      <c r="U19" t="s">
        <v>220</v>
      </c>
      <c r="V19" t="s">
        <v>85</v>
      </c>
      <c r="W19" t="s">
        <v>215</v>
      </c>
      <c r="X19" s="20" t="s">
        <v>76</v>
      </c>
      <c r="Y19" t="s">
        <v>220</v>
      </c>
      <c r="Z19" s="20" t="s">
        <v>220</v>
      </c>
      <c r="AA19" s="20" t="s">
        <v>34</v>
      </c>
      <c r="AB19" s="20" t="s">
        <v>220</v>
      </c>
      <c r="AC19" s="20" t="s">
        <v>220</v>
      </c>
      <c r="AD19" s="20" t="s">
        <v>398</v>
      </c>
      <c r="AE19" t="s">
        <v>224</v>
      </c>
      <c r="AF19" t="s">
        <v>307</v>
      </c>
      <c r="AG19" t="s">
        <v>143</v>
      </c>
      <c r="AH19" t="s">
        <v>143</v>
      </c>
      <c r="AI19" t="s">
        <v>168</v>
      </c>
      <c r="AJ19" t="s">
        <v>350</v>
      </c>
      <c r="AK19" t="s">
        <v>34</v>
      </c>
      <c r="AL19" s="23" t="s">
        <v>635</v>
      </c>
      <c r="AM19" s="20" t="s">
        <v>350</v>
      </c>
      <c r="AN19" s="24" t="s">
        <v>636</v>
      </c>
      <c r="AO19" s="20" t="s">
        <v>637</v>
      </c>
      <c r="AP19" s="20"/>
      <c r="AQ19" s="20" t="s">
        <v>638</v>
      </c>
      <c r="AR19" s="20" t="s">
        <v>639</v>
      </c>
      <c r="AS19" s="20" t="s">
        <v>640</v>
      </c>
      <c r="AT19" s="20" t="s">
        <v>641</v>
      </c>
      <c r="AU19" s="20">
        <f t="shared" si="0"/>
        <v>25</v>
      </c>
      <c r="AV19" s="20" t="s">
        <v>642</v>
      </c>
      <c r="AW19" s="20" t="s">
        <v>642</v>
      </c>
      <c r="AX19" s="20" t="s">
        <v>574</v>
      </c>
      <c r="AY19" s="20" t="s">
        <v>574</v>
      </c>
      <c r="AZ19" s="20"/>
      <c r="BA19" s="20"/>
      <c r="BB19" s="20" t="s">
        <v>643</v>
      </c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 t="s">
        <v>644</v>
      </c>
      <c r="BP19" s="20" t="s">
        <v>644</v>
      </c>
      <c r="BQ19" s="20" t="s">
        <v>645</v>
      </c>
      <c r="BR19" s="20" t="s">
        <v>646</v>
      </c>
      <c r="BS19" s="20" t="s">
        <v>647</v>
      </c>
      <c r="BT19" s="20" t="s">
        <v>458</v>
      </c>
      <c r="BU19" s="20" t="s">
        <v>444</v>
      </c>
      <c r="BV19" s="20" t="s">
        <v>460</v>
      </c>
      <c r="BW19" s="20"/>
      <c r="BX19" s="20"/>
      <c r="BY19" s="20" t="s">
        <v>648</v>
      </c>
      <c r="BZ19"/>
      <c r="CA19"/>
      <c r="CB19"/>
      <c r="CC19"/>
      <c r="CD19"/>
      <c r="CE19"/>
      <c r="CF19"/>
      <c r="CG19" s="1" t="s">
        <v>869</v>
      </c>
    </row>
    <row r="20" spans="1:85" ht="12" customHeight="1">
      <c r="A20" s="19" t="s">
        <v>119</v>
      </c>
      <c r="B20" s="19" t="s">
        <v>255</v>
      </c>
      <c r="C20" t="s">
        <v>214</v>
      </c>
      <c r="D20" s="20" t="s">
        <v>361</v>
      </c>
      <c r="E20" s="20" t="s">
        <v>214</v>
      </c>
      <c r="F20" s="20" t="s">
        <v>360</v>
      </c>
      <c r="G20" s="19" t="s">
        <v>318</v>
      </c>
      <c r="H20"/>
      <c r="I20"/>
      <c r="J20"/>
      <c r="K20"/>
      <c r="L20"/>
      <c r="M20"/>
      <c r="N20"/>
      <c r="O20"/>
      <c r="P20">
        <v>170</v>
      </c>
      <c r="Q20">
        <v>170</v>
      </c>
      <c r="R20" t="s">
        <v>230</v>
      </c>
      <c r="S20" t="s">
        <v>101</v>
      </c>
      <c r="T20" t="s">
        <v>76</v>
      </c>
      <c r="U20" t="s">
        <v>55</v>
      </c>
      <c r="V20" t="s">
        <v>85</v>
      </c>
      <c r="W20" t="s">
        <v>215</v>
      </c>
      <c r="X20" s="20" t="s">
        <v>76</v>
      </c>
      <c r="Y20" t="s">
        <v>55</v>
      </c>
      <c r="Z20" s="20" t="s">
        <v>55</v>
      </c>
      <c r="AA20" s="20" t="s">
        <v>34</v>
      </c>
      <c r="AB20" s="20" t="s">
        <v>55</v>
      </c>
      <c r="AC20" s="20" t="s">
        <v>55</v>
      </c>
      <c r="AD20" s="20" t="s">
        <v>399</v>
      </c>
      <c r="AE20" t="s">
        <v>25</v>
      </c>
      <c r="AF20" t="s">
        <v>254</v>
      </c>
      <c r="AG20" t="s">
        <v>132</v>
      </c>
      <c r="AH20" t="s">
        <v>342</v>
      </c>
      <c r="AI20" t="s">
        <v>122</v>
      </c>
      <c r="AJ20" t="s">
        <v>315</v>
      </c>
      <c r="AK20" t="s">
        <v>279</v>
      </c>
      <c r="AL20" s="23" t="s">
        <v>649</v>
      </c>
      <c r="AM20" s="20" t="s">
        <v>315</v>
      </c>
      <c r="AN20" s="24" t="s">
        <v>650</v>
      </c>
      <c r="AO20" s="20" t="s">
        <v>651</v>
      </c>
      <c r="AP20" s="20"/>
      <c r="AQ20" s="20" t="s">
        <v>652</v>
      </c>
      <c r="AR20" s="20" t="s">
        <v>653</v>
      </c>
      <c r="AS20" s="20" t="s">
        <v>654</v>
      </c>
      <c r="AT20" s="20" t="s">
        <v>655</v>
      </c>
      <c r="AU20" s="20">
        <f t="shared" si="0"/>
        <v>30</v>
      </c>
      <c r="AV20" s="20" t="s">
        <v>656</v>
      </c>
      <c r="AW20" s="20" t="s">
        <v>656</v>
      </c>
      <c r="AX20" s="20" t="s">
        <v>657</v>
      </c>
      <c r="AY20" s="20" t="s">
        <v>657</v>
      </c>
      <c r="AZ20" s="20" t="s">
        <v>279</v>
      </c>
      <c r="BA20" s="20" t="s">
        <v>279</v>
      </c>
      <c r="BB20" s="20"/>
      <c r="BC20" s="20"/>
      <c r="BD20" s="20"/>
      <c r="BE20" s="20"/>
      <c r="BF20" s="20" t="s">
        <v>658</v>
      </c>
      <c r="BG20" s="20" t="s">
        <v>659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 t="s">
        <v>660</v>
      </c>
      <c r="BS20" s="20" t="s">
        <v>660</v>
      </c>
      <c r="BT20" s="20" t="s">
        <v>443</v>
      </c>
      <c r="BU20" s="20" t="s">
        <v>459</v>
      </c>
      <c r="BV20" s="20"/>
      <c r="BW20" s="20"/>
      <c r="BX20" s="20"/>
      <c r="BY20" s="20" t="s">
        <v>661</v>
      </c>
      <c r="BZ20"/>
      <c r="CA20"/>
      <c r="CB20"/>
      <c r="CC20"/>
      <c r="CD20"/>
      <c r="CE20"/>
      <c r="CF20"/>
      <c r="CG20" s="1" t="s">
        <v>869</v>
      </c>
    </row>
    <row r="21" spans="1:85" ht="12" customHeight="1">
      <c r="A21" s="19" t="s">
        <v>119</v>
      </c>
      <c r="B21" s="19" t="s">
        <v>255</v>
      </c>
      <c r="C21" t="s">
        <v>214</v>
      </c>
      <c r="D21" s="20" t="s">
        <v>361</v>
      </c>
      <c r="E21" s="20" t="s">
        <v>214</v>
      </c>
      <c r="F21" s="20" t="s">
        <v>360</v>
      </c>
      <c r="G21" s="19" t="s">
        <v>318</v>
      </c>
      <c r="H21"/>
      <c r="I21"/>
      <c r="J21"/>
      <c r="K21"/>
      <c r="L21"/>
      <c r="M21"/>
      <c r="N21"/>
      <c r="O21"/>
      <c r="P21">
        <v>195</v>
      </c>
      <c r="Q21">
        <v>195</v>
      </c>
      <c r="R21" t="s">
        <v>61</v>
      </c>
      <c r="S21" t="s">
        <v>86</v>
      </c>
      <c r="T21" t="s">
        <v>154</v>
      </c>
      <c r="U21" t="s">
        <v>261</v>
      </c>
      <c r="V21" t="s">
        <v>222</v>
      </c>
      <c r="W21" t="s">
        <v>215</v>
      </c>
      <c r="X21" s="20" t="s">
        <v>365</v>
      </c>
      <c r="Y21" t="s">
        <v>261</v>
      </c>
      <c r="Z21" s="20" t="s">
        <v>261</v>
      </c>
      <c r="AA21" s="20" t="s">
        <v>222</v>
      </c>
      <c r="AB21" s="20" t="s">
        <v>261</v>
      </c>
      <c r="AC21" s="20" t="s">
        <v>261</v>
      </c>
      <c r="AD21" s="20" t="s">
        <v>400</v>
      </c>
      <c r="AE21" t="s">
        <v>70</v>
      </c>
      <c r="AF21" t="s">
        <v>293</v>
      </c>
      <c r="AG21" t="s">
        <v>213</v>
      </c>
      <c r="AH21" t="s">
        <v>339</v>
      </c>
      <c r="AI21" t="s">
        <v>33</v>
      </c>
      <c r="AJ21" t="s">
        <v>84</v>
      </c>
      <c r="AK21" t="s">
        <v>222</v>
      </c>
      <c r="AL21" s="23" t="s">
        <v>446</v>
      </c>
      <c r="AM21" s="20" t="s">
        <v>84</v>
      </c>
      <c r="AN21" s="27" t="s">
        <v>447</v>
      </c>
      <c r="AO21" s="20" t="s">
        <v>662</v>
      </c>
      <c r="AP21" s="20"/>
      <c r="AQ21" s="23" t="s">
        <v>663</v>
      </c>
      <c r="AR21" s="23" t="s">
        <v>664</v>
      </c>
      <c r="AS21" s="20" t="s">
        <v>665</v>
      </c>
      <c r="AT21" s="20" t="s">
        <v>666</v>
      </c>
      <c r="AU21" s="20">
        <f t="shared" si="0"/>
        <v>29</v>
      </c>
      <c r="AV21" s="23" t="s">
        <v>453</v>
      </c>
      <c r="AW21" s="23" t="s">
        <v>453</v>
      </c>
      <c r="AX21" s="23" t="s">
        <v>454</v>
      </c>
      <c r="AY21" s="23" t="s">
        <v>454</v>
      </c>
      <c r="AZ21" s="20"/>
      <c r="BA21" s="20"/>
      <c r="BB21" s="20"/>
      <c r="BC21" s="20" t="s">
        <v>667</v>
      </c>
      <c r="BD21" s="20" t="s">
        <v>667</v>
      </c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 t="s">
        <v>456</v>
      </c>
      <c r="BP21" s="20" t="s">
        <v>456</v>
      </c>
      <c r="BQ21" s="20"/>
      <c r="BR21" s="20" t="s">
        <v>457</v>
      </c>
      <c r="BS21" s="20" t="s">
        <v>457</v>
      </c>
      <c r="BT21" s="20" t="s">
        <v>458</v>
      </c>
      <c r="BU21" s="20" t="s">
        <v>459</v>
      </c>
      <c r="BV21" s="20" t="s">
        <v>460</v>
      </c>
      <c r="BW21" s="20"/>
      <c r="BX21" s="20"/>
      <c r="BY21" s="20" t="s">
        <v>668</v>
      </c>
      <c r="BZ21"/>
      <c r="CA21"/>
      <c r="CB21"/>
      <c r="CC21"/>
      <c r="CD21"/>
      <c r="CE21"/>
      <c r="CF21"/>
      <c r="CG21" s="1" t="s">
        <v>869</v>
      </c>
    </row>
    <row r="22" spans="1:85" ht="12" customHeight="1">
      <c r="A22" s="19" t="s">
        <v>119</v>
      </c>
      <c r="B22" s="19" t="s">
        <v>255</v>
      </c>
      <c r="C22" t="s">
        <v>214</v>
      </c>
      <c r="D22" s="20" t="s">
        <v>361</v>
      </c>
      <c r="E22" s="20" t="s">
        <v>214</v>
      </c>
      <c r="F22" s="20" t="s">
        <v>360</v>
      </c>
      <c r="G22" s="19" t="s">
        <v>318</v>
      </c>
      <c r="H22"/>
      <c r="I22"/>
      <c r="J22"/>
      <c r="K22"/>
      <c r="L22"/>
      <c r="M22"/>
      <c r="N22"/>
      <c r="O22"/>
      <c r="P22">
        <v>196</v>
      </c>
      <c r="Q22">
        <v>196</v>
      </c>
      <c r="R22" t="s">
        <v>149</v>
      </c>
      <c r="S22" t="s">
        <v>101</v>
      </c>
      <c r="T22" t="s">
        <v>76</v>
      </c>
      <c r="U22" t="s">
        <v>269</v>
      </c>
      <c r="V22" t="s">
        <v>52</v>
      </c>
      <c r="W22" t="s">
        <v>215</v>
      </c>
      <c r="X22" s="20" t="s">
        <v>52</v>
      </c>
      <c r="Y22" t="s">
        <v>267</v>
      </c>
      <c r="Z22" s="20" t="s">
        <v>267</v>
      </c>
      <c r="AA22" s="20" t="s">
        <v>52</v>
      </c>
      <c r="AB22" s="20" t="s">
        <v>267</v>
      </c>
      <c r="AC22" s="20">
        <v>8525185011</v>
      </c>
      <c r="AD22" s="20" t="s">
        <v>401</v>
      </c>
      <c r="AE22" t="s">
        <v>161</v>
      </c>
      <c r="AF22" t="s">
        <v>127</v>
      </c>
      <c r="AG22" t="s">
        <v>64</v>
      </c>
      <c r="AH22" t="s">
        <v>215</v>
      </c>
      <c r="AI22" t="s">
        <v>171</v>
      </c>
      <c r="AJ22" t="s">
        <v>215</v>
      </c>
      <c r="AK22" t="s">
        <v>215</v>
      </c>
      <c r="AL22" s="23" t="s">
        <v>614</v>
      </c>
      <c r="AM22" s="20"/>
      <c r="AN22" s="20"/>
      <c r="AO22" s="20" t="s">
        <v>669</v>
      </c>
      <c r="AP22" s="20"/>
      <c r="AQ22" s="20" t="s">
        <v>670</v>
      </c>
      <c r="AR22" s="20" t="s">
        <v>671</v>
      </c>
      <c r="AS22" s="20" t="s">
        <v>672</v>
      </c>
      <c r="AT22" s="20" t="s">
        <v>673</v>
      </c>
      <c r="AU22" s="20">
        <f t="shared" si="0"/>
        <v>30</v>
      </c>
      <c r="AV22" s="20" t="s">
        <v>619</v>
      </c>
      <c r="AW22" s="20" t="s">
        <v>619</v>
      </c>
      <c r="AX22" s="20" t="s">
        <v>620</v>
      </c>
      <c r="AY22" s="20" t="s">
        <v>620</v>
      </c>
      <c r="AZ22" s="20"/>
      <c r="BA22" s="20"/>
      <c r="BB22" s="20" t="s">
        <v>621</v>
      </c>
      <c r="BC22" s="20"/>
      <c r="BD22" s="20"/>
      <c r="BE22" s="20"/>
      <c r="BF22" s="20" t="s">
        <v>674</v>
      </c>
      <c r="BG22" s="20" t="s">
        <v>675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624</v>
      </c>
      <c r="BR22" s="20" t="s">
        <v>676</v>
      </c>
      <c r="BS22" s="20"/>
      <c r="BT22" s="20"/>
      <c r="BU22" s="20"/>
      <c r="BV22" s="20"/>
      <c r="BW22" s="20"/>
      <c r="BX22" s="20"/>
      <c r="BY22" s="20" t="s">
        <v>677</v>
      </c>
      <c r="BZ22"/>
      <c r="CA22"/>
      <c r="CB22"/>
      <c r="CC22"/>
      <c r="CD22"/>
      <c r="CE22"/>
      <c r="CF22"/>
      <c r="CG22" s="1" t="s">
        <v>869</v>
      </c>
    </row>
    <row r="23" spans="1:85" ht="12" customHeight="1">
      <c r="A23" s="19" t="s">
        <v>119</v>
      </c>
      <c r="B23" s="19" t="s">
        <v>255</v>
      </c>
      <c r="C23" t="s">
        <v>214</v>
      </c>
      <c r="D23" s="20" t="s">
        <v>363</v>
      </c>
      <c r="E23" s="20" t="s">
        <v>214</v>
      </c>
      <c r="F23" s="20" t="s">
        <v>360</v>
      </c>
      <c r="G23" s="19" t="s">
        <v>318</v>
      </c>
      <c r="H23"/>
      <c r="I23"/>
      <c r="J23"/>
      <c r="K23"/>
      <c r="L23"/>
      <c r="M23"/>
      <c r="N23"/>
      <c r="O23"/>
      <c r="P23">
        <v>197</v>
      </c>
      <c r="Q23">
        <v>197</v>
      </c>
      <c r="R23" t="s">
        <v>283</v>
      </c>
      <c r="S23" t="s">
        <v>101</v>
      </c>
      <c r="T23" t="s">
        <v>76</v>
      </c>
      <c r="U23" t="s">
        <v>116</v>
      </c>
      <c r="V23" t="s">
        <v>117</v>
      </c>
      <c r="W23" t="s">
        <v>215</v>
      </c>
      <c r="X23" s="20" t="s">
        <v>117</v>
      </c>
      <c r="Y23" t="s">
        <v>163</v>
      </c>
      <c r="Z23" s="20" t="s">
        <v>163</v>
      </c>
      <c r="AA23" s="20" t="s">
        <v>117</v>
      </c>
      <c r="AB23" s="20" t="s">
        <v>163</v>
      </c>
      <c r="AC23" s="20" t="s">
        <v>402</v>
      </c>
      <c r="AD23" s="20" t="s">
        <v>403</v>
      </c>
      <c r="AE23" t="s">
        <v>216</v>
      </c>
      <c r="AF23" t="s">
        <v>147</v>
      </c>
      <c r="AG23" t="s">
        <v>215</v>
      </c>
      <c r="AH23" t="s">
        <v>215</v>
      </c>
      <c r="AI23" t="s">
        <v>215</v>
      </c>
      <c r="AJ23" t="s">
        <v>215</v>
      </c>
      <c r="AK23" t="s">
        <v>215</v>
      </c>
      <c r="AL23" s="23" t="s">
        <v>678</v>
      </c>
      <c r="AM23" s="20"/>
      <c r="AN23" s="20"/>
      <c r="AO23" s="20" t="s">
        <v>216</v>
      </c>
      <c r="AP23" s="20"/>
      <c r="AQ23" s="20" t="s">
        <v>679</v>
      </c>
      <c r="AR23" s="20" t="s">
        <v>680</v>
      </c>
      <c r="AS23" s="20" t="s">
        <v>681</v>
      </c>
      <c r="AT23" s="20" t="s">
        <v>681</v>
      </c>
      <c r="AU23" s="20">
        <f t="shared" si="0"/>
        <v>24</v>
      </c>
      <c r="AV23" s="20" t="s">
        <v>682</v>
      </c>
      <c r="AW23" s="20" t="s">
        <v>682</v>
      </c>
      <c r="AX23" s="20" t="s">
        <v>683</v>
      </c>
      <c r="AY23" s="20" t="s">
        <v>683</v>
      </c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 t="s">
        <v>684</v>
      </c>
      <c r="BN23" s="20" t="s">
        <v>684</v>
      </c>
      <c r="BO23" s="20"/>
      <c r="BP23" s="20"/>
      <c r="BQ23" s="20" t="s">
        <v>685</v>
      </c>
      <c r="BR23" s="20" t="s">
        <v>686</v>
      </c>
      <c r="BS23" s="20" t="s">
        <v>686</v>
      </c>
      <c r="BT23" s="20"/>
      <c r="BU23" s="20"/>
      <c r="BV23" s="20"/>
      <c r="BW23" s="20"/>
      <c r="BX23" s="20"/>
      <c r="BY23" s="20" t="s">
        <v>485</v>
      </c>
      <c r="BZ23"/>
      <c r="CA23"/>
      <c r="CB23"/>
      <c r="CC23"/>
      <c r="CD23"/>
      <c r="CE23"/>
      <c r="CF23"/>
      <c r="CG23" s="1" t="s">
        <v>869</v>
      </c>
    </row>
    <row r="24" spans="1:85" ht="12" customHeight="1">
      <c r="A24" s="19" t="s">
        <v>119</v>
      </c>
      <c r="B24" s="19" t="s">
        <v>255</v>
      </c>
      <c r="C24" t="s">
        <v>214</v>
      </c>
      <c r="D24" s="20" t="s">
        <v>361</v>
      </c>
      <c r="E24" s="20" t="s">
        <v>214</v>
      </c>
      <c r="F24" s="20" t="s">
        <v>360</v>
      </c>
      <c r="G24" s="19" t="s">
        <v>318</v>
      </c>
      <c r="H24"/>
      <c r="I24"/>
      <c r="J24"/>
      <c r="K24"/>
      <c r="L24"/>
      <c r="M24"/>
      <c r="N24"/>
      <c r="O24"/>
      <c r="P24">
        <v>204</v>
      </c>
      <c r="Q24">
        <v>204</v>
      </c>
      <c r="R24" t="s">
        <v>234</v>
      </c>
      <c r="S24" t="s">
        <v>101</v>
      </c>
      <c r="T24" t="s">
        <v>76</v>
      </c>
      <c r="U24" t="s">
        <v>310</v>
      </c>
      <c r="V24" t="s">
        <v>94</v>
      </c>
      <c r="W24" t="s">
        <v>215</v>
      </c>
      <c r="X24" s="20" t="s">
        <v>368</v>
      </c>
      <c r="Y24" t="s">
        <v>165</v>
      </c>
      <c r="Z24" s="20" t="s">
        <v>165</v>
      </c>
      <c r="AA24" s="20" t="s">
        <v>404</v>
      </c>
      <c r="AB24" s="20" t="s">
        <v>165</v>
      </c>
      <c r="AC24" s="20">
        <v>30414058</v>
      </c>
      <c r="AD24" s="20" t="s">
        <v>405</v>
      </c>
      <c r="AE24" t="s">
        <v>106</v>
      </c>
      <c r="AF24" t="s">
        <v>256</v>
      </c>
      <c r="AG24" t="s">
        <v>170</v>
      </c>
      <c r="AH24" t="s">
        <v>215</v>
      </c>
      <c r="AI24" t="s">
        <v>266</v>
      </c>
      <c r="AJ24" t="s">
        <v>215</v>
      </c>
      <c r="AK24" t="s">
        <v>28</v>
      </c>
      <c r="AL24" s="23" t="s">
        <v>687</v>
      </c>
      <c r="AM24" s="20"/>
      <c r="AN24" s="20"/>
      <c r="AO24" s="20" t="s">
        <v>688</v>
      </c>
      <c r="AP24" s="20"/>
      <c r="AQ24" s="20" t="s">
        <v>689</v>
      </c>
      <c r="AR24" s="20" t="s">
        <v>690</v>
      </c>
      <c r="AS24" s="20" t="s">
        <v>691</v>
      </c>
      <c r="AT24" s="20" t="s">
        <v>692</v>
      </c>
      <c r="AU24" s="20">
        <f t="shared" si="0"/>
        <v>27</v>
      </c>
      <c r="AV24" s="20" t="s">
        <v>693</v>
      </c>
      <c r="AW24" s="20" t="s">
        <v>693</v>
      </c>
      <c r="AX24" s="20" t="s">
        <v>574</v>
      </c>
      <c r="AY24" s="20" t="s">
        <v>574</v>
      </c>
      <c r="AZ24" s="20"/>
      <c r="BA24" s="20"/>
      <c r="BB24" s="20" t="s">
        <v>694</v>
      </c>
      <c r="BC24" s="20"/>
      <c r="BD24" s="20"/>
      <c r="BE24" s="20"/>
      <c r="BF24" s="20" t="s">
        <v>695</v>
      </c>
      <c r="BG24" s="20" t="s">
        <v>696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 t="s">
        <v>697</v>
      </c>
      <c r="BS24" s="20" t="s">
        <v>698</v>
      </c>
      <c r="BT24" s="20" t="s">
        <v>443</v>
      </c>
      <c r="BU24" s="20" t="s">
        <v>444</v>
      </c>
      <c r="BV24" s="20"/>
      <c r="BW24" s="20"/>
      <c r="BX24" s="20"/>
      <c r="BY24" s="20" t="s">
        <v>699</v>
      </c>
      <c r="BZ24"/>
      <c r="CA24"/>
      <c r="CB24"/>
      <c r="CC24"/>
      <c r="CD24"/>
      <c r="CE24"/>
      <c r="CF24"/>
      <c r="CG24" s="1" t="s">
        <v>869</v>
      </c>
    </row>
    <row r="25" spans="1:85" ht="12" customHeight="1">
      <c r="A25" s="19" t="s">
        <v>119</v>
      </c>
      <c r="B25" s="19" t="s">
        <v>255</v>
      </c>
      <c r="C25" t="s">
        <v>214</v>
      </c>
      <c r="D25" s="20" t="s">
        <v>361</v>
      </c>
      <c r="E25" s="20" t="s">
        <v>214</v>
      </c>
      <c r="F25" s="20" t="s">
        <v>360</v>
      </c>
      <c r="G25" s="19" t="s">
        <v>318</v>
      </c>
      <c r="H25"/>
      <c r="I25"/>
      <c r="J25"/>
      <c r="K25"/>
      <c r="L25"/>
      <c r="M25"/>
      <c r="N25"/>
      <c r="O25"/>
      <c r="P25">
        <v>240</v>
      </c>
      <c r="Q25">
        <v>240</v>
      </c>
      <c r="R25" t="s">
        <v>23</v>
      </c>
      <c r="S25" t="s">
        <v>101</v>
      </c>
      <c r="T25" t="s">
        <v>76</v>
      </c>
      <c r="U25" t="s">
        <v>104</v>
      </c>
      <c r="V25" t="s">
        <v>226</v>
      </c>
      <c r="W25" t="s">
        <v>38</v>
      </c>
      <c r="X25" s="20" t="s">
        <v>369</v>
      </c>
      <c r="Y25" t="s">
        <v>4</v>
      </c>
      <c r="Z25" s="20" t="s">
        <v>4</v>
      </c>
      <c r="AA25" s="20" t="s">
        <v>406</v>
      </c>
      <c r="AB25" s="20" t="s">
        <v>4</v>
      </c>
      <c r="AC25" s="20" t="s">
        <v>4</v>
      </c>
      <c r="AD25" s="22" t="s">
        <v>407</v>
      </c>
      <c r="AE25" t="s">
        <v>197</v>
      </c>
      <c r="AF25" t="s">
        <v>175</v>
      </c>
      <c r="AG25" t="s">
        <v>45</v>
      </c>
      <c r="AH25" t="s">
        <v>45</v>
      </c>
      <c r="AI25" t="s">
        <v>321</v>
      </c>
      <c r="AJ25" t="s">
        <v>215</v>
      </c>
      <c r="AK25" t="s">
        <v>118</v>
      </c>
      <c r="AL25" s="23" t="s">
        <v>700</v>
      </c>
      <c r="AM25" s="20"/>
      <c r="AN25" s="20"/>
      <c r="AO25" s="20" t="s">
        <v>701</v>
      </c>
      <c r="AP25" s="20"/>
      <c r="AQ25" s="20" t="s">
        <v>702</v>
      </c>
      <c r="AR25" s="20" t="s">
        <v>703</v>
      </c>
      <c r="AS25" s="20" t="s">
        <v>704</v>
      </c>
      <c r="AT25" s="20" t="s">
        <v>704</v>
      </c>
      <c r="AU25" s="20">
        <f t="shared" si="0"/>
        <v>29</v>
      </c>
      <c r="AV25" s="20" t="s">
        <v>705</v>
      </c>
      <c r="AW25" s="20" t="s">
        <v>705</v>
      </c>
      <c r="AX25" s="20" t="s">
        <v>706</v>
      </c>
      <c r="AY25" s="20" t="s">
        <v>706</v>
      </c>
      <c r="AZ25" s="20" t="s">
        <v>118</v>
      </c>
      <c r="BA25" s="20" t="s">
        <v>118</v>
      </c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707</v>
      </c>
      <c r="BR25" s="20" t="s">
        <v>708</v>
      </c>
      <c r="BS25" s="20" t="s">
        <v>708</v>
      </c>
      <c r="BT25" s="20"/>
      <c r="BU25" s="20"/>
      <c r="BV25" s="20"/>
      <c r="BW25" s="20"/>
      <c r="BX25" s="20"/>
      <c r="BY25" s="20" t="s">
        <v>709</v>
      </c>
      <c r="BZ25"/>
      <c r="CA25"/>
      <c r="CB25"/>
      <c r="CC25"/>
      <c r="CD25"/>
      <c r="CE25"/>
      <c r="CF25"/>
      <c r="CG25" s="1" t="s">
        <v>869</v>
      </c>
    </row>
    <row r="26" spans="1:85" ht="12" customHeight="1">
      <c r="A26" s="19" t="s">
        <v>119</v>
      </c>
      <c r="B26" s="19" t="s">
        <v>255</v>
      </c>
      <c r="C26" t="s">
        <v>214</v>
      </c>
      <c r="D26" s="20" t="s">
        <v>359</v>
      </c>
      <c r="E26" s="20" t="s">
        <v>214</v>
      </c>
      <c r="F26" s="20" t="s">
        <v>360</v>
      </c>
      <c r="G26" s="19" t="s">
        <v>318</v>
      </c>
      <c r="H26"/>
      <c r="I26"/>
      <c r="J26"/>
      <c r="K26"/>
      <c r="L26"/>
      <c r="M26"/>
      <c r="N26"/>
      <c r="O26"/>
      <c r="P26">
        <v>241</v>
      </c>
      <c r="Q26">
        <v>241</v>
      </c>
      <c r="R26" t="s">
        <v>140</v>
      </c>
      <c r="S26" t="s">
        <v>101</v>
      </c>
      <c r="T26" t="s">
        <v>76</v>
      </c>
      <c r="U26" t="s">
        <v>134</v>
      </c>
      <c r="V26" t="s">
        <v>203</v>
      </c>
      <c r="W26" t="s">
        <v>215</v>
      </c>
      <c r="X26" s="20" t="s">
        <v>370</v>
      </c>
      <c r="Y26" t="s">
        <v>90</v>
      </c>
      <c r="Z26" s="20" t="s">
        <v>90</v>
      </c>
      <c r="AA26" s="20" t="s">
        <v>203</v>
      </c>
      <c r="AB26" s="20" t="s">
        <v>90</v>
      </c>
      <c r="AC26" s="20" t="s">
        <v>90</v>
      </c>
      <c r="AD26" s="20" t="s">
        <v>408</v>
      </c>
      <c r="AE26" t="s">
        <v>208</v>
      </c>
      <c r="AF26" t="s">
        <v>245</v>
      </c>
      <c r="AG26" t="s">
        <v>351</v>
      </c>
      <c r="AH26" t="s">
        <v>215</v>
      </c>
      <c r="AI26" t="s">
        <v>291</v>
      </c>
      <c r="AJ26" t="s">
        <v>215</v>
      </c>
      <c r="AK26" t="s">
        <v>215</v>
      </c>
      <c r="AL26" s="23" t="s">
        <v>710</v>
      </c>
      <c r="AM26" s="20"/>
      <c r="AN26" s="20"/>
      <c r="AO26" s="20" t="s">
        <v>711</v>
      </c>
      <c r="AP26" s="20"/>
      <c r="AQ26" s="23" t="s">
        <v>712</v>
      </c>
      <c r="AR26" s="20" t="s">
        <v>713</v>
      </c>
      <c r="AS26" s="20" t="s">
        <v>714</v>
      </c>
      <c r="AT26" s="20" t="s">
        <v>715</v>
      </c>
      <c r="AU26" s="20">
        <f t="shared" si="0"/>
        <v>29</v>
      </c>
      <c r="AV26" s="20" t="s">
        <v>716</v>
      </c>
      <c r="AW26" s="23" t="s">
        <v>716</v>
      </c>
      <c r="AX26" s="23" t="s">
        <v>717</v>
      </c>
      <c r="AY26" s="23" t="s">
        <v>717</v>
      </c>
      <c r="AZ26" s="20" t="s">
        <v>718</v>
      </c>
      <c r="BA26" s="20" t="s">
        <v>718</v>
      </c>
      <c r="BB26" s="20"/>
      <c r="BC26" s="20"/>
      <c r="BD26" s="20"/>
      <c r="BE26" s="20"/>
      <c r="BF26" s="20" t="s">
        <v>719</v>
      </c>
      <c r="BG26" s="20" t="s">
        <v>720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 t="s">
        <v>721</v>
      </c>
      <c r="BS26" s="20" t="s">
        <v>721</v>
      </c>
      <c r="BT26" s="20"/>
      <c r="BU26" s="20"/>
      <c r="BV26" s="20"/>
      <c r="BW26" s="20"/>
      <c r="BX26" s="20" t="s">
        <v>722</v>
      </c>
      <c r="BY26" s="20" t="s">
        <v>723</v>
      </c>
      <c r="BZ26"/>
      <c r="CA26"/>
      <c r="CB26"/>
      <c r="CC26"/>
      <c r="CD26"/>
      <c r="CE26"/>
      <c r="CF26"/>
      <c r="CG26" s="1" t="s">
        <v>869</v>
      </c>
    </row>
    <row r="27" spans="1:85" ht="12" customHeight="1">
      <c r="A27" s="19" t="s">
        <v>119</v>
      </c>
      <c r="B27" s="19" t="s">
        <v>255</v>
      </c>
      <c r="C27" t="s">
        <v>214</v>
      </c>
      <c r="D27" s="20" t="s">
        <v>361</v>
      </c>
      <c r="E27" s="20" t="s">
        <v>214</v>
      </c>
      <c r="F27" s="20" t="s">
        <v>360</v>
      </c>
      <c r="G27" s="19" t="s">
        <v>318</v>
      </c>
      <c r="H27"/>
      <c r="I27"/>
      <c r="J27"/>
      <c r="K27"/>
      <c r="L27"/>
      <c r="M27"/>
      <c r="N27"/>
      <c r="O27"/>
      <c r="P27">
        <v>242</v>
      </c>
      <c r="Q27">
        <v>242</v>
      </c>
      <c r="R27" t="s">
        <v>72</v>
      </c>
      <c r="S27" t="s">
        <v>101</v>
      </c>
      <c r="T27" t="s">
        <v>76</v>
      </c>
      <c r="U27" t="s">
        <v>159</v>
      </c>
      <c r="V27" t="s">
        <v>52</v>
      </c>
      <c r="W27" t="s">
        <v>215</v>
      </c>
      <c r="X27" s="20" t="s">
        <v>52</v>
      </c>
      <c r="Y27" t="s">
        <v>268</v>
      </c>
      <c r="Z27" s="20" t="s">
        <v>268</v>
      </c>
      <c r="AA27" s="20" t="s">
        <v>52</v>
      </c>
      <c r="AB27" s="20" t="s">
        <v>268</v>
      </c>
      <c r="AC27" s="20">
        <v>8525185010</v>
      </c>
      <c r="AD27" s="20" t="s">
        <v>409</v>
      </c>
      <c r="AE27" t="s">
        <v>198</v>
      </c>
      <c r="AF27" t="s">
        <v>41</v>
      </c>
      <c r="AG27" t="s">
        <v>190</v>
      </c>
      <c r="AH27" t="s">
        <v>215</v>
      </c>
      <c r="AI27" t="s">
        <v>331</v>
      </c>
      <c r="AJ27" t="s">
        <v>215</v>
      </c>
      <c r="AK27" t="s">
        <v>215</v>
      </c>
      <c r="AL27" s="23" t="s">
        <v>614</v>
      </c>
      <c r="AM27" s="20"/>
      <c r="AN27" s="20"/>
      <c r="AO27" s="20" t="s">
        <v>724</v>
      </c>
      <c r="AP27" s="20"/>
      <c r="AQ27" s="20" t="s">
        <v>725</v>
      </c>
      <c r="AR27" s="20" t="s">
        <v>726</v>
      </c>
      <c r="AS27" s="20" t="s">
        <v>727</v>
      </c>
      <c r="AT27" s="20" t="s">
        <v>727</v>
      </c>
      <c r="AU27" s="20">
        <f t="shared" si="0"/>
        <v>30</v>
      </c>
      <c r="AV27" s="20" t="s">
        <v>619</v>
      </c>
      <c r="AW27" s="20" t="s">
        <v>619</v>
      </c>
      <c r="AX27" s="20" t="s">
        <v>620</v>
      </c>
      <c r="AY27" s="20" t="s">
        <v>620</v>
      </c>
      <c r="AZ27" s="20"/>
      <c r="BA27" s="20"/>
      <c r="BB27" s="20" t="s">
        <v>621</v>
      </c>
      <c r="BC27" s="20"/>
      <c r="BD27" s="20"/>
      <c r="BE27" s="20"/>
      <c r="BF27" s="20" t="s">
        <v>728</v>
      </c>
      <c r="BG27" s="20" t="s">
        <v>729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624</v>
      </c>
      <c r="BR27" s="20" t="s">
        <v>621</v>
      </c>
      <c r="BS27" s="20"/>
      <c r="BT27" s="20"/>
      <c r="BU27" s="20"/>
      <c r="BV27" s="20"/>
      <c r="BW27" s="20"/>
      <c r="BX27" s="20"/>
      <c r="BY27" s="20" t="s">
        <v>730</v>
      </c>
      <c r="BZ27"/>
      <c r="CA27"/>
      <c r="CB27"/>
      <c r="CC27"/>
      <c r="CD27"/>
      <c r="CE27"/>
      <c r="CF27"/>
      <c r="CG27" s="1" t="s">
        <v>869</v>
      </c>
    </row>
    <row r="28" spans="1:85" ht="12" customHeight="1">
      <c r="A28" s="19" t="s">
        <v>119</v>
      </c>
      <c r="B28" s="19" t="s">
        <v>255</v>
      </c>
      <c r="C28" t="s">
        <v>214</v>
      </c>
      <c r="D28" s="20" t="s">
        <v>361</v>
      </c>
      <c r="E28" s="20" t="s">
        <v>214</v>
      </c>
      <c r="F28" s="20" t="s">
        <v>360</v>
      </c>
      <c r="G28" s="19" t="s">
        <v>318</v>
      </c>
      <c r="H28"/>
      <c r="I28"/>
      <c r="J28"/>
      <c r="K28"/>
      <c r="L28"/>
      <c r="M28"/>
      <c r="N28"/>
      <c r="O28"/>
      <c r="P28">
        <v>243</v>
      </c>
      <c r="Q28">
        <v>243</v>
      </c>
      <c r="R28" t="s">
        <v>183</v>
      </c>
      <c r="S28" t="s">
        <v>101</v>
      </c>
      <c r="T28" t="s">
        <v>76</v>
      </c>
      <c r="U28" t="s">
        <v>217</v>
      </c>
      <c r="V28" t="s">
        <v>311</v>
      </c>
      <c r="W28" t="s">
        <v>215</v>
      </c>
      <c r="X28" s="20" t="s">
        <v>311</v>
      </c>
      <c r="Y28" t="s">
        <v>237</v>
      </c>
      <c r="Z28" s="20" t="s">
        <v>237</v>
      </c>
      <c r="AA28" s="20" t="s">
        <v>410</v>
      </c>
      <c r="AB28" s="20" t="s">
        <v>237</v>
      </c>
      <c r="AC28" s="20" t="s">
        <v>237</v>
      </c>
      <c r="AD28" s="20" t="s">
        <v>411</v>
      </c>
      <c r="AE28" t="s">
        <v>69</v>
      </c>
      <c r="AF28" t="s">
        <v>244</v>
      </c>
      <c r="AG28" t="s">
        <v>215</v>
      </c>
      <c r="AH28" t="s">
        <v>215</v>
      </c>
      <c r="AI28" t="s">
        <v>215</v>
      </c>
      <c r="AJ28" t="s">
        <v>215</v>
      </c>
      <c r="AK28" t="s">
        <v>215</v>
      </c>
      <c r="AL28" s="23" t="s">
        <v>731</v>
      </c>
      <c r="AM28" s="20"/>
      <c r="AN28" s="20"/>
      <c r="AO28" s="20" t="s">
        <v>732</v>
      </c>
      <c r="AP28" s="20"/>
      <c r="AQ28" s="20" t="s">
        <v>733</v>
      </c>
      <c r="AR28" s="20" t="s">
        <v>734</v>
      </c>
      <c r="AS28" s="20" t="s">
        <v>735</v>
      </c>
      <c r="AT28" s="20" t="s">
        <v>735</v>
      </c>
      <c r="AU28" s="20">
        <f t="shared" si="0"/>
        <v>24</v>
      </c>
      <c r="AV28" s="20" t="s">
        <v>736</v>
      </c>
      <c r="AW28" s="20" t="s">
        <v>736</v>
      </c>
      <c r="AX28" s="20" t="s">
        <v>737</v>
      </c>
      <c r="AY28" s="20" t="s">
        <v>737</v>
      </c>
      <c r="AZ28" s="20" t="s">
        <v>738</v>
      </c>
      <c r="BA28" s="20" t="s">
        <v>738</v>
      </c>
      <c r="BB28" s="20"/>
      <c r="BC28" s="20" t="s">
        <v>739</v>
      </c>
      <c r="BD28" s="20"/>
      <c r="BE28" s="20" t="s">
        <v>739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 t="s">
        <v>740</v>
      </c>
      <c r="BS28" s="20" t="s">
        <v>740</v>
      </c>
      <c r="BT28" s="20"/>
      <c r="BU28" s="20"/>
      <c r="BV28" s="20"/>
      <c r="BW28" s="20"/>
      <c r="BX28" s="20"/>
      <c r="BY28" s="20" t="s">
        <v>741</v>
      </c>
      <c r="BZ28"/>
      <c r="CA28"/>
      <c r="CB28"/>
      <c r="CC28"/>
      <c r="CD28"/>
      <c r="CE28"/>
      <c r="CF28"/>
      <c r="CG28" s="1" t="s">
        <v>869</v>
      </c>
    </row>
    <row r="29" spans="1:85" ht="12" customHeight="1">
      <c r="A29" s="19" t="s">
        <v>119</v>
      </c>
      <c r="B29" s="19" t="s">
        <v>255</v>
      </c>
      <c r="C29" t="s">
        <v>214</v>
      </c>
      <c r="D29" s="20" t="s">
        <v>361</v>
      </c>
      <c r="E29" s="20" t="s">
        <v>214</v>
      </c>
      <c r="F29" s="20" t="s">
        <v>360</v>
      </c>
      <c r="G29" s="19" t="s">
        <v>318</v>
      </c>
      <c r="H29"/>
      <c r="I29"/>
      <c r="J29"/>
      <c r="K29"/>
      <c r="L29"/>
      <c r="M29"/>
      <c r="N29"/>
      <c r="O29"/>
      <c r="P29">
        <v>277</v>
      </c>
      <c r="Q29">
        <v>277</v>
      </c>
      <c r="R29" t="s">
        <v>329</v>
      </c>
      <c r="S29" t="s">
        <v>101</v>
      </c>
      <c r="T29" t="s">
        <v>76</v>
      </c>
      <c r="U29" t="s">
        <v>196</v>
      </c>
      <c r="V29" t="s">
        <v>277</v>
      </c>
      <c r="W29" t="s">
        <v>215</v>
      </c>
      <c r="X29" s="20" t="s">
        <v>367</v>
      </c>
      <c r="Y29" t="s">
        <v>294</v>
      </c>
      <c r="Z29" s="20" t="s">
        <v>294</v>
      </c>
      <c r="AA29" s="20" t="s">
        <v>394</v>
      </c>
      <c r="AB29" s="20" t="s">
        <v>294</v>
      </c>
      <c r="AC29" s="20" t="s">
        <v>412</v>
      </c>
      <c r="AD29" s="20" t="s">
        <v>413</v>
      </c>
      <c r="AE29" t="s">
        <v>96</v>
      </c>
      <c r="AF29" t="s">
        <v>278</v>
      </c>
      <c r="AG29" t="s">
        <v>202</v>
      </c>
      <c r="AH29" t="s">
        <v>334</v>
      </c>
      <c r="AI29" t="s">
        <v>290</v>
      </c>
      <c r="AJ29" t="s">
        <v>248</v>
      </c>
      <c r="AK29" t="s">
        <v>131</v>
      </c>
      <c r="AL29" s="23" t="s">
        <v>742</v>
      </c>
      <c r="AM29" s="20" t="s">
        <v>248</v>
      </c>
      <c r="AN29" s="24" t="s">
        <v>743</v>
      </c>
      <c r="AO29" s="20" t="s">
        <v>744</v>
      </c>
      <c r="AP29" s="20"/>
      <c r="AQ29" s="20" t="s">
        <v>745</v>
      </c>
      <c r="AR29" s="20" t="s">
        <v>746</v>
      </c>
      <c r="AS29" s="20" t="s">
        <v>747</v>
      </c>
      <c r="AT29" s="20" t="s">
        <v>748</v>
      </c>
      <c r="AU29" s="20">
        <f t="shared" si="0"/>
        <v>30</v>
      </c>
      <c r="AV29" s="20" t="s">
        <v>749</v>
      </c>
      <c r="AW29" s="20" t="s">
        <v>749</v>
      </c>
      <c r="AX29" s="20" t="s">
        <v>750</v>
      </c>
      <c r="AY29" s="20" t="s">
        <v>750</v>
      </c>
      <c r="AZ29" s="20"/>
      <c r="BA29" s="20"/>
      <c r="BB29" s="20" t="s">
        <v>751</v>
      </c>
      <c r="BC29" s="20" t="s">
        <v>752</v>
      </c>
      <c r="BD29" s="20" t="s">
        <v>753</v>
      </c>
      <c r="BE29" s="20"/>
      <c r="BF29" s="20" t="s">
        <v>754</v>
      </c>
      <c r="BG29" s="20" t="s">
        <v>755</v>
      </c>
      <c r="BH29" s="20" t="s">
        <v>756</v>
      </c>
      <c r="BI29" s="20" t="s">
        <v>757</v>
      </c>
      <c r="BJ29" s="20"/>
      <c r="BK29" s="20"/>
      <c r="BL29" s="20"/>
      <c r="BM29" s="20" t="s">
        <v>758</v>
      </c>
      <c r="BN29" s="20" t="s">
        <v>758</v>
      </c>
      <c r="BO29" s="20"/>
      <c r="BP29" s="20"/>
      <c r="BQ29" s="20" t="s">
        <v>645</v>
      </c>
      <c r="BR29" s="20" t="s">
        <v>759</v>
      </c>
      <c r="BS29" s="20" t="s">
        <v>760</v>
      </c>
      <c r="BT29" s="20" t="s">
        <v>443</v>
      </c>
      <c r="BU29" s="20" t="s">
        <v>459</v>
      </c>
      <c r="BV29" s="20"/>
      <c r="BW29" s="20"/>
      <c r="BX29" s="20"/>
      <c r="BY29" s="20" t="s">
        <v>761</v>
      </c>
      <c r="BZ29"/>
      <c r="CA29"/>
      <c r="CB29"/>
      <c r="CC29"/>
      <c r="CD29"/>
      <c r="CE29"/>
      <c r="CF29"/>
      <c r="CG29" s="1" t="s">
        <v>869</v>
      </c>
    </row>
    <row r="30" spans="1:85" ht="12" customHeight="1">
      <c r="A30" s="19" t="s">
        <v>119</v>
      </c>
      <c r="B30" s="19" t="s">
        <v>255</v>
      </c>
      <c r="C30" t="s">
        <v>214</v>
      </c>
      <c r="D30" s="20" t="s">
        <v>359</v>
      </c>
      <c r="E30" s="20" t="s">
        <v>214</v>
      </c>
      <c r="F30" s="20" t="s">
        <v>360</v>
      </c>
      <c r="G30" s="19" t="s">
        <v>318</v>
      </c>
      <c r="H30"/>
      <c r="I30"/>
      <c r="J30"/>
      <c r="K30"/>
      <c r="L30"/>
      <c r="M30"/>
      <c r="N30"/>
      <c r="O30"/>
      <c r="P30">
        <v>279</v>
      </c>
      <c r="Q30">
        <v>279</v>
      </c>
      <c r="R30" t="s">
        <v>137</v>
      </c>
      <c r="S30" t="s">
        <v>354</v>
      </c>
      <c r="T30" t="s">
        <v>148</v>
      </c>
      <c r="U30" t="s">
        <v>120</v>
      </c>
      <c r="V30" t="s">
        <v>309</v>
      </c>
      <c r="W30" t="s">
        <v>296</v>
      </c>
      <c r="X30" s="20" t="s">
        <v>364</v>
      </c>
      <c r="Y30" t="s">
        <v>120</v>
      </c>
      <c r="Z30" s="20" t="s">
        <v>120</v>
      </c>
      <c r="AA30" s="20" t="s">
        <v>372</v>
      </c>
      <c r="AB30" s="20" t="s">
        <v>120</v>
      </c>
      <c r="AC30" s="21" t="s">
        <v>414</v>
      </c>
      <c r="AD30" s="20" t="s">
        <v>415</v>
      </c>
      <c r="AE30" t="s">
        <v>107</v>
      </c>
      <c r="AF30" t="s">
        <v>92</v>
      </c>
      <c r="AG30" t="s">
        <v>139</v>
      </c>
      <c r="AH30" t="s">
        <v>50</v>
      </c>
      <c r="AI30" t="s">
        <v>26</v>
      </c>
      <c r="AJ30" t="s">
        <v>215</v>
      </c>
      <c r="AK30" t="s">
        <v>215</v>
      </c>
      <c r="AL30" s="23" t="s">
        <v>567</v>
      </c>
      <c r="AM30" s="20"/>
      <c r="AN30" s="20"/>
      <c r="AO30" s="20" t="s">
        <v>762</v>
      </c>
      <c r="AP30" s="20"/>
      <c r="AQ30" s="20" t="s">
        <v>763</v>
      </c>
      <c r="AR30" s="20" t="s">
        <v>764</v>
      </c>
      <c r="AS30" s="20" t="s">
        <v>765</v>
      </c>
      <c r="AT30" s="20" t="s">
        <v>766</v>
      </c>
      <c r="AU30" s="20">
        <f t="shared" si="0"/>
        <v>23</v>
      </c>
      <c r="AV30" s="20" t="s">
        <v>573</v>
      </c>
      <c r="AW30" s="20" t="s">
        <v>573</v>
      </c>
      <c r="AX30" s="20" t="s">
        <v>574</v>
      </c>
      <c r="AY30" s="20" t="s">
        <v>574</v>
      </c>
      <c r="AZ30" s="20"/>
      <c r="BA30" s="20"/>
      <c r="BB30" s="20" t="s">
        <v>767</v>
      </c>
      <c r="BC30" s="20"/>
      <c r="BD30" s="20"/>
      <c r="BE30" s="20"/>
      <c r="BF30" s="20" t="s">
        <v>768</v>
      </c>
      <c r="BG30" s="20" t="s">
        <v>769</v>
      </c>
      <c r="BH30" s="20"/>
      <c r="BI30" s="20"/>
      <c r="BJ30" s="20"/>
      <c r="BK30" s="20"/>
      <c r="BL30" s="20"/>
      <c r="BM30" s="20" t="s">
        <v>770</v>
      </c>
      <c r="BN30" s="20" t="s">
        <v>770</v>
      </c>
      <c r="BO30" s="20"/>
      <c r="BP30" s="20"/>
      <c r="BQ30" s="20"/>
      <c r="BR30" s="20" t="s">
        <v>771</v>
      </c>
      <c r="BS30" s="20" t="s">
        <v>772</v>
      </c>
      <c r="BT30" s="20" t="s">
        <v>443</v>
      </c>
      <c r="BU30" s="20" t="s">
        <v>444</v>
      </c>
      <c r="BV30" s="20" t="s">
        <v>460</v>
      </c>
      <c r="BW30" s="20"/>
      <c r="BX30" s="20"/>
      <c r="BY30" s="20" t="s">
        <v>773</v>
      </c>
      <c r="BZ30"/>
      <c r="CA30"/>
      <c r="CB30"/>
      <c r="CC30"/>
      <c r="CD30"/>
      <c r="CE30"/>
      <c r="CF30"/>
      <c r="CG30" s="1" t="s">
        <v>869</v>
      </c>
    </row>
    <row r="31" spans="1:85" ht="12" customHeight="1">
      <c r="A31" s="19" t="s">
        <v>119</v>
      </c>
      <c r="B31" s="19" t="s">
        <v>255</v>
      </c>
      <c r="C31" t="s">
        <v>214</v>
      </c>
      <c r="D31" s="20" t="s">
        <v>361</v>
      </c>
      <c r="E31" s="20" t="s">
        <v>214</v>
      </c>
      <c r="F31" s="20" t="s">
        <v>360</v>
      </c>
      <c r="G31" s="19" t="s">
        <v>318</v>
      </c>
      <c r="H31"/>
      <c r="I31"/>
      <c r="J31"/>
      <c r="K31"/>
      <c r="L31"/>
      <c r="M31"/>
      <c r="N31"/>
      <c r="O31"/>
      <c r="P31">
        <v>281</v>
      </c>
      <c r="Q31">
        <v>281</v>
      </c>
      <c r="R31" t="s">
        <v>79</v>
      </c>
      <c r="S31" t="s">
        <v>86</v>
      </c>
      <c r="T31" t="s">
        <v>154</v>
      </c>
      <c r="U31" t="s">
        <v>242</v>
      </c>
      <c r="V31" t="s">
        <v>222</v>
      </c>
      <c r="W31" t="s">
        <v>215</v>
      </c>
      <c r="X31" s="20" t="s">
        <v>365</v>
      </c>
      <c r="Y31" t="s">
        <v>242</v>
      </c>
      <c r="Z31" s="20" t="s">
        <v>242</v>
      </c>
      <c r="AA31" s="20" t="s">
        <v>222</v>
      </c>
      <c r="AB31" s="20" t="s">
        <v>242</v>
      </c>
      <c r="AC31" s="20" t="s">
        <v>242</v>
      </c>
      <c r="AD31" s="20" t="s">
        <v>416</v>
      </c>
      <c r="AE31" t="s">
        <v>98</v>
      </c>
      <c r="AF31" t="s">
        <v>349</v>
      </c>
      <c r="AG31" t="s">
        <v>240</v>
      </c>
      <c r="AH31" t="s">
        <v>301</v>
      </c>
      <c r="AI31" t="s">
        <v>33</v>
      </c>
      <c r="AJ31" t="s">
        <v>84</v>
      </c>
      <c r="AK31" t="s">
        <v>222</v>
      </c>
      <c r="AL31" s="23" t="s">
        <v>446</v>
      </c>
      <c r="AM31" s="20" t="s">
        <v>84</v>
      </c>
      <c r="AN31" s="24" t="s">
        <v>447</v>
      </c>
      <c r="AO31" s="20" t="s">
        <v>774</v>
      </c>
      <c r="AP31" s="20"/>
      <c r="AQ31" s="23" t="s">
        <v>775</v>
      </c>
      <c r="AR31" s="23" t="s">
        <v>776</v>
      </c>
      <c r="AS31" s="20" t="s">
        <v>777</v>
      </c>
      <c r="AT31" s="20" t="s">
        <v>778</v>
      </c>
      <c r="AU31" s="20">
        <f t="shared" si="0"/>
        <v>30</v>
      </c>
      <c r="AV31" s="23" t="s">
        <v>453</v>
      </c>
      <c r="AW31" s="23" t="s">
        <v>453</v>
      </c>
      <c r="AX31" s="23" t="s">
        <v>454</v>
      </c>
      <c r="AY31" s="23" t="s">
        <v>454</v>
      </c>
      <c r="AZ31" s="20"/>
      <c r="BA31" s="20"/>
      <c r="BB31" s="20"/>
      <c r="BC31" s="20" t="s">
        <v>779</v>
      </c>
      <c r="BD31" s="20" t="s">
        <v>780</v>
      </c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 t="s">
        <v>456</v>
      </c>
      <c r="BP31" s="20" t="s">
        <v>456</v>
      </c>
      <c r="BQ31" s="20"/>
      <c r="BR31" s="20" t="s">
        <v>457</v>
      </c>
      <c r="BS31" s="20" t="s">
        <v>457</v>
      </c>
      <c r="BT31" s="20" t="s">
        <v>458</v>
      </c>
      <c r="BU31" s="20" t="s">
        <v>459</v>
      </c>
      <c r="BV31" s="20" t="s">
        <v>460</v>
      </c>
      <c r="BW31" s="20"/>
      <c r="BX31" s="20"/>
      <c r="BY31" s="20" t="s">
        <v>781</v>
      </c>
      <c r="BZ31"/>
      <c r="CA31"/>
      <c r="CB31"/>
      <c r="CC31"/>
      <c r="CD31"/>
      <c r="CE31"/>
      <c r="CF31"/>
      <c r="CG31" s="1" t="s">
        <v>869</v>
      </c>
    </row>
    <row r="32" spans="1:85" ht="12" customHeight="1">
      <c r="A32" s="19" t="s">
        <v>119</v>
      </c>
      <c r="B32" s="19" t="s">
        <v>255</v>
      </c>
      <c r="C32" t="s">
        <v>214</v>
      </c>
      <c r="D32" s="20" t="s">
        <v>361</v>
      </c>
      <c r="E32" s="20" t="s">
        <v>214</v>
      </c>
      <c r="F32" s="20" t="s">
        <v>360</v>
      </c>
      <c r="G32" s="19" t="s">
        <v>318</v>
      </c>
      <c r="H32"/>
      <c r="I32"/>
      <c r="J32"/>
      <c r="K32"/>
      <c r="L32"/>
      <c r="M32"/>
      <c r="N32"/>
      <c r="O32"/>
      <c r="P32">
        <v>282</v>
      </c>
      <c r="Q32">
        <v>282</v>
      </c>
      <c r="R32" t="s">
        <v>328</v>
      </c>
      <c r="S32" t="s">
        <v>86</v>
      </c>
      <c r="T32" t="s">
        <v>154</v>
      </c>
      <c r="U32" t="s">
        <v>193</v>
      </c>
      <c r="V32" t="s">
        <v>222</v>
      </c>
      <c r="W32" t="s">
        <v>215</v>
      </c>
      <c r="X32" s="20" t="s">
        <v>365</v>
      </c>
      <c r="Y32" t="s">
        <v>193</v>
      </c>
      <c r="Z32" s="20" t="s">
        <v>193</v>
      </c>
      <c r="AA32" s="20" t="s">
        <v>222</v>
      </c>
      <c r="AB32" s="20" t="s">
        <v>193</v>
      </c>
      <c r="AC32" s="20" t="s">
        <v>193</v>
      </c>
      <c r="AD32" s="20" t="s">
        <v>417</v>
      </c>
      <c r="AE32" t="s">
        <v>262</v>
      </c>
      <c r="AF32" t="s">
        <v>292</v>
      </c>
      <c r="AG32" t="s">
        <v>35</v>
      </c>
      <c r="AH32" t="s">
        <v>80</v>
      </c>
      <c r="AI32" t="s">
        <v>303</v>
      </c>
      <c r="AJ32" t="s">
        <v>215</v>
      </c>
      <c r="AK32" t="s">
        <v>222</v>
      </c>
      <c r="AL32" s="23" t="s">
        <v>782</v>
      </c>
      <c r="AM32" s="20"/>
      <c r="AN32" s="20"/>
      <c r="AO32" s="20" t="s">
        <v>783</v>
      </c>
      <c r="AP32" s="20"/>
      <c r="AQ32" s="20" t="s">
        <v>784</v>
      </c>
      <c r="AR32" s="20" t="s">
        <v>785</v>
      </c>
      <c r="AS32" s="20" t="s">
        <v>786</v>
      </c>
      <c r="AT32" s="20" t="s">
        <v>787</v>
      </c>
      <c r="AU32" s="20">
        <f t="shared" si="0"/>
        <v>29</v>
      </c>
      <c r="AV32" s="20" t="s">
        <v>788</v>
      </c>
      <c r="AW32" s="20" t="s">
        <v>788</v>
      </c>
      <c r="AX32" s="23" t="s">
        <v>789</v>
      </c>
      <c r="AY32" s="23" t="s">
        <v>789</v>
      </c>
      <c r="AZ32" s="20"/>
      <c r="BA32" s="20"/>
      <c r="BB32" s="20" t="s">
        <v>790</v>
      </c>
      <c r="BC32" s="20" t="s">
        <v>791</v>
      </c>
      <c r="BD32" s="20" t="s">
        <v>791</v>
      </c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707</v>
      </c>
      <c r="BR32" s="23" t="s">
        <v>792</v>
      </c>
      <c r="BS32" s="23" t="s">
        <v>793</v>
      </c>
      <c r="BT32" s="20" t="s">
        <v>458</v>
      </c>
      <c r="BU32" s="20" t="s">
        <v>459</v>
      </c>
      <c r="BV32" s="20"/>
      <c r="BW32" s="20"/>
      <c r="BX32" s="20"/>
      <c r="BY32" s="20" t="s">
        <v>794</v>
      </c>
      <c r="BZ32"/>
      <c r="CA32"/>
      <c r="CB32"/>
      <c r="CC32"/>
      <c r="CD32"/>
      <c r="CE32"/>
      <c r="CF32"/>
      <c r="CG32" s="1" t="s">
        <v>869</v>
      </c>
    </row>
    <row r="33" spans="1:85" ht="12" customHeight="1">
      <c r="A33" s="19" t="s">
        <v>119</v>
      </c>
      <c r="B33" s="19" t="s">
        <v>255</v>
      </c>
      <c r="C33" t="s">
        <v>214</v>
      </c>
      <c r="D33" s="20" t="s">
        <v>359</v>
      </c>
      <c r="E33" s="20" t="s">
        <v>214</v>
      </c>
      <c r="F33" s="20" t="s">
        <v>360</v>
      </c>
      <c r="G33" s="19" t="s">
        <v>318</v>
      </c>
      <c r="H33"/>
      <c r="I33"/>
      <c r="J33"/>
      <c r="K33"/>
      <c r="L33"/>
      <c r="M33"/>
      <c r="N33"/>
      <c r="O33"/>
      <c r="P33">
        <v>286</v>
      </c>
      <c r="Q33">
        <v>286</v>
      </c>
      <c r="R33" t="s">
        <v>22</v>
      </c>
      <c r="S33" t="s">
        <v>238</v>
      </c>
      <c r="T33" t="s">
        <v>66</v>
      </c>
      <c r="U33" t="s">
        <v>282</v>
      </c>
      <c r="V33" t="s">
        <v>285</v>
      </c>
      <c r="W33" t="s">
        <v>215</v>
      </c>
      <c r="X33" s="20" t="s">
        <v>364</v>
      </c>
      <c r="Y33" t="s">
        <v>282</v>
      </c>
      <c r="Z33" s="20" t="s">
        <v>282</v>
      </c>
      <c r="AA33" s="20" t="s">
        <v>372</v>
      </c>
      <c r="AB33" s="20" t="s">
        <v>282</v>
      </c>
      <c r="AC33" s="21" t="s">
        <v>418</v>
      </c>
      <c r="AD33" s="20" t="s">
        <v>419</v>
      </c>
      <c r="AE33" t="s">
        <v>108</v>
      </c>
      <c r="AF33" t="s">
        <v>74</v>
      </c>
      <c r="AG33" t="s">
        <v>219</v>
      </c>
      <c r="AH33" t="s">
        <v>58</v>
      </c>
      <c r="AI33" t="s">
        <v>227</v>
      </c>
      <c r="AJ33" t="s">
        <v>215</v>
      </c>
      <c r="AK33" t="s">
        <v>320</v>
      </c>
      <c r="AL33" s="23" t="s">
        <v>795</v>
      </c>
      <c r="AM33" s="20"/>
      <c r="AN33" s="20"/>
      <c r="AO33" s="20" t="s">
        <v>796</v>
      </c>
      <c r="AP33" s="20"/>
      <c r="AQ33" s="20" t="s">
        <v>797</v>
      </c>
      <c r="AR33" s="20" t="s">
        <v>798</v>
      </c>
      <c r="AS33" s="20" t="s">
        <v>799</v>
      </c>
      <c r="AT33" s="20" t="s">
        <v>800</v>
      </c>
      <c r="AU33" s="20">
        <f t="shared" si="0"/>
        <v>29</v>
      </c>
      <c r="AV33" s="20" t="s">
        <v>801</v>
      </c>
      <c r="AW33" s="20" t="s">
        <v>801</v>
      </c>
      <c r="AX33" s="20" t="s">
        <v>802</v>
      </c>
      <c r="AY33" s="20" t="s">
        <v>802</v>
      </c>
      <c r="AZ33" s="20" t="s">
        <v>320</v>
      </c>
      <c r="BA33" s="20" t="s">
        <v>320</v>
      </c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 t="s">
        <v>803</v>
      </c>
      <c r="BS33" s="20" t="s">
        <v>803</v>
      </c>
      <c r="BT33" s="20" t="s">
        <v>443</v>
      </c>
      <c r="BU33" s="20" t="s">
        <v>459</v>
      </c>
      <c r="BV33" s="20"/>
      <c r="BW33" s="20"/>
      <c r="BX33" s="20"/>
      <c r="BY33" s="28" t="s">
        <v>804</v>
      </c>
      <c r="BZ33"/>
      <c r="CA33"/>
      <c r="CB33"/>
      <c r="CC33"/>
      <c r="CD33"/>
      <c r="CE33"/>
      <c r="CF33"/>
      <c r="CG33" s="1" t="s">
        <v>869</v>
      </c>
    </row>
    <row r="34" spans="1:85" ht="12" customHeight="1">
      <c r="A34" s="19" t="s">
        <v>119</v>
      </c>
      <c r="B34" s="19" t="s">
        <v>255</v>
      </c>
      <c r="C34" t="s">
        <v>214</v>
      </c>
      <c r="D34" s="20" t="s">
        <v>361</v>
      </c>
      <c r="E34" s="20" t="s">
        <v>214</v>
      </c>
      <c r="F34" s="20" t="s">
        <v>360</v>
      </c>
      <c r="G34" s="19" t="s">
        <v>318</v>
      </c>
      <c r="H34"/>
      <c r="I34"/>
      <c r="J34"/>
      <c r="K34"/>
      <c r="L34"/>
      <c r="M34"/>
      <c r="N34"/>
      <c r="O34"/>
      <c r="P34">
        <v>287</v>
      </c>
      <c r="Q34">
        <v>287</v>
      </c>
      <c r="R34" t="s">
        <v>280</v>
      </c>
      <c r="S34" t="s">
        <v>101</v>
      </c>
      <c r="T34" t="s">
        <v>76</v>
      </c>
      <c r="U34" t="s">
        <v>7</v>
      </c>
      <c r="V34" t="s">
        <v>85</v>
      </c>
      <c r="W34" t="s">
        <v>215</v>
      </c>
      <c r="X34" s="20" t="s">
        <v>76</v>
      </c>
      <c r="Y34" t="s">
        <v>7</v>
      </c>
      <c r="Z34" s="20" t="s">
        <v>7</v>
      </c>
      <c r="AA34" s="20" t="s">
        <v>34</v>
      </c>
      <c r="AB34" s="20" t="s">
        <v>7</v>
      </c>
      <c r="AC34" s="20" t="s">
        <v>7</v>
      </c>
      <c r="AD34" s="20" t="s">
        <v>420</v>
      </c>
      <c r="AE34" t="s">
        <v>151</v>
      </c>
      <c r="AF34" t="s">
        <v>314</v>
      </c>
      <c r="AG34" t="s">
        <v>215</v>
      </c>
      <c r="AH34" t="s">
        <v>215</v>
      </c>
      <c r="AI34" t="s">
        <v>215</v>
      </c>
      <c r="AJ34" t="s">
        <v>215</v>
      </c>
      <c r="AK34" t="s">
        <v>215</v>
      </c>
      <c r="AL34" s="23" t="s">
        <v>805</v>
      </c>
      <c r="AM34" s="20"/>
      <c r="AN34" s="20"/>
      <c r="AO34" s="20" t="s">
        <v>806</v>
      </c>
      <c r="AP34" s="20"/>
      <c r="AQ34" s="20" t="s">
        <v>807</v>
      </c>
      <c r="AR34" s="20" t="s">
        <v>808</v>
      </c>
      <c r="AS34" s="20" t="s">
        <v>809</v>
      </c>
      <c r="AT34" s="20" t="s">
        <v>810</v>
      </c>
      <c r="AU34" s="20">
        <f t="shared" si="0"/>
        <v>27</v>
      </c>
      <c r="AV34" s="20" t="s">
        <v>811</v>
      </c>
      <c r="AW34" s="20" t="s">
        <v>811</v>
      </c>
      <c r="AX34" s="20" t="s">
        <v>644</v>
      </c>
      <c r="AY34" s="20" t="s">
        <v>644</v>
      </c>
      <c r="AZ34" s="20"/>
      <c r="BA34" s="20"/>
      <c r="BB34" s="20"/>
      <c r="BC34" s="20" t="s">
        <v>812</v>
      </c>
      <c r="BD34" s="20" t="s">
        <v>813</v>
      </c>
      <c r="BE34" s="20"/>
      <c r="BF34" s="20" t="s">
        <v>814</v>
      </c>
      <c r="BG34" s="20" t="s">
        <v>815</v>
      </c>
      <c r="BH34" s="20"/>
      <c r="BI34" s="20"/>
      <c r="BJ34" s="20"/>
      <c r="BK34" s="20"/>
      <c r="BL34" s="20"/>
      <c r="BM34" s="20" t="s">
        <v>816</v>
      </c>
      <c r="BN34" s="20" t="s">
        <v>816</v>
      </c>
      <c r="BO34" s="20"/>
      <c r="BP34" s="20"/>
      <c r="BQ34" s="20"/>
      <c r="BR34" s="20" t="s">
        <v>817</v>
      </c>
      <c r="BS34" s="20" t="s">
        <v>817</v>
      </c>
      <c r="BT34" s="20"/>
      <c r="BU34" s="20" t="s">
        <v>459</v>
      </c>
      <c r="BV34" s="20"/>
      <c r="BW34" s="20"/>
      <c r="BX34" s="20"/>
      <c r="BY34" s="20" t="s">
        <v>818</v>
      </c>
      <c r="BZ34"/>
      <c r="CA34"/>
      <c r="CB34"/>
      <c r="CC34"/>
      <c r="CD34"/>
      <c r="CE34"/>
      <c r="CF34"/>
      <c r="CG34" s="1" t="s">
        <v>869</v>
      </c>
    </row>
    <row r="35" spans="1:85" ht="12" customHeight="1">
      <c r="A35" s="19" t="s">
        <v>119</v>
      </c>
      <c r="B35" s="19" t="s">
        <v>255</v>
      </c>
      <c r="C35" t="s">
        <v>214</v>
      </c>
      <c r="D35" s="20" t="s">
        <v>361</v>
      </c>
      <c r="E35" s="20" t="s">
        <v>214</v>
      </c>
      <c r="F35" s="20" t="s">
        <v>360</v>
      </c>
      <c r="G35" s="19" t="s">
        <v>318</v>
      </c>
      <c r="H35"/>
      <c r="I35"/>
      <c r="J35"/>
      <c r="K35"/>
      <c r="L35"/>
      <c r="M35"/>
      <c r="N35"/>
      <c r="O35"/>
      <c r="P35">
        <v>288</v>
      </c>
      <c r="Q35">
        <v>288</v>
      </c>
      <c r="R35" t="s">
        <v>2</v>
      </c>
      <c r="S35" t="s">
        <v>101</v>
      </c>
      <c r="T35" t="s">
        <v>76</v>
      </c>
      <c r="U35" t="s">
        <v>344</v>
      </c>
      <c r="V35" t="s">
        <v>85</v>
      </c>
      <c r="W35" t="s">
        <v>215</v>
      </c>
      <c r="X35" s="20" t="s">
        <v>76</v>
      </c>
      <c r="Y35" t="s">
        <v>344</v>
      </c>
      <c r="Z35" s="20" t="s">
        <v>344</v>
      </c>
      <c r="AA35" s="20" t="s">
        <v>34</v>
      </c>
      <c r="AB35" s="20" t="s">
        <v>344</v>
      </c>
      <c r="AC35" s="20" t="s">
        <v>344</v>
      </c>
      <c r="AD35" s="20" t="s">
        <v>421</v>
      </c>
      <c r="AE35" t="s">
        <v>306</v>
      </c>
      <c r="AF35" t="s">
        <v>289</v>
      </c>
      <c r="AG35" t="s">
        <v>133</v>
      </c>
      <c r="AH35" t="s">
        <v>176</v>
      </c>
      <c r="AI35" t="s">
        <v>209</v>
      </c>
      <c r="AJ35" t="s">
        <v>49</v>
      </c>
      <c r="AK35" t="s">
        <v>215</v>
      </c>
      <c r="AL35" s="23" t="s">
        <v>819</v>
      </c>
      <c r="AM35" s="20"/>
      <c r="AN35" s="20"/>
      <c r="AO35" s="20" t="s">
        <v>820</v>
      </c>
      <c r="AP35" s="20"/>
      <c r="AQ35" s="20" t="s">
        <v>821</v>
      </c>
      <c r="AR35" s="20" t="s">
        <v>822</v>
      </c>
      <c r="AS35" s="20" t="s">
        <v>823</v>
      </c>
      <c r="AT35" s="20" t="s">
        <v>824</v>
      </c>
      <c r="AU35" s="20">
        <f t="shared" si="0"/>
        <v>28</v>
      </c>
      <c r="AV35" s="20" t="s">
        <v>825</v>
      </c>
      <c r="AW35" s="20" t="s">
        <v>825</v>
      </c>
      <c r="AX35" s="20" t="s">
        <v>826</v>
      </c>
      <c r="AY35" s="20" t="s">
        <v>826</v>
      </c>
      <c r="AZ35" s="20"/>
      <c r="BA35" s="20"/>
      <c r="BB35" s="20"/>
      <c r="BC35" s="20" t="s">
        <v>791</v>
      </c>
      <c r="BD35" s="20" t="s">
        <v>791</v>
      </c>
      <c r="BE35" s="20"/>
      <c r="BF35" s="20"/>
      <c r="BG35" s="20"/>
      <c r="BH35" s="20" t="s">
        <v>827</v>
      </c>
      <c r="BI35" s="20" t="s">
        <v>828</v>
      </c>
      <c r="BJ35" s="20"/>
      <c r="BK35" s="20"/>
      <c r="BL35" s="20"/>
      <c r="BM35" s="20" t="s">
        <v>829</v>
      </c>
      <c r="BN35" s="20" t="s">
        <v>829</v>
      </c>
      <c r="BO35" s="20"/>
      <c r="BP35" s="20"/>
      <c r="BQ35" s="20"/>
      <c r="BR35" s="20" t="s">
        <v>830</v>
      </c>
      <c r="BS35" s="20" t="s">
        <v>830</v>
      </c>
      <c r="BT35" s="20"/>
      <c r="BU35" s="20"/>
      <c r="BV35" s="20"/>
      <c r="BW35" s="20"/>
      <c r="BX35" s="20"/>
      <c r="BY35" s="20" t="s">
        <v>831</v>
      </c>
      <c r="BZ35"/>
      <c r="CA35"/>
      <c r="CB35"/>
      <c r="CC35"/>
      <c r="CD35"/>
      <c r="CE35"/>
      <c r="CF35"/>
      <c r="CG35" s="1" t="s">
        <v>869</v>
      </c>
    </row>
    <row r="36" spans="1:85" ht="12" customHeight="1">
      <c r="A36" s="19" t="s">
        <v>119</v>
      </c>
      <c r="B36" s="19" t="s">
        <v>255</v>
      </c>
      <c r="C36" t="s">
        <v>214</v>
      </c>
      <c r="D36" s="20" t="s">
        <v>359</v>
      </c>
      <c r="E36" s="20" t="s">
        <v>214</v>
      </c>
      <c r="F36" s="20" t="s">
        <v>360</v>
      </c>
      <c r="G36" s="19" t="s">
        <v>318</v>
      </c>
      <c r="H36"/>
      <c r="I36"/>
      <c r="J36"/>
      <c r="K36"/>
      <c r="L36"/>
      <c r="M36"/>
      <c r="N36"/>
      <c r="O36"/>
      <c r="P36">
        <v>289</v>
      </c>
      <c r="Q36">
        <v>289</v>
      </c>
      <c r="R36" t="s">
        <v>330</v>
      </c>
      <c r="S36" t="s">
        <v>101</v>
      </c>
      <c r="T36" t="s">
        <v>76</v>
      </c>
      <c r="U36" t="s">
        <v>270</v>
      </c>
      <c r="V36" t="s">
        <v>252</v>
      </c>
      <c r="W36" t="s">
        <v>324</v>
      </c>
      <c r="X36" s="20" t="s">
        <v>371</v>
      </c>
      <c r="Y36" t="s">
        <v>172</v>
      </c>
      <c r="Z36" s="20" t="s">
        <v>172</v>
      </c>
      <c r="AA36" s="20" t="s">
        <v>422</v>
      </c>
      <c r="AB36" s="20" t="s">
        <v>172</v>
      </c>
      <c r="AC36" s="20">
        <v>11996000093</v>
      </c>
      <c r="AD36" s="20" t="s">
        <v>423</v>
      </c>
      <c r="AE36" t="s">
        <v>343</v>
      </c>
      <c r="AF36" t="s">
        <v>259</v>
      </c>
      <c r="AG36" t="s">
        <v>215</v>
      </c>
      <c r="AH36" t="s">
        <v>215</v>
      </c>
      <c r="AI36" t="s">
        <v>215</v>
      </c>
      <c r="AJ36" t="s">
        <v>215</v>
      </c>
      <c r="AK36" t="s">
        <v>215</v>
      </c>
      <c r="AL36" s="23" t="s">
        <v>832</v>
      </c>
      <c r="AM36" s="20"/>
      <c r="AN36" s="25"/>
      <c r="AO36" s="20" t="s">
        <v>833</v>
      </c>
      <c r="AP36" s="20"/>
      <c r="AQ36" s="23" t="s">
        <v>834</v>
      </c>
      <c r="AR36" s="23" t="s">
        <v>835</v>
      </c>
      <c r="AS36" s="20" t="s">
        <v>836</v>
      </c>
      <c r="AT36" s="20" t="s">
        <v>837</v>
      </c>
      <c r="AU36" s="20">
        <f t="shared" si="0"/>
        <v>29</v>
      </c>
      <c r="AV36" s="23" t="s">
        <v>838</v>
      </c>
      <c r="AW36" s="23" t="s">
        <v>838</v>
      </c>
      <c r="AX36" s="23" t="s">
        <v>839</v>
      </c>
      <c r="AY36" s="23" t="s">
        <v>839</v>
      </c>
      <c r="AZ36" s="20" t="s">
        <v>840</v>
      </c>
      <c r="BA36" s="20" t="s">
        <v>840</v>
      </c>
      <c r="BB36" s="20"/>
      <c r="BC36" s="20" t="s">
        <v>739</v>
      </c>
      <c r="BD36" s="20"/>
      <c r="BE36" s="20" t="s">
        <v>739</v>
      </c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 t="s">
        <v>841</v>
      </c>
      <c r="BS36" s="20" t="s">
        <v>841</v>
      </c>
      <c r="BT36" s="20"/>
      <c r="BU36" s="20"/>
      <c r="BV36" s="20"/>
      <c r="BW36" s="20"/>
      <c r="BX36" s="20"/>
      <c r="BY36" s="20" t="s">
        <v>842</v>
      </c>
      <c r="BZ36"/>
      <c r="CA36"/>
      <c r="CB36"/>
      <c r="CC36"/>
      <c r="CD36"/>
      <c r="CE36"/>
      <c r="CF36"/>
      <c r="CG36" s="1" t="s">
        <v>869</v>
      </c>
    </row>
    <row r="37" spans="1:85" ht="12" customHeight="1">
      <c r="A37" s="19" t="s">
        <v>119</v>
      </c>
      <c r="B37" s="19" t="s">
        <v>255</v>
      </c>
      <c r="C37" t="s">
        <v>214</v>
      </c>
      <c r="D37" s="20" t="s">
        <v>359</v>
      </c>
      <c r="E37" s="20" t="s">
        <v>214</v>
      </c>
      <c r="F37" s="20" t="s">
        <v>360</v>
      </c>
      <c r="G37" s="19" t="s">
        <v>318</v>
      </c>
      <c r="H37"/>
      <c r="I37"/>
      <c r="J37"/>
      <c r="K37"/>
      <c r="L37"/>
      <c r="M37"/>
      <c r="N37"/>
      <c r="O37"/>
      <c r="P37">
        <v>290</v>
      </c>
      <c r="Q37">
        <v>290</v>
      </c>
      <c r="R37" t="s">
        <v>235</v>
      </c>
      <c r="S37" t="s">
        <v>101</v>
      </c>
      <c r="T37" t="s">
        <v>76</v>
      </c>
      <c r="U37" t="s">
        <v>109</v>
      </c>
      <c r="V37" t="s">
        <v>252</v>
      </c>
      <c r="W37" t="s">
        <v>324</v>
      </c>
      <c r="X37" s="20" t="s">
        <v>371</v>
      </c>
      <c r="Y37" t="s">
        <v>150</v>
      </c>
      <c r="Z37" s="20" t="s">
        <v>150</v>
      </c>
      <c r="AA37" s="20" t="s">
        <v>422</v>
      </c>
      <c r="AB37" s="20" t="s">
        <v>150</v>
      </c>
      <c r="AC37" s="20">
        <v>11240000031</v>
      </c>
      <c r="AD37" s="20" t="s">
        <v>424</v>
      </c>
      <c r="AE37" t="s">
        <v>129</v>
      </c>
      <c r="AF37" t="s">
        <v>298</v>
      </c>
      <c r="AG37" t="s">
        <v>215</v>
      </c>
      <c r="AH37" t="s">
        <v>215</v>
      </c>
      <c r="AI37" t="s">
        <v>215</v>
      </c>
      <c r="AJ37" t="s">
        <v>215</v>
      </c>
      <c r="AK37" t="s">
        <v>215</v>
      </c>
      <c r="AL37" s="23" t="s">
        <v>843</v>
      </c>
      <c r="AM37" s="20"/>
      <c r="AN37" s="20"/>
      <c r="AO37" s="20" t="s">
        <v>844</v>
      </c>
      <c r="AP37" s="20"/>
      <c r="AQ37" s="23" t="s">
        <v>845</v>
      </c>
      <c r="AR37" s="23" t="s">
        <v>846</v>
      </c>
      <c r="AS37" s="20" t="s">
        <v>847</v>
      </c>
      <c r="AT37" s="20" t="s">
        <v>848</v>
      </c>
      <c r="AU37" s="20">
        <f t="shared" si="0"/>
        <v>29</v>
      </c>
      <c r="AV37" s="23" t="s">
        <v>849</v>
      </c>
      <c r="AW37" s="23" t="s">
        <v>849</v>
      </c>
      <c r="AX37" s="23" t="s">
        <v>850</v>
      </c>
      <c r="AY37" s="23" t="s">
        <v>850</v>
      </c>
      <c r="AZ37" s="20"/>
      <c r="BA37" s="20"/>
      <c r="BB37" s="20" t="s">
        <v>851</v>
      </c>
      <c r="BC37" s="20"/>
      <c r="BD37" s="20"/>
      <c r="BE37" s="20"/>
      <c r="BF37" s="23" t="s">
        <v>852</v>
      </c>
      <c r="BG37" s="23" t="s">
        <v>853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3" t="s">
        <v>685</v>
      </c>
      <c r="BR37" s="20" t="s">
        <v>854</v>
      </c>
      <c r="BS37" s="23" t="s">
        <v>855</v>
      </c>
      <c r="BT37" s="20"/>
      <c r="BU37" s="20"/>
      <c r="BV37" s="20"/>
      <c r="BW37" s="20"/>
      <c r="BX37" s="20"/>
      <c r="BY37" s="20" t="s">
        <v>856</v>
      </c>
      <c r="BZ37"/>
      <c r="CA37"/>
      <c r="CB37"/>
      <c r="CC37"/>
      <c r="CD37"/>
      <c r="CE37"/>
      <c r="CF37"/>
      <c r="CG37" s="1" t="s">
        <v>869</v>
      </c>
    </row>
    <row r="38" spans="1:85" ht="12" customHeight="1">
      <c r="A38" s="19" t="s">
        <v>119</v>
      </c>
      <c r="B38" s="19" t="s">
        <v>255</v>
      </c>
      <c r="C38" t="s">
        <v>214</v>
      </c>
      <c r="D38" s="20" t="s">
        <v>359</v>
      </c>
      <c r="E38" s="20" t="s">
        <v>214</v>
      </c>
      <c r="F38" s="20" t="s">
        <v>360</v>
      </c>
      <c r="G38" s="19" t="s">
        <v>318</v>
      </c>
      <c r="H38"/>
      <c r="I38"/>
      <c r="J38"/>
      <c r="K38"/>
      <c r="L38"/>
      <c r="M38"/>
      <c r="N38"/>
      <c r="O38"/>
      <c r="P38">
        <v>324</v>
      </c>
      <c r="Q38">
        <v>324</v>
      </c>
      <c r="R38" t="s">
        <v>111</v>
      </c>
      <c r="S38" t="s">
        <v>238</v>
      </c>
      <c r="T38" t="s">
        <v>66</v>
      </c>
      <c r="U38" t="s">
        <v>249</v>
      </c>
      <c r="V38" t="s">
        <v>309</v>
      </c>
      <c r="W38" t="s">
        <v>296</v>
      </c>
      <c r="X38" s="20" t="s">
        <v>364</v>
      </c>
      <c r="Y38" t="s">
        <v>249</v>
      </c>
      <c r="Z38" s="20" t="s">
        <v>249</v>
      </c>
      <c r="AA38" s="20" t="s">
        <v>372</v>
      </c>
      <c r="AB38" s="20" t="s">
        <v>249</v>
      </c>
      <c r="AC38" s="20">
        <v>2296033108</v>
      </c>
      <c r="AD38" s="20" t="s">
        <v>425</v>
      </c>
      <c r="AE38" t="s">
        <v>138</v>
      </c>
      <c r="AF38" t="s">
        <v>200</v>
      </c>
      <c r="AG38" t="s">
        <v>273</v>
      </c>
      <c r="AH38" t="s">
        <v>68</v>
      </c>
      <c r="AI38" t="s">
        <v>185</v>
      </c>
      <c r="AJ38" t="s">
        <v>358</v>
      </c>
      <c r="AK38" t="s">
        <v>215</v>
      </c>
      <c r="AL38" s="23" t="s">
        <v>426</v>
      </c>
      <c r="AM38" s="20"/>
      <c r="AN38" s="20"/>
      <c r="AO38" s="20" t="s">
        <v>857</v>
      </c>
      <c r="AP38" s="20"/>
      <c r="AQ38" s="20" t="s">
        <v>858</v>
      </c>
      <c r="AR38" s="20" t="s">
        <v>859</v>
      </c>
      <c r="AS38" s="20" t="s">
        <v>860</v>
      </c>
      <c r="AT38" s="20" t="s">
        <v>861</v>
      </c>
      <c r="AU38" s="20">
        <f t="shared" si="0"/>
        <v>28</v>
      </c>
      <c r="AV38" s="20" t="s">
        <v>432</v>
      </c>
      <c r="AW38" s="20" t="s">
        <v>432</v>
      </c>
      <c r="AX38" s="20" t="s">
        <v>433</v>
      </c>
      <c r="AY38" s="20" t="s">
        <v>433</v>
      </c>
      <c r="AZ38" s="20" t="s">
        <v>862</v>
      </c>
      <c r="BA38" s="20" t="s">
        <v>862</v>
      </c>
      <c r="BB38" s="20" t="s">
        <v>528</v>
      </c>
      <c r="BC38" s="20" t="s">
        <v>540</v>
      </c>
      <c r="BD38" s="20" t="s">
        <v>541</v>
      </c>
      <c r="BE38" s="20"/>
      <c r="BF38" s="20" t="s">
        <v>863</v>
      </c>
      <c r="BG38" s="20" t="s">
        <v>864</v>
      </c>
      <c r="BH38" s="20"/>
      <c r="BI38" s="20"/>
      <c r="BJ38" s="20"/>
      <c r="BK38" s="20"/>
      <c r="BL38" s="20"/>
      <c r="BM38" s="20" t="s">
        <v>865</v>
      </c>
      <c r="BN38" s="20" t="s">
        <v>865</v>
      </c>
      <c r="BO38" s="20" t="s">
        <v>866</v>
      </c>
      <c r="BP38" s="20" t="s">
        <v>866</v>
      </c>
      <c r="BQ38" s="20"/>
      <c r="BR38" s="20" t="s">
        <v>867</v>
      </c>
      <c r="BS38" s="20" t="s">
        <v>544</v>
      </c>
      <c r="BT38" s="20" t="s">
        <v>458</v>
      </c>
      <c r="BU38" s="20" t="s">
        <v>444</v>
      </c>
      <c r="BV38" s="20"/>
      <c r="BW38" s="20"/>
      <c r="BX38" s="20"/>
      <c r="BY38" s="20" t="s">
        <v>868</v>
      </c>
      <c r="BZ38"/>
      <c r="CA38"/>
      <c r="CB38"/>
      <c r="CC38"/>
      <c r="CD38"/>
      <c r="CE38"/>
      <c r="CF38"/>
      <c r="CG38" s="1" t="s">
        <v>869</v>
      </c>
    </row>
  </sheetData>
  <autoFilter ref="A1:CG38"/>
  <sortState ref="A2:CH38">
    <sortCondition ref="Q2:Q38"/>
  </sortState>
  <hyperlinks>
    <hyperlink ref="BY33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2023-08-11T13:37:35Z</dcterms:modified>
  <cp:category/>
</cp:coreProperties>
</file>