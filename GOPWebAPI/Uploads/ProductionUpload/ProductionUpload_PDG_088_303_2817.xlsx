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Sheet1!$A$1:$BO$78</definedName>
  </definedNames>
  <calcPr calcId="124519"/>
  <webPublishing codePage="0"/>
</workbook>
</file>

<file path=xl/calcChain.xml><?xml version="1.0" encoding="utf-8"?>
<calcChain xmlns="http://schemas.openxmlformats.org/spreadsheetml/2006/main">
  <c r="AN78" i="1"/>
  <c r="AN77"/>
  <c r="AN76"/>
  <c r="AN75"/>
  <c r="AN74"/>
  <c r="AN73"/>
  <c r="AN72"/>
  <c r="AN71"/>
  <c r="AN70"/>
  <c r="AN69"/>
  <c r="AN68"/>
  <c r="AN67"/>
  <c r="AN66"/>
  <c r="AN65"/>
  <c r="AN64"/>
  <c r="AN63"/>
  <c r="AN62"/>
  <c r="AN61"/>
  <c r="AN60"/>
  <c r="AN59"/>
  <c r="AN58"/>
  <c r="AN57"/>
  <c r="AN56"/>
  <c r="AN55"/>
  <c r="AN54"/>
  <c r="AN53"/>
  <c r="AN52"/>
  <c r="AN51"/>
  <c r="AN50"/>
  <c r="AN49"/>
  <c r="AN48"/>
  <c r="AN47"/>
  <c r="AN46"/>
  <c r="AN45"/>
  <c r="AN44"/>
  <c r="AN43"/>
  <c r="AN42"/>
  <c r="AN41"/>
  <c r="AN40"/>
  <c r="AN39"/>
  <c r="AN38"/>
  <c r="AN37"/>
  <c r="AN36"/>
  <c r="AN35"/>
  <c r="AN34"/>
  <c r="AN33"/>
  <c r="AN32"/>
  <c r="AN31"/>
  <c r="AN30"/>
  <c r="AN29"/>
  <c r="AN28"/>
  <c r="AN27"/>
  <c r="AN26"/>
  <c r="AN25"/>
  <c r="AN24"/>
  <c r="AN23"/>
  <c r="AN22"/>
  <c r="AN21"/>
  <c r="AN20"/>
  <c r="AN19"/>
  <c r="AN18"/>
  <c r="AN17"/>
  <c r="AN16"/>
  <c r="AN15"/>
  <c r="AN14"/>
  <c r="AN13"/>
  <c r="AN12"/>
  <c r="AN11"/>
  <c r="AN10"/>
  <c r="AN9"/>
  <c r="AN8"/>
  <c r="AN7"/>
  <c r="AN6"/>
  <c r="AN5"/>
  <c r="AN4"/>
  <c r="AN3"/>
  <c r="AN2"/>
</calcChain>
</file>

<file path=xl/sharedStrings.xml><?xml version="1.0" encoding="utf-8"?>
<sst xmlns="http://schemas.openxmlformats.org/spreadsheetml/2006/main" count="2582" uniqueCount="1121">
  <si>
    <t>GLOBUS MEDICAL_21793512</t>
  </si>
  <si>
    <t>Alinity C Magnesium Reagent 720/Bx</t>
  </si>
  <si>
    <t>SNARE ENDOSCOPIC LASSO HOT/COLD 10-15-25MM 230CM OVAL 3-IN-1 ROTATABLE SMART HANDLE F/POLYPECTOMY 2.8MM CHANNEL</t>
  </si>
  <si>
    <t>SYSTEM ANALYZER CHEMISTRY CONNECT W/CONNECTOR BARCODE READER F/URINALYSIS CLINITEK STATUS</t>
  </si>
  <si>
    <t>475R98</t>
  </si>
  <si>
    <t>21813106</t>
  </si>
  <si>
    <t>STRYKER</t>
  </si>
  <si>
    <t>ARTHREX_AR8980BCT</t>
  </si>
  <si>
    <t>SL911</t>
  </si>
  <si>
    <t>BLUNT OBTURATOR FOR 4.5MM METAL CANNULA</t>
  </si>
  <si>
    <t>ELECTRODE ELECTROTHERAPY 2INW X 3.5INL CLOTH RECTANGULAR SELF-ADHESIVE CONDUCTIVE FILM MULTISTICK GEL VALUTRODE LATEX-FREE REUSABLE 4/PK</t>
  </si>
  <si>
    <t>Cardinal Health 200, LLC</t>
  </si>
  <si>
    <t>SIEMENS_10707065</t>
  </si>
  <si>
    <t>MEDICAL ACTION</t>
  </si>
  <si>
    <t>REPLACEMENT HEPA FILTERS SET OF 3</t>
  </si>
  <si>
    <t>STERIS_SCECO230</t>
  </si>
  <si>
    <t>CareFusion 2200, Inc.</t>
  </si>
  <si>
    <t>Ref#</t>
  </si>
  <si>
    <t>HCPCS description</t>
  </si>
  <si>
    <t>4352C092LB15</t>
  </si>
  <si>
    <t>21817012</t>
  </si>
  <si>
    <t>PLATE BONE ANTHEM 143MM F/3.5MM SCREW HOLEX12 NON-STERILE STRAIGHT STAINLESS STEEL</t>
  </si>
  <si>
    <t>MIRUS BIO_7232MT</t>
  </si>
  <si>
    <t>NEEDLE PROCEDURE ACQCROSS QX 63CM TRANSSEPTAL BRAIDED STEERABLE W/0.032IN 180CM J-TIP GW EGM ADAPTER CABLE ES DIL 63CM SL1</t>
  </si>
  <si>
    <t>MTP DORSAL PLATE SMALL RIGHT NEUTRAL</t>
  </si>
  <si>
    <t>HCPCS</t>
  </si>
  <si>
    <t>URL</t>
  </si>
  <si>
    <t>SC.ECO230</t>
  </si>
  <si>
    <t>HOSE BLOOD PRESSURE MONITOR 2 MALE SLIP LUER TO 2 MALE BAYONET 3.5M ADULT/PEDIATRIC F/BSM-2300/4100/5100/9510/9800</t>
  </si>
  <si>
    <t>SL971</t>
  </si>
  <si>
    <t>PLATE LOCKING COVER 10MM</t>
  </si>
  <si>
    <t>Utility Straight Plate 5 Hole</t>
  </si>
  <si>
    <t>RA1-000214</t>
  </si>
  <si>
    <t>3360232</t>
  </si>
  <si>
    <t>6783SOFT11L</t>
  </si>
  <si>
    <t>213-0048</t>
  </si>
  <si>
    <t>STORZ</t>
  </si>
  <si>
    <t>O-RING3/8</t>
  </si>
  <si>
    <t>PLATE SPINAL CYGNUS 32MM LEVELX2 ANTERIOR CERVICAL</t>
  </si>
  <si>
    <t>2130048</t>
  </si>
  <si>
    <t>Alphatec Spine, Inc.</t>
  </si>
  <si>
    <t>AKUP0005</t>
  </si>
  <si>
    <t>Medegen Medical Products, LLC</t>
  </si>
  <si>
    <t>SCECO230</t>
  </si>
  <si>
    <t>MEDLINE</t>
  </si>
  <si>
    <t>MEDTRONIC_900304</t>
  </si>
  <si>
    <t>BATTERIES,LITHIUM,CR123A,PK12</t>
  </si>
  <si>
    <t>PRIME</t>
  </si>
  <si>
    <t>IMPERATIVE CARE INC</t>
  </si>
  <si>
    <t>Solaire</t>
  </si>
  <si>
    <t>Solaire_SHEPFIL3</t>
  </si>
  <si>
    <t>081214196</t>
  </si>
  <si>
    <t>ALINITY C LQ LCTC ACID RG</t>
  </si>
  <si>
    <t>PROFEMURR GLADIATORR THIN HA CLASSIC W/ COLLAR SIZE 6 STD</t>
  </si>
  <si>
    <t>NIHON</t>
  </si>
  <si>
    <t>RP1000210</t>
  </si>
  <si>
    <t>TUBE CENTRIFUGE POLYPROPYLENE 50ML CAPACITY CONICAL BOTTOM GRADUATED SCREW ON CAP STYROFOAM RACK TRANSLUCENT STERILE 500/CA</t>
  </si>
  <si>
    <t>Location</t>
  </si>
  <si>
    <t>Property</t>
  </si>
  <si>
    <t>ANTERIOR PLATE LOCKING COVER 14MM</t>
  </si>
  <si>
    <t>Imperative Care, Inc.</t>
  </si>
  <si>
    <t>INSIGNIA ACP 1LEVEL 19 MM</t>
  </si>
  <si>
    <t>AR9517</t>
  </si>
  <si>
    <t>A20 SP235</t>
  </si>
  <si>
    <t>900303</t>
  </si>
  <si>
    <t>OSTEOMED</t>
  </si>
  <si>
    <t>Siemens Healthcare Diagnostics Inc.</t>
  </si>
  <si>
    <t>ANTIBODY IMMUNOLOGY INSM1 RABBIT MONOCLONAL 7.0 ML PREDILUTE</t>
  </si>
  <si>
    <t>AR8980BCT</t>
  </si>
  <si>
    <t>ICTC088103R</t>
  </si>
  <si>
    <t>STAIN HISTOLOGY HEMATOXYLIN GILLS 1 1X1GA EA</t>
  </si>
  <si>
    <t>ABBOTT_68232</t>
  </si>
  <si>
    <t>Newest Uni Knee</t>
  </si>
  <si>
    <t>2.5MM T-PLATE, POLYAXIAL, 12 HOLE, SS</t>
  </si>
  <si>
    <t>In2Bones USA, LLC</t>
  </si>
  <si>
    <t>RA1000214</t>
  </si>
  <si>
    <t>NEEDLE PROCEDURE ACQCROSS QX 71CM TRANSSEPTAL BRAIDED STEERABLE W/0.032IN 180CM J-TIP GW EGM ADAPTER CABLE ES DIL 71CM CARTO VIZIGO</t>
  </si>
  <si>
    <t>Medline Industries, LP</t>
  </si>
  <si>
    <t>GOJO IND INC_10943252</t>
  </si>
  <si>
    <t>DUROGRIP</t>
  </si>
  <si>
    <t>POLYLOCK MIDFOOT</t>
  </si>
  <si>
    <t>Potential Duplicates</t>
  </si>
  <si>
    <t>Abbott Nutrition</t>
  </si>
  <si>
    <t>B107717</t>
  </si>
  <si>
    <t>QE Code</t>
  </si>
  <si>
    <t>Long Description</t>
  </si>
  <si>
    <t>ARTHREX_ABS406005</t>
  </si>
  <si>
    <t>PRIME BIOFOAM MULTIHOLE SHELL 50 MM GROUP C</t>
  </si>
  <si>
    <t>CT-0205-01</t>
  </si>
  <si>
    <t>Sterile</t>
  </si>
  <si>
    <t>Centrifuge Tube Sterile Rack 50 mL Conical Bottom 500/cs</t>
  </si>
  <si>
    <t>UTILITY STRAIGHT PLATE 5 HOLE</t>
  </si>
  <si>
    <t>ANTHEM 2.5MM TPLATE POLYAXIAL 12 HOLES 85MM SS</t>
  </si>
  <si>
    <t>Medtronic, Inc.</t>
  </si>
  <si>
    <t>5E080</t>
  </si>
  <si>
    <t>PLATE BONE ANTHEM 121MM HOLEX6 NON-STERILE LEFT PROXIMAL POSTEROMEDIAL TIBIAL STAINLESS STEEL</t>
  </si>
  <si>
    <t>C1713</t>
  </si>
  <si>
    <t>118012</t>
  </si>
  <si>
    <t>STRYKER_0146830100</t>
  </si>
  <si>
    <t>GOJO IND INC</t>
  </si>
  <si>
    <t>4 HOLE ANTERIOR PLATE, 14MM</t>
  </si>
  <si>
    <t>ZOOM RDL RADIAL ACCESS SYSTEM</t>
  </si>
  <si>
    <t>Integra - Seaspine Sales LLC</t>
  </si>
  <si>
    <t>GASKET O-RING 3/8 SIZE</t>
  </si>
  <si>
    <t>DB-1014-C</t>
  </si>
  <si>
    <t>359.224</t>
  </si>
  <si>
    <t>PLATE BONE ANTHEM 143MM HOLEX6 NON-STERILE RIGHT PROXIMAL MEDIAL TIBIAL STAINLESS STEEL</t>
  </si>
  <si>
    <t>DIVERSATEK</t>
  </si>
  <si>
    <t>AR-9517</t>
  </si>
  <si>
    <t>BOSTON</t>
  </si>
  <si>
    <t>RefName</t>
  </si>
  <si>
    <t>JNJ_02112712S</t>
  </si>
  <si>
    <t>SlNo</t>
  </si>
  <si>
    <t>BRAUN_BM084R</t>
  </si>
  <si>
    <t>AESCULAP</t>
  </si>
  <si>
    <t>ARTHREX_AR342145</t>
  </si>
  <si>
    <t>2.5MM PLUS STRAIGHT PLATE, POLYAXIAL, 6 HOLE, SS</t>
  </si>
  <si>
    <t>2187.4306</t>
  </si>
  <si>
    <t>Philips Healthcare</t>
  </si>
  <si>
    <t>GLOBUS MEDICAL_21873506</t>
  </si>
  <si>
    <t>STERIS Instrument Management Services, Inc.</t>
  </si>
  <si>
    <t>LASSO POLYPECTOMY SNARE OVAL 10 MM ROTATABLE 230 CM COLD ONLY</t>
  </si>
  <si>
    <t>LX4108</t>
  </si>
  <si>
    <t>ARTHREX_AR621TR2</t>
  </si>
  <si>
    <t>FISHER_02261840</t>
  </si>
  <si>
    <t>2187.3506</t>
  </si>
  <si>
    <t>RETRACTOR SURGICAL V.MUELLER SMITH BUIE 7/8IN X 2 7/8IN BLADE 2 1/8IN OPENING ANAL SWIVEL BLADE SELF-RETAINING SATIN FINISH STAINLESS STEEL PREMIUM GRADE</t>
  </si>
  <si>
    <t>ARTHREX_ARXNUK</t>
  </si>
  <si>
    <t>RA1200414</t>
  </si>
  <si>
    <t>2 HOLE LATERAL PLATE, 10MM</t>
  </si>
  <si>
    <t>Howmedica Osteonics Corp. dba Stryker Spine</t>
  </si>
  <si>
    <t>PrimaryDimension(IDXODXLXWXHXDXTHK)</t>
  </si>
  <si>
    <t>Production User</t>
  </si>
  <si>
    <t>CAULK ADHESIVE TUB/TILE ACRYLIC 5.5OZ MILD DEW RESISTANT WHITE H6202-C 1.57-1.59 SPECIFIC GRAVITY</t>
  </si>
  <si>
    <t>Quality A/R</t>
  </si>
  <si>
    <t>PLATE LOCKING COVER, 10MM</t>
  </si>
  <si>
    <t>OBTURATOR ARTHROSCOPIC BLUNT TIP F/4.5MM METAL CANNULA REUSABLE</t>
  </si>
  <si>
    <t>ASIS Item Description (Long Description 4000)</t>
  </si>
  <si>
    <t>P3SBMC50</t>
  </si>
  <si>
    <t>MFGName</t>
  </si>
  <si>
    <t>Long Description 254 Enriched</t>
  </si>
  <si>
    <t>Sort Code</t>
  </si>
  <si>
    <t>Item Long Description</t>
  </si>
  <si>
    <t>V. MUELLER</t>
  </si>
  <si>
    <t>KIT REAGENT CHEM ANALYZER ALINITY C LACTIC ACID LIQUID 1000TEST/KT</t>
  </si>
  <si>
    <t>2.0MM BALL TIP GUIDEWIRE</t>
  </si>
  <si>
    <t>21873506</t>
  </si>
  <si>
    <t>10943261</t>
  </si>
  <si>
    <t>ORAL, ORAL-FED NUTRITION STRAWBERRY ARC - ENSURE PLUS HIGH PROTEIN - 24/8 OZ</t>
  </si>
  <si>
    <t>ABS-4060-05</t>
  </si>
  <si>
    <t>Ingenium Spine, LLC</t>
  </si>
  <si>
    <t>MF-MP-3049</t>
  </si>
  <si>
    <t>JUMPSTART FLEXEFIT 5 PACK</t>
  </si>
  <si>
    <t>DE Code</t>
  </si>
  <si>
    <t>T7 ZIPPER TOGA W PEELAWAY XL</t>
  </si>
  <si>
    <t>PERFORMANCE HEALTH</t>
  </si>
  <si>
    <t>36N220</t>
  </si>
  <si>
    <t>Medacta USA, Inc.</t>
  </si>
  <si>
    <t>MedGyn Products, Inc.</t>
  </si>
  <si>
    <t>GRAINGER_5E080</t>
  </si>
  <si>
    <t>FILTER CYTOLOGY STATPREP 5.5MCM NON-GYN ULTRA-THIN FILM POLYCARBONATE MEMBRANE MICRO-POROUS BLUE F/LBC PROCESSOR EA</t>
  </si>
  <si>
    <t>Job No</t>
  </si>
  <si>
    <t>FORCEPS ENDOSCOPIC RHINOFORCE II STAMMBERGER 12CM WORKING 3MM SPOON TISSUE 65DEG UPTURNED ROUND DOUBLE VERTICAL OPENING CLEANING CONNECTOR</t>
  </si>
  <si>
    <t>GOJO Industries, Inc.</t>
  </si>
  <si>
    <t>10707065</t>
  </si>
  <si>
    <t>TOP UTERINE SMALL NON-CONDUCTIVE 10/BX</t>
  </si>
  <si>
    <t>ABBOTT_08P1925</t>
  </si>
  <si>
    <t>BOSTON_DB1014C</t>
  </si>
  <si>
    <t>68232</t>
  </si>
  <si>
    <t>HERCULES FT SUTURE ANCHOR 3.5 MM X 10.5 MM WITH TWO #0 BIGHTFORCE SUTURE AND TAPERED 1/2 CIRCLE NEEDLES</t>
  </si>
  <si>
    <t>08P1925</t>
  </si>
  <si>
    <t>KIT RAPID TEST RUBELLA HUMAN SERUM SLIDE LATEX AGGLUTINATION QUALITATIVE/SEMI-QUANTITATIVE W/3-LEVEL CONTROL 8MIN CLIA NON-WAIVED 100TEST/BX</t>
  </si>
  <si>
    <t>STORZ_36N220</t>
  </si>
  <si>
    <t>Fusion Orthopedics, LLC</t>
  </si>
  <si>
    <t>HOLDER NEEDLE DUROGRIP HEANEY 260MM 0.5MM PITCH CURVED SERRATED JAW RATCHET GOLD RING TUNGSTEN CARBIDE F/UPTO 30 SUTURE PREMIUM GRADE</t>
  </si>
  <si>
    <t>SNARE ENDOSCOPIC LASSO 101525MM 230CM OVAL 3IN1 ROTATABLE SMART HANDLE F/POLYPECTOMY 2.8MM CHANNEL</t>
  </si>
  <si>
    <t>DISPENSER EMESIS BAG 6.5INW X 15INL LDPE WALL HANGING DISPENSER TRANSPARENT BLUE F/EMERGENCY ROOM ONCOLOGY RADIOLOGY LATEX-FREE</t>
  </si>
  <si>
    <t>ANTHEM 2.5MM YPLATE POLYAXIAL 12 HOLES 89MM SS</t>
  </si>
  <si>
    <t>MEDACTA_359224</t>
  </si>
  <si>
    <t>GUIDE ARTHROSCOPIC IBALANCE RIGHT TIBIAL CUTTING DISPOSABLE F/UKA</t>
  </si>
  <si>
    <t>Depuy Orthopaedics, Inc.</t>
  </si>
  <si>
    <t>038-35-300U</t>
  </si>
  <si>
    <t>MTP Dorsal Plate Neutral Small Right</t>
  </si>
  <si>
    <t>DRESSING GERMICIDAL JUMPSTART FLEXE FIT 2.5IN X 6.3IN 1.5IN X 4.5IN PAD 5/BX</t>
  </si>
  <si>
    <t>Customer Code</t>
  </si>
  <si>
    <t>MEDTRONIC</t>
  </si>
  <si>
    <t>2.5MM Y-PLATE, POLYAXIAL, 12 HOLE, SS</t>
  </si>
  <si>
    <t>NIST TRACEABILITY VERIFICATION FOR AEROSCOUT T5A TEMPERATURE TAG. CERTIFICATION PRICE IS FOR A SINGLE TAG. INCLUDES CERTIFICATE. INCLUDES T5A TEMPERATURE TAG. MINIMUM ORDER OF 5 REQUIRED FOR THIS PRODUCT.</t>
  </si>
  <si>
    <t>Diversatek Healthcare, Inc.</t>
  </si>
  <si>
    <t>Miscellaneous</t>
  </si>
  <si>
    <t>SIEMENS</t>
  </si>
  <si>
    <t>PRIME BIOFOAM MULTI-HOLE SHELL50 MM GROUP C</t>
  </si>
  <si>
    <t>Arthrex, Inc.</t>
  </si>
  <si>
    <t>MEB3933D</t>
  </si>
  <si>
    <t>BM084R</t>
  </si>
  <si>
    <t>NIHON_H073018</t>
  </si>
  <si>
    <t>Globus Medical, Inc.</t>
  </si>
  <si>
    <t>Solaire Medical</t>
  </si>
  <si>
    <t>H07-30-18</t>
  </si>
  <si>
    <t>GAS CALIBRATION CAL 1 CYLINDER FOR TCP02/C02 6/BX</t>
  </si>
  <si>
    <t>1180-12</t>
  </si>
  <si>
    <t>BrandName</t>
  </si>
  <si>
    <t>DIVERSATEK_118011</t>
  </si>
  <si>
    <t>1180-11</t>
  </si>
  <si>
    <t>FAST FIX FLX CRVD INSRTR BNDR CANN SET</t>
  </si>
  <si>
    <t>HOLDER BLOOD COLLECTION TUBE SAF-T-HOLDER SAFETY MULTI-SAMPLE MALE LUER ADAPTER CLEAR LATEX-FREE STERILE SINGLE-USE 50/BX 200/CA</t>
  </si>
  <si>
    <t>MFMP3049</t>
  </si>
  <si>
    <t>Description Duplicate</t>
  </si>
  <si>
    <t>CARDINAL</t>
  </si>
  <si>
    <t>10943252</t>
  </si>
  <si>
    <t>MEDGYN PROD INC_ORING12</t>
  </si>
  <si>
    <t>BRAUN_BJ021R</t>
  </si>
  <si>
    <t>ABBOTT</t>
  </si>
  <si>
    <t>Welch Allyn, Inc.</t>
  </si>
  <si>
    <t>Modifier</t>
  </si>
  <si>
    <t>Verified MFR Name</t>
  </si>
  <si>
    <t>ANTHEM</t>
  </si>
  <si>
    <t>ARTHREX</t>
  </si>
  <si>
    <t>O RING FOR 1/2IN SACK (10/PACK)</t>
  </si>
  <si>
    <t>07153181LF</t>
  </si>
  <si>
    <t>022324</t>
  </si>
  <si>
    <t>Production Comments</t>
  </si>
  <si>
    <t>BRAUN</t>
  </si>
  <si>
    <t>CY-FILT-NONGYN/100</t>
  </si>
  <si>
    <t>O-RING1/2</t>
  </si>
  <si>
    <t>SE Code</t>
  </si>
  <si>
    <t>CUFF BLOOD PRESSURE FLEXIPORT 1-PIECE ADULT SIZE 11L LONG 25-34CM NO TUBE/CONNECTOR SOFT NAVY BLUE INK HOOK-LOOP W/INTEGRATED BLADDER FABRIC LATEX-FREE DISPOSABLE 20/CA</t>
  </si>
  <si>
    <t>GLOBUS MEDICAL_21813106</t>
  </si>
  <si>
    <t>GLOBUS MEDICAL_21813512</t>
  </si>
  <si>
    <t>096000</t>
  </si>
  <si>
    <t>088</t>
  </si>
  <si>
    <t>2181.3512</t>
  </si>
  <si>
    <t>Volume/Weight</t>
  </si>
  <si>
    <t>RP1100210</t>
  </si>
  <si>
    <t>MEDTRONIC_900302</t>
  </si>
  <si>
    <t>SANITIZER HAND PURELL ADVANCED REFILL 2X1200ML YELLOW FRUIT SCENTED FOAM PUMP BOTTLE ANTIMICROBIAL 70% ETHANOL HYPOALLERGENIC DYE-FREE F/ES8 TOUCH-FREE DISPENSER 2/CA</t>
  </si>
  <si>
    <t>RP1-100210</t>
  </si>
  <si>
    <t>MFUP0102</t>
  </si>
  <si>
    <t>MACHINE BIPAP ADULT SINGLE LIMB 1.8M SMOOTHBORE F/BIPAP W/PRESSURE LINE</t>
  </si>
  <si>
    <t>AR-8980BCT</t>
  </si>
  <si>
    <t>SMITH</t>
  </si>
  <si>
    <t>Brand Name</t>
  </si>
  <si>
    <t>FISHER</t>
  </si>
  <si>
    <t>2181.7012</t>
  </si>
  <si>
    <t>Boston Scientific Corporation</t>
  </si>
  <si>
    <t>2181.3412</t>
  </si>
  <si>
    <t>ALPHATEC_3360119</t>
  </si>
  <si>
    <t>Verified MFR Num</t>
  </si>
  <si>
    <t>UNSPC V24</t>
  </si>
  <si>
    <t>Cell Marque Corporation</t>
  </si>
  <si>
    <t>PRODIGO REFERENCE ID</t>
  </si>
  <si>
    <t>RP1-000210</t>
  </si>
  <si>
    <t>MULTI-COLORED TRAC TIMER</t>
  </si>
  <si>
    <t>Remarks</t>
  </si>
  <si>
    <t>OSTEOMED_2130048</t>
  </si>
  <si>
    <t>MEDGYN PROD INC_022324</t>
  </si>
  <si>
    <t>Age</t>
  </si>
  <si>
    <t>STAIN CYTOLOGY CLASSICAL EA-50 1X1GA EA</t>
  </si>
  <si>
    <t>IMPERATIVE CARE INC_ICTC088103R</t>
  </si>
  <si>
    <t>QE Comments</t>
  </si>
  <si>
    <t>ORING38</t>
  </si>
  <si>
    <t>RefCat</t>
  </si>
  <si>
    <t>ANTHEM POSTEROMEDIAL PROXIMAL TIBIA PLATE LEFT 6 HOLE 121MM SS</t>
  </si>
  <si>
    <t>STERIS</t>
  </si>
  <si>
    <t>Size</t>
  </si>
  <si>
    <t>ENSURE PLUS HIGH PROTEIN STRWBRY 8OZ 24/CS</t>
  </si>
  <si>
    <t>IMPLANT ORTHOPEDIC STRAIGHT PLATE HOLE X2 MIDFOOT COMPRESSION</t>
  </si>
  <si>
    <t>ASSEMBLY SPINAL 25MM N-PLATE LEVEL-1 F/ASPIRON ACP SYSTEM</t>
  </si>
  <si>
    <t>09P5924</t>
  </si>
  <si>
    <t>Len</t>
  </si>
  <si>
    <t>2179.3512</t>
  </si>
  <si>
    <t>MF-UP-0102</t>
  </si>
  <si>
    <t>DX KNOTLESS SWVLK BC 4.75 MM CC FT</t>
  </si>
  <si>
    <t>FAST FIX FLEX</t>
  </si>
  <si>
    <t>GLOBUS MEDICAL_21813412</t>
  </si>
  <si>
    <t>SMITH_72205324</t>
  </si>
  <si>
    <t>IN2BONE</t>
  </si>
  <si>
    <t>FXBRIDGE TUBEROSITY REPAIR SYSTEM</t>
  </si>
  <si>
    <t>Thermo Fisher Scientific</t>
  </si>
  <si>
    <t>0146830100</t>
  </si>
  <si>
    <t>ABS406005</t>
  </si>
  <si>
    <t>ABBOTT_08P2121</t>
  </si>
  <si>
    <t>336-0232</t>
  </si>
  <si>
    <t>900304</t>
  </si>
  <si>
    <t>GRAINGER_2VEW2</t>
  </si>
  <si>
    <t>ALPHATEC</t>
  </si>
  <si>
    <t>118011</t>
  </si>
  <si>
    <t>CARDINAL_B107717</t>
  </si>
  <si>
    <t>Packaging for drugs and solutions</t>
  </si>
  <si>
    <t>B1077-17</t>
  </si>
  <si>
    <t>CHJ</t>
  </si>
  <si>
    <t/>
  </si>
  <si>
    <t>21793512</t>
  </si>
  <si>
    <t>21874306</t>
  </si>
  <si>
    <t>ANTHEM 2.5MM PLUS TPLATE POLYAXIAL 12 HOLES 89MM SS</t>
  </si>
  <si>
    <t>GLOBUS MEDICAL_21874306</t>
  </si>
  <si>
    <t>IN2BONE_A20SP235</t>
  </si>
  <si>
    <t>StatLab Gill 1 Hematoxylin Stain Quantity 4 x 1 gal. WARNING  California  Reproductive Hazard 1/EA</t>
  </si>
  <si>
    <t>MIRUS BIO</t>
  </si>
  <si>
    <t>Activities</t>
  </si>
  <si>
    <t>MEDTRONIC_900303</t>
  </si>
  <si>
    <t>TAG5100NIST100</t>
  </si>
  <si>
    <t>PHILIPS_989803100841</t>
  </si>
  <si>
    <t>GLOBUS MEDICAL</t>
  </si>
  <si>
    <t>FORCEPS SURGICAL OVERHOLT GEISSENDORFER DISSECTING SIZE 1 8IN CURVED LIGATING PREMIUM GRADE</t>
  </si>
  <si>
    <t>ANTHEM 3.5MM STRAIGHT PLATE 12 HOLE 143MM SS</t>
  </si>
  <si>
    <t>ALINITY</t>
  </si>
  <si>
    <t>ANCHOR SUTURE DX SWIVELOCK KNOTLESS 4.75MM W/COLLAGEN COATED FIBERTAPE SUTURE F/REPAIR FOOT ANKLE SOFT TISSUE NON-RADIOLUCENT BIOCOMPOSITE</t>
  </si>
  <si>
    <t>SHEPFIL3</t>
  </si>
  <si>
    <t>Prodigo UNSPSC</t>
  </si>
  <si>
    <t>INSIGNIA</t>
  </si>
  <si>
    <t>21813512</t>
  </si>
  <si>
    <t>CLAMP FEEDING PUMP POLE EPUMP KANGAROO</t>
  </si>
  <si>
    <t>TIMER MULTICOLOREDASSORTED BOLD 1 EA</t>
  </si>
  <si>
    <t>IBAL UKA DISP TIB CUT GUIDE RIGHT</t>
  </si>
  <si>
    <t>CARDINAL_07153181LF</t>
  </si>
  <si>
    <t>Noun</t>
  </si>
  <si>
    <t>PROFEMUR</t>
  </si>
  <si>
    <t>NEEDLEHOLDERMODIFIEDCLEAN LUBRICATE RESET ECONOMY REPAIR</t>
  </si>
  <si>
    <t>359224</t>
  </si>
  <si>
    <t>2 HOLE LATERAL PLATE 10MM</t>
  </si>
  <si>
    <t>HH Product Description</t>
  </si>
  <si>
    <t>CYFILTNONGYN100</t>
  </si>
  <si>
    <t>989803100841</t>
  </si>
  <si>
    <t>PLATE BONE VA-LCP F/2.7MM SCREW STERILE VARIABLE ANGLE COMPRESSION LOCKING LEFT SHAFT CLAVICLE XLONG STAINLESS STEEL</t>
  </si>
  <si>
    <t>BATTERIESLITHIUMCR123APK12</t>
  </si>
  <si>
    <t>GLOBUS MEDICAL_21817012</t>
  </si>
  <si>
    <t>Abbott Laboratories Inc.</t>
  </si>
  <si>
    <t>IlluminOss_CT020501</t>
  </si>
  <si>
    <t>Performance Health Supply, Inc.</t>
  </si>
  <si>
    <t>KIT RAPID TEST RUBELLA LATEX AGGLUTINATION SLIDE CLIA NONWAIVED W/3 LEVEL CONTROL IN DROPPER TIP VIAL 100TESTS</t>
  </si>
  <si>
    <t>Fusion Orthopedics_MFUP0102</t>
  </si>
  <si>
    <t>Start Date</t>
  </si>
  <si>
    <t>23042343</t>
  </si>
  <si>
    <t>HERCULES SUTURE ANCHOR SYSTEM</t>
  </si>
  <si>
    <t>02261840</t>
  </si>
  <si>
    <t>JNJ</t>
  </si>
  <si>
    <t>Accepted Date</t>
  </si>
  <si>
    <t>CARDINAL_SU290</t>
  </si>
  <si>
    <t>PDF</t>
  </si>
  <si>
    <t>SU290</t>
  </si>
  <si>
    <t>MERIDIAN</t>
  </si>
  <si>
    <t>Genus P16 Patient Implant Kit</t>
  </si>
  <si>
    <t>02112712S</t>
  </si>
  <si>
    <t>MEDGYN PROD INC_ORING38</t>
  </si>
  <si>
    <t>GRAINGER</t>
  </si>
  <si>
    <t>FLEXICARE</t>
  </si>
  <si>
    <t>GOJO IND INC_10943261</t>
  </si>
  <si>
    <t>PHILIPS</t>
  </si>
  <si>
    <t>Sort Comment</t>
  </si>
  <si>
    <t>SERVICE LABORATORY EQUIPMENT RAPIDPOINT 500 TOP 3 EXTENDED F/BLOOD GAS ANALYZER</t>
  </si>
  <si>
    <t>AK-UP-0005</t>
  </si>
  <si>
    <t>Material</t>
  </si>
  <si>
    <t>72205324</t>
  </si>
  <si>
    <t>RP500 BLOOD GAS ANALYZER TOP 3 EXTENDED SERVICE</t>
  </si>
  <si>
    <t>900302</t>
  </si>
  <si>
    <t>A20SP235</t>
  </si>
  <si>
    <t>PERFORMANCE HEALTH_081214196</t>
  </si>
  <si>
    <t>ABBOTT_09P5924</t>
  </si>
  <si>
    <t>2181.3106</t>
  </si>
  <si>
    <t>MICROPORT</t>
  </si>
  <si>
    <t>RA1-200414</t>
  </si>
  <si>
    <t>2VEW2</t>
  </si>
  <si>
    <t>08P2121</t>
  </si>
  <si>
    <t>CARDINAL HEALTH</t>
  </si>
  <si>
    <t>03835300U</t>
  </si>
  <si>
    <t>MICROPORT_PGHCCLS6</t>
  </si>
  <si>
    <t>CAULK ADHESIVE TUB/TILE ACRYLIC 5.5OZ MILD DEW RESISTANT WHITE H6202C 1.571.59 SPECIFIC GRAVITY</t>
  </si>
  <si>
    <t>SCREW SPINAL PEDICLE 25MM LONG LT 6X40 CANNULATED</t>
  </si>
  <si>
    <t>FLEXICARE_03835300U</t>
  </si>
  <si>
    <t>CE Code</t>
  </si>
  <si>
    <t>SET ARTHROSCOPIC FAST-FIX FLEX W/CURVED INSERTER NEEDLE BENDER CANNULA F/MENISCAL REPAIR</t>
  </si>
  <si>
    <t>SL91-1</t>
  </si>
  <si>
    <t>Conc</t>
  </si>
  <si>
    <t>LASSO</t>
  </si>
  <si>
    <t>Osteomed LLC</t>
  </si>
  <si>
    <t>7-2-32MT</t>
  </si>
  <si>
    <t>1 6MM PRE BENT PLATE  2MM STEP  LEFT</t>
  </si>
  <si>
    <t>ANTHEM 2.5MM PLUS STRAIGHT PLATE POLYAXIAL 6 HOLES 50MM SS</t>
  </si>
  <si>
    <t>Nihon Kohden America, Inc.</t>
  </si>
  <si>
    <t>AR-3421-4.5</t>
  </si>
  <si>
    <t>02-261-840</t>
  </si>
  <si>
    <t>BJ021R</t>
  </si>
  <si>
    <t>POLYLOCK ANKLE PLATES</t>
  </si>
  <si>
    <t>NEEDLE PROCEDURE ACQCROSS QX 65CM TRANSSEPTAL BRAIDED STEERABLE W/0.032IN 180CM J-TIP GW EGM ADAPTER CABLE ES DIL 65CM FLEXCATH ADVANCE</t>
  </si>
  <si>
    <t>WELCH ALLYN</t>
  </si>
  <si>
    <t>CELL MARQUE</t>
  </si>
  <si>
    <t>Securitas Healthcare_TAG5100NIST100</t>
  </si>
  <si>
    <t>Alinity C Haptoglobin Reagent 180/Bx</t>
  </si>
  <si>
    <t>Latex</t>
  </si>
  <si>
    <t>INSIGNIA, ACP,1-LEVEL, 19 MM</t>
  </si>
  <si>
    <t>ANTHEM MEDIAL PROXIMAL TIBIA PLATE RIGHT 6 HOLE 143MM SS</t>
  </si>
  <si>
    <t>CARDINAL_382492</t>
  </si>
  <si>
    <t>DIVERSATEK_118012</t>
  </si>
  <si>
    <t>ICU Medical Sales, Inc.</t>
  </si>
  <si>
    <t>HOLDER NEEDLE DUROGRIP HEANEY 260MM 0.5MM PITCH CURVED SERRATED JAW RATCHET GOLD RING TUNGSTEN CARBIDE F/UPTO 3-0 SUTURE PREMIUM GRADE</t>
  </si>
  <si>
    <t>ARTHREX_AR9517</t>
  </si>
  <si>
    <t>CT020501</t>
  </si>
  <si>
    <t>Fusion Orthopedics_MFMP3049</t>
  </si>
  <si>
    <t>02.112.712S</t>
  </si>
  <si>
    <t>STOCKING COMPRESSION ANTI-EMBOLISM T.E.D SIZE P XLARGE REGULAR 29-33IN THIGH HIGH WHITE TOP LIGHT GREEN TOE 2-PLY OPEN INSPECT TOE W/O BELT GUSSET LATEX-FREE 18MMHG</t>
  </si>
  <si>
    <t>ORING12</t>
  </si>
  <si>
    <t>W.W. Grainger, Inc.</t>
  </si>
  <si>
    <t>BALM LIP REMEDY ESSENTIALS 0.15OZ TUBE PETROLATUM-FREE ALOE VERA 36/CA</t>
  </si>
  <si>
    <t>PLATE BONE ICON 2MM STEP PRE-BEND F/1.6MM SCREW LEFT CRANIOMAXILLOFACIAL</t>
  </si>
  <si>
    <t>ANCHOR SUTURE HERCULES 3.5MM 10.5MM FULLY THREADED PEEK YELLOW W/2-#0 BIGHTFORCE TAPERED 1/2 CIRCLE NEEDLE RADIOLUCENT STERILE</t>
  </si>
  <si>
    <t>2.5MM PLUS T- PLATE, POLYAXIAL, 12 HOLE, SS</t>
  </si>
  <si>
    <t>SE Comments</t>
  </si>
  <si>
    <t>PROFEMUR GLADIATOR THIN HA CLASSIC W/COLLAR SIZE 6 STD</t>
  </si>
  <si>
    <t>Secondary Dimension(IDXODXLXWXHXDXTHK)</t>
  </si>
  <si>
    <t>STRAIGHT PLATE COMPRESSION 2 HOLE</t>
  </si>
  <si>
    <t>REAGENT CHEM ANALYZER ALINITY C MAGNESIUM 720TEST/EA</t>
  </si>
  <si>
    <t>Classification Remarks</t>
  </si>
  <si>
    <t>475R-98</t>
  </si>
  <si>
    <t>21813412</t>
  </si>
  <si>
    <t>Gender</t>
  </si>
  <si>
    <t>3360119</t>
  </si>
  <si>
    <t>MEDACTA</t>
  </si>
  <si>
    <t>CELL MARQUE_475R98</t>
  </si>
  <si>
    <t>REGATTA</t>
  </si>
  <si>
    <t>AR342145</t>
  </si>
  <si>
    <t>NCA1025</t>
  </si>
  <si>
    <t>RETRACTOR SURGICAL V.MUELLER SMITH BUIE 7/8IN X 2 7/8IN BLADE 2 1/8IN OPENING ANAL SWIVEL BLADE SELFRETAINING SATIN FINISH STAINLESS STEEL PREMIUM GRADE</t>
  </si>
  <si>
    <t>TAG-5100-NIST-100</t>
  </si>
  <si>
    <t>Data Enrichment | UNSPSC Classification</t>
  </si>
  <si>
    <t>INSIGNIA ACP 2LEVEL 32 MM</t>
  </si>
  <si>
    <t>Status</t>
  </si>
  <si>
    <t>Corrected By</t>
  </si>
  <si>
    <t>Color</t>
  </si>
  <si>
    <t>0146-830-100</t>
  </si>
  <si>
    <t>Securitas Healthcare LLC</t>
  </si>
  <si>
    <t>ARXNUK</t>
  </si>
  <si>
    <t>SLMP, LLC dba StatLab Medical Products</t>
  </si>
  <si>
    <t>H073018</t>
  </si>
  <si>
    <t>10707-065</t>
  </si>
  <si>
    <t>MicroPort Orthopedics Inc</t>
  </si>
  <si>
    <t>7232MT</t>
  </si>
  <si>
    <t>REPAIR MEDICAL INSTRUMENT HOLDER NEEDLE RESET LUBRICATE MODIFIED CLEAN</t>
  </si>
  <si>
    <t>PDG-Honor</t>
  </si>
  <si>
    <t>HCPCS code</t>
  </si>
  <si>
    <t>MICROPORT_P3SBMC50</t>
  </si>
  <si>
    <t>ANTERIOR PLATE LOCKING COVER, 14MM</t>
  </si>
  <si>
    <t>SOAP HAND WASH PURELL HEALTHY SOAP GENTLE &amp; FREE REFILL 2X1200ML LIGHT YELLOW UNSCENTED FOAM PUMP BOTTLE HYPOALLERGENIC TRICLOSAN-FREE DYE-FREE PHTHALATE-FREE F/ES8 TOUCH-FREE DISPENSER ECOLOGO 2/CA</t>
  </si>
  <si>
    <t>Smith &amp; Nephew Inc - Orthopaedic Division</t>
  </si>
  <si>
    <t>Flexicare Incorporated</t>
  </si>
  <si>
    <t>INSIGNIA, ACP, 2-LEVEL, 32 MM</t>
  </si>
  <si>
    <t>Mirus, LLC</t>
  </si>
  <si>
    <t>FXBRIDGE TUBEROSITY SUTURE REPAIR SYSTEM</t>
  </si>
  <si>
    <t>AR621TR2</t>
  </si>
  <si>
    <t>Item Short Description</t>
  </si>
  <si>
    <t>MEDGYN PROD INC</t>
  </si>
  <si>
    <t>Disposable</t>
  </si>
  <si>
    <t>IlluminOss Medical, Inc.</t>
  </si>
  <si>
    <t>ALPHATEC_3360232</t>
  </si>
  <si>
    <t>382492</t>
  </si>
  <si>
    <t>DB1014C</t>
  </si>
  <si>
    <t>Adjective</t>
  </si>
  <si>
    <t>AR-621-TR2</t>
  </si>
  <si>
    <t>CE Comments</t>
  </si>
  <si>
    <t>SNARE ENDOSCOPIC LASSO COLD 10MM 230CM OVAL ROTATABLE SMART HANDLE F/POLYPECTOMY 2.8MM CHANNEL</t>
  </si>
  <si>
    <t>REAGENT CHEM ANALYZER ALINITY C HAPTOGLOBIN 180TEST/EA</t>
  </si>
  <si>
    <t>336-0119</t>
  </si>
  <si>
    <t>MFGPartNo</t>
  </si>
  <si>
    <t>Fusion Orthopedics_AKUP0005</t>
  </si>
  <si>
    <t>PGHCCLS6</t>
  </si>
  <si>
    <t>Aesculap, Inc.</t>
  </si>
  <si>
    <t>Karl Storz Endoscopy-America, Inc.</t>
  </si>
  <si>
    <t>SL97-1</t>
  </si>
  <si>
    <t>ABBOTT LABORATORIES</t>
  </si>
  <si>
    <t>WW GRAINGER INC</t>
  </si>
  <si>
    <t>MEDTRONIC INC</t>
  </si>
  <si>
    <t>SMITH &amp; NEPHEW ORTHOPAEDICS</t>
  </si>
  <si>
    <t>KONINKLIJKE PHILIPS ELECTRONICS NV</t>
  </si>
  <si>
    <t>CARDINAL HEALTH INC</t>
  </si>
  <si>
    <t>GLOBUS MEDICAL INC</t>
  </si>
  <si>
    <t>SMITHS MEDICAL</t>
  </si>
  <si>
    <t>MEDGYN PRODUCTS INC</t>
  </si>
  <si>
    <t>PERFORMANCE HEALTH INC</t>
  </si>
  <si>
    <t>IN2BONES USA LLC</t>
  </si>
  <si>
    <t>STATLAB MEDICAL PRODUCTS INC</t>
  </si>
  <si>
    <t>ARTHREX INC</t>
  </si>
  <si>
    <t>SEASPINE</t>
  </si>
  <si>
    <t>FLEXICARE INC</t>
  </si>
  <si>
    <t>AESCULAP INC</t>
  </si>
  <si>
    <t>MEDLINE INDUSTRIES INC</t>
  </si>
  <si>
    <t>DIVERSATEK HEALTHCARE INC</t>
  </si>
  <si>
    <t>FUSION ORTHOPEDICS LLC</t>
  </si>
  <si>
    <t>MICROPORT ORTHOPEDICS INC</t>
  </si>
  <si>
    <t>SIEMENS MEDICAL SOLUTIONS DIAGNOSTICS</t>
  </si>
  <si>
    <t>MIRUS LLC</t>
  </si>
  <si>
    <t>CAREFUSION CORP</t>
  </si>
  <si>
    <t>WELCH ALLYN INC</t>
  </si>
  <si>
    <t>MEDEGEN MEDICAL PRODUCTS LLC</t>
  </si>
  <si>
    <t>DEPUY ORTHOPAEDICS INC</t>
  </si>
  <si>
    <t>KARL STORZ ENDOSCOPY AMERICA INC</t>
  </si>
  <si>
    <t>OSTEOMED CORP</t>
  </si>
  <si>
    <t>BOSTON SCIENTIFIC CORP</t>
  </si>
  <si>
    <t>NIHON KOHDEN AMERICA INC</t>
  </si>
  <si>
    <t>GOJO INDUSTRIES INC</t>
  </si>
  <si>
    <t>CELL MARQUE CORP</t>
  </si>
  <si>
    <t>ILLUMINOSS MEDICAL INC</t>
  </si>
  <si>
    <t>ALPHATEC SPINE INC</t>
  </si>
  <si>
    <t>STERIS CORP</t>
  </si>
  <si>
    <t>THERMO FISHER SCIENTIFIC INC</t>
  </si>
  <si>
    <t>SECURITAS HEALTHCARE LLC</t>
  </si>
  <si>
    <t>SOLAIRE MEDICAL</t>
  </si>
  <si>
    <t>STRYKER CORP</t>
  </si>
  <si>
    <t>INGENIUM MEDICAL SUPPLY CHAIN SOLUTIONS INC</t>
  </si>
  <si>
    <t>MEDACTA USA INC</t>
  </si>
  <si>
    <t>SOFT-11L</t>
  </si>
  <si>
    <t>3933D</t>
  </si>
  <si>
    <t>SMITHS</t>
  </si>
  <si>
    <t>96000</t>
  </si>
  <si>
    <t>SMITHS_96000</t>
  </si>
  <si>
    <t>STATLAB MEDICAL PROD</t>
  </si>
  <si>
    <t>STATLAB MEDICAL PROD_LX4108</t>
  </si>
  <si>
    <t>SEASPINE_RA1000214</t>
  </si>
  <si>
    <t>DNF</t>
  </si>
  <si>
    <t>MEDLINE_DNF</t>
  </si>
  <si>
    <t>STATLAB MEDICAL PROD_SL971</t>
  </si>
  <si>
    <t>FUSION ORTHOPEDICS</t>
  </si>
  <si>
    <t>SEASPINE_RP1100210</t>
  </si>
  <si>
    <t>SOFT11L</t>
  </si>
  <si>
    <t>WELCH ALLYN_SOFT11L</t>
  </si>
  <si>
    <t>MEDICAL ACTION_3933D</t>
  </si>
  <si>
    <t>SEASPINE_RP1000210</t>
  </si>
  <si>
    <t>1797</t>
  </si>
  <si>
    <t>SIEMENS_1797</t>
  </si>
  <si>
    <t>SEASPINE_RA1200414</t>
  </si>
  <si>
    <t>ILLUMINOSS</t>
  </si>
  <si>
    <t>SECURITAS HEALTHCARE</t>
  </si>
  <si>
    <t>INGENIUM</t>
  </si>
  <si>
    <t>INGENIUM_NCA1025</t>
  </si>
  <si>
    <t>STATLAB MEDICAL PROD_CYFILTNONGYN100</t>
  </si>
  <si>
    <t>STATLAB MEDICAL PROD_SL911</t>
  </si>
  <si>
    <t>42231801  Adult supplemental formulas or bars or puddings for general use</t>
  </si>
  <si>
    <t>31201606  Caulks</t>
  </si>
  <si>
    <t>42142530  Diagnostic procedure needles</t>
  </si>
  <si>
    <t>42294934  Endoscopic suturing devices</t>
  </si>
  <si>
    <t>26111711  Lithium batteries</t>
  </si>
  <si>
    <t>42271701  Medical gas cylinders or related devices</t>
  </si>
  <si>
    <t>42231511  Enteral feeding infusion pump accessories</t>
  </si>
  <si>
    <t>42321505  Bone plates</t>
  </si>
  <si>
    <t>41104138  Blood collection needle holders</t>
  </si>
  <si>
    <t>42143117  Uterine device accessories</t>
  </si>
  <si>
    <t>42295143  Electrosurgical or electrocautery accessories or attachments</t>
  </si>
  <si>
    <t>42322203  Suture anchors</t>
  </si>
  <si>
    <t>41121703  Centrifuge tubes</t>
  </si>
  <si>
    <t>42293511  Medical or surgical suction or vacuum appliance accessories</t>
  </si>
  <si>
    <t>41116126  Immunology or serology test kits or supplies</t>
  </si>
  <si>
    <t>42272203  Non invasive bi level machines</t>
  </si>
  <si>
    <t>42203444  Diagnostic or interventional vascular catheter introducer sets</t>
  </si>
  <si>
    <t>42292903  Surgical needle holders</t>
  </si>
  <si>
    <t>53131630  Lip balm</t>
  </si>
  <si>
    <t>41116124  Histology reagents or solutions or stains</t>
  </si>
  <si>
    <t>42294930  Endoscopic snares or snare wires</t>
  </si>
  <si>
    <t>42293401  Surgical guides</t>
  </si>
  <si>
    <t>42142802  Vascular or compression apparel or support</t>
  </si>
  <si>
    <t>42321702  Acetabular cup shells</t>
  </si>
  <si>
    <t>85161504  Medical or surgical equipment service agreement</t>
  </si>
  <si>
    <t>41116004  Chemistry analyzer reagents</t>
  </si>
  <si>
    <t>42321611  Spinal plates</t>
  </si>
  <si>
    <t>42291802  Surgical clamps or clips or forceps</t>
  </si>
  <si>
    <t>42293107  Surgical retractors</t>
  </si>
  <si>
    <t>42181605  Blood pressure cuffs or bladders</t>
  </si>
  <si>
    <t>42141603  Emesis basin or bag or bag dispenser</t>
  </si>
  <si>
    <t>42294908  Endoscopic clamp or dissector or grasper or forceps</t>
  </si>
  <si>
    <t>42321708  Femoral hip stems</t>
  </si>
  <si>
    <t>41115827  Urinalysis analyzers</t>
  </si>
  <si>
    <t>42295477  Surgical nerve stimulator accessories</t>
  </si>
  <si>
    <t>42294978  Endoscopic trocar or sheath or obturator or cannula</t>
  </si>
  <si>
    <t>42181606  Blood pressure inflation hoses or pneumatic hoses or adapters</t>
  </si>
  <si>
    <t>53131608  Soaps</t>
  </si>
  <si>
    <t>41116127  Immunology or serology reagents or solutions or stains</t>
  </si>
  <si>
    <t>42321501  Surgical wires</t>
  </si>
  <si>
    <t>42311547  Compound or composite bandages</t>
  </si>
  <si>
    <t>41116010  Immunology analyzer reagents</t>
  </si>
  <si>
    <t>41122411  Laboratory timers or watches</t>
  </si>
  <si>
    <t>41111970  Temperature sensor</t>
  </si>
  <si>
    <t>41104919  Laboratory HEPA filters</t>
  </si>
  <si>
    <t>42131722  Surgical isolation suits or helmets or shields accessories</t>
  </si>
  <si>
    <t>53131626  Hand sanitizer</t>
  </si>
  <si>
    <t>41116111  Cytology test kits or supplies</t>
  </si>
  <si>
    <t>41116113  Cytology reagents or solutions or stains</t>
  </si>
  <si>
    <t>42321610  Spinal screws or screw extensions</t>
  </si>
  <si>
    <t>A4215</t>
  </si>
  <si>
    <t>NEEDLE, STERILE, ANY SIZE, EACH</t>
  </si>
  <si>
    <t>ANCHOR/SCREW FOR OPPOSING BONE-TO-BONE OR SOFT TISSUE-TO-BONE (IMPLANTABLE)</t>
  </si>
  <si>
    <t>A4500</t>
  </si>
  <si>
    <t>SURGICAL STOCKINGS BELOW KNEE LENGTH, EACH</t>
  </si>
  <si>
    <t>C1776</t>
  </si>
  <si>
    <t>JOINT DEVICE (IMPLANTABLE)</t>
  </si>
  <si>
    <t>A4663</t>
  </si>
  <si>
    <t>BLOOD PRESSURE CUFF ONLY</t>
  </si>
  <si>
    <t>ENS PLUS HP STR 8OZ CRTN ARC 24CT INST</t>
  </si>
  <si>
    <t>FORMULA, SUPPLEMENTAL, HIGH PROTEIN, 8 OZ, STRAWBERRY, ORAL NUTRITION, ENSURE PLUS</t>
  </si>
  <si>
    <t>DAP Acrylic Latex Adhesive Caulk: Kwik Seal Tub &amp; Tile White 6 oz Container Size Tube</t>
  </si>
  <si>
    <t>CAULK, ADHESIVE, 6 OZ, SEAL, TUB/TILE, MILD DEW RESISTANT, ACRYLIC, WHITE, DAP, LATEX</t>
  </si>
  <si>
    <t>AcQCross — FC 65 cm</t>
  </si>
  <si>
    <t>NEEDLE, PROCEDURE, TRANSSEPTAL, 0.032 IN, 65X180 CM, BRAIDED, STEERABLE, J-TIP, ADAPTER, CABLE, GW, EGM, FLEXCATH ADVANCE, ACQCROSS QX</t>
  </si>
  <si>
    <t>AcQCross — VZ 71 cm</t>
  </si>
  <si>
    <t>NEEDLE, PROCEDURE, TRANSSEPTAL, 0.032 IN, 71X180 CM, BRAIDED, STEERABLE, J-TIP, ADAPTER, CABLE, GW, EGM, CARTO VIZIGO, ACQCROSS QX</t>
  </si>
  <si>
    <t>Meniscal Repair System Curved Sterile Single-Use Includes Inserter Needle Bend Tool Slotted Cannula</t>
  </si>
  <si>
    <t>SYSTEM, MENISCAL REPAIR, CURVED, SET, ARTHROSCOPIC, INCLUDES INSERTER NEEDLE, BEND TOOL, SLOTTED CANNULA, STERILE, FAST-FIX FLEX, LATEX, DISPOSABLE</t>
  </si>
  <si>
    <t>STREAMLIGHT Battery: Lithium 1400 mAh Capacity 3V DC CR123A Battery Size 12 PK</t>
  </si>
  <si>
    <t>BATTERY, LITHIUM, 1400 MAH CAPACITY, 3V DC, CR123A, STREAMLIGHT</t>
  </si>
  <si>
    <t>GAS CAL 1 CYLINDERS FOR TCPC02</t>
  </si>
  <si>
    <t>CYLINDER , MEDICAL GAS, CALIBRATION, FOR TCPC02</t>
  </si>
  <si>
    <t>CLAMP, POLE, FEEDING, PUMP, EPUMP, KANGAROO</t>
  </si>
  <si>
    <t>ANTHEM 3.5mm Straight Plate SS 12 hole 143mm</t>
  </si>
  <si>
    <t xml:space="preserve">PLATE, BONE, STRAIGHT, 3.5X143 MM, 12 HOLE, STAINLESS STEEL, NON STERILE, LATEX </t>
  </si>
  <si>
    <t>ANTHEM
 2.5mm Plus T-Plate Polyaxial 12 Holes 89mm SS</t>
  </si>
  <si>
    <t xml:space="preserve">PLATE, BONE, T, 2.5X89 MM, 12 HOLE, POLYAXIAL, STAINLESS STEEL, NON STERILE, ANTHEM PLUS, LATEX </t>
  </si>
  <si>
    <t>ANTHEM
 Posteromedial Proximal Tibia Plate Left 6 Hole 121mm SS</t>
  </si>
  <si>
    <t xml:space="preserve">PLATE, BONE, TIBIAL, 121 MM, LEFT, POSTEROMEDIAL, PROXIMAL, 6 HOLE, STAINLESS STEEL, NON STERILE, ANTHEM, LATEX </t>
  </si>
  <si>
    <t>ANTHEM Medial Proximal Tibia Plate Right 6 Hole 143mm SS</t>
  </si>
  <si>
    <t xml:space="preserve">PLATE, BONE, TIBIAL, 143 MM, RIGHT, MEDIAL, PROXIMAL, 6 HOLE, STAINLESS STEEL, NON STERILE, ANTHEM, LATEX </t>
  </si>
  <si>
    <t>ANTHEM
 2.5mm Plus Straight Plate Polyaxial 6 Holes 50mm SS</t>
  </si>
  <si>
    <t xml:space="preserve">PLATE, BONE, POLYAXIAL, 2.5X50 MM, 6 HOLE, STRAIGHT, STAINLESS STEEL, NON STERILE, ANTHEM PLUS, LATEX </t>
  </si>
  <si>
    <t>ANTHEM
 2.5mm T-Plate Polyaxial 12 Holes 85mm SS</t>
  </si>
  <si>
    <t xml:space="preserve">PLATE, BONE, T, 2.5X85 MM, 12 HOLE, POLYAXIAL, STAINLESS STEEL, NON STERILE, ANTHEM, LATEX </t>
  </si>
  <si>
    <t>ANTHEM
 2.5mm Y-Plate Polyaxial 12 Holes 89mm SS</t>
  </si>
  <si>
    <t xml:space="preserve">PLATE, BONE, Y, 2.5X89 MM, 12 HOLE, POLYAXIAL, STAINLESS STEEL, NON STERILE, ANTHEM, LATEX </t>
  </si>
  <si>
    <t>cQCross — SL 63 cm</t>
  </si>
  <si>
    <t>NEEDLE, PROCEDURE, TRANSSEPTAL, 0.032 IN, 63X180 CM, BRAIDED, STEERABLE, J-TIP, ADAPTER, CABLE, GW, EGM, DIL, SL1, ACQCROSS QX</t>
  </si>
  <si>
    <t>Blood Transfer Device Jelco Saf-T Holder Male Luer Adapter Back End Needle Sterile For use with Blood Collection Sets</t>
  </si>
  <si>
    <t>DEVICE, BLOOD TRANSFER, TUBE, MALE LUER ADAPTER, BACK END NEEDLE, FOR USE WITH BLOOD COLLECTION SET, STERILE, JELCO, SAF-T HOLDER, LATEX FREE, DISPOSABLE</t>
  </si>
  <si>
    <t>Disp. Tops Small Non-Conductive</t>
  </si>
  <si>
    <t>TOP, UTERINE, NON-CONDUCTIVE, SMALL, DISPOSABLE</t>
  </si>
  <si>
    <t xml:space="preserve">ELECTRODE CLOTH 2X3 1/2IN RECTANGULAR VALTRODE </t>
  </si>
  <si>
    <t>ELECTRODE, ELECTROSURGICAL, RECTANGULAR,  2X3.5 IN, CLOTH, VALTRODE</t>
  </si>
  <si>
    <t>Hercules FT Suture Anchor 3.5 mm x 10.5 mm with two #0 BightForce Suture and tapered 1/2 circle needles</t>
  </si>
  <si>
    <t>ANCHOR, SUTURE , 3.5X10.5 MM, FULLY THREADED, PEEK, With 2-0 BIGHTFORCE TAPERED, 1/2 CIRCLE NEEDLE, RADIOLUCENT, YELLOW, STERILE, HERCULES, LATEX</t>
  </si>
  <si>
    <t>TUBE, CENTRIFUGE, 50 ML, CONICAL BOTTOM, GRADUATED, STYROFOAM RACK, SCREW ON CAP, POLYPROPYLENE, TRANSLUCENT, STERILE</t>
  </si>
  <si>
    <t>O Ring for 3/8 IN Sack</t>
  </si>
  <si>
    <t>O-RING, SACK, PERMEABLE, 3/8 IN, GAUZE</t>
  </si>
  <si>
    <t>DX Knotless SwvLk BC 4.75 mm CC FT</t>
  </si>
  <si>
    <t>ANCHOR, SUTURE, 4.75 MM, DX KNOTLESS, WITH COLLAGEN COATED FIBERTAPE, FOR REPAIR FOOT, ANKLE SOFT TISSUE, NON-RADIOLUCENT, BIOCOMPOSITE, STERILE, SWIVELOCK, LATEX</t>
  </si>
  <si>
    <t>Anterior Plate Locking Cover 14mm</t>
  </si>
  <si>
    <t xml:space="preserve">PLATE, BONE, LOCKING, 14 MM, ANTERIOR, COVER, NON STERILE, ANTHEM, LATEX </t>
  </si>
  <si>
    <t>SP Rubella Test 100 Determination</t>
  </si>
  <si>
    <t xml:space="preserve">IMMUNOLOGY TEST KIT, SP RUBELLA , SLIDE, AGGLUTINATION QUALITATIVE, SEMI-QUANTITATIVE, With 3-LEVEL CONTROL, 8 MIN, CLIA NON-WAIVED, 100 TEST, HUMAN SERUM, NON STERILE, LATEX </t>
  </si>
  <si>
    <t>Adult Single Limb Smoothbore (1.8m) for BiPAP</t>
  </si>
  <si>
    <t>MACHINE, BIPAP, ADULT, 1.8 MR, SINGLE LIMB, SMOOTHBORE, WITH PRESSURE LINE</t>
  </si>
  <si>
    <t>ZOOM RDL Radial Access System 103cm ICTC088103R</t>
  </si>
  <si>
    <t>SYSTEM, RADIAL ACCESS, 103 CM, ACCESS, STERILE, ZOOM, LATEX FREE</t>
  </si>
  <si>
    <t>HOLDER, NEEDLE, 0.5X260 MM, HEANEY, PITCH CURVED, SERRATED JAW, RATCHET, GOLD RING, FOR UPTO 3-0 SUTURE PREMIUM GRADE, TUNGSTEN CARBIDE, NON STERILE, DUROGRIP TC, LATEX</t>
  </si>
  <si>
    <t>BALM, LIP, 0.15 OZ,  PETROLATUM-FREE, ALOE VERA, REMEDY ESSENTIALS</t>
  </si>
  <si>
    <t>Gill 1 Hematoxylin Gallon</t>
  </si>
  <si>
    <t>STAIN, HISTOLOGY, GILL 1 HEMATOXYLIN, 1 GL</t>
  </si>
  <si>
    <t>Lasso Rotatable Polypectomy Snares Oval 10mm</t>
  </si>
  <si>
    <t>SNARE, ENDOSCOPIC, ROTATABLE POLYPECTOMY, OVAL, 10 MM, 2.8X230 MM, SMART HANDLE, FOR POLYPECTOMY CHANNEL, STERILE, LASSO, LATEX FREE</t>
  </si>
  <si>
    <t>O Ring for ½ IN Sack</t>
  </si>
  <si>
    <t>O-RING, SACK, PERMEABLE, 1/2 IN, GAUZE</t>
  </si>
  <si>
    <t>iBal UKA Disp Tib Cut Guide Right</t>
  </si>
  <si>
    <t>GUIDE, ARTHROSCOPIC, RIGHT, TIBIAL, CUTTING, FOR UKA, STERILE, IBALANCE, LATEX, DISPOSABLE</t>
  </si>
  <si>
    <t>STOCKING, COMPRESSION, ANTI-EMBOLISM , XLARGE, 29-33 IN, 18 MMHG, THIGH HIGH , 2-PLY, OPEN INSPECT, WITHOUT BELT GUSSET, WHITE TOP, LIGHT GREEN TOE, T.E.D, LATEX FREE</t>
  </si>
  <si>
    <t xml:space="preserve">PLATE, BONE, STRAIGHT, ANKLE, 5 HOLE, UTILITY, NON STERILE, POLYLOCK, LATEX </t>
  </si>
  <si>
    <t>PRIME BIOFOAM MULTI-HOLE SHELL 50 MM GROUP C</t>
  </si>
  <si>
    <t>SHELL, ACETABULAR, MULTI-HOLE, 50 MM, GROUP C, STERILE, PRIME, BIOFOAM, LATEX</t>
  </si>
  <si>
    <t>MTP Dorsal Plate Small Right Neutral</t>
  </si>
  <si>
    <t xml:space="preserve">PLATE, BONE, DORSAL, SMALL, RIGHT, MIDFOOT, MTP, NEUTRAL, NON STERILE, POLYLOCK, LATEX </t>
  </si>
  <si>
    <t>Straight Plate Compression 2 Hole</t>
  </si>
  <si>
    <t xml:space="preserve">PLATE, BONE, STRAIGHT, MIDFOOT, 2 HOLE, COMPRESSION, NON STERILE, POLYLOCK, LATEX </t>
  </si>
  <si>
    <t>SERVICE, LABORATORY, EQUIPMENT, TOP 3 EXTENDED, FOR BLOOD GAS ANALYZER, RAPIDPOINT 500</t>
  </si>
  <si>
    <t>REAGENT, CHEMISTRY, MAGNESIUM, 720 TEST, NON STERILE, ALINITY C, LATEX</t>
  </si>
  <si>
    <t>ALINITY C LIQUID LACTIC ACID (1000T)</t>
  </si>
  <si>
    <t>REAGENT, CHEMISTRY, LACTIC ACID, 1000 TEST, KIT, NON STERILE, ALINITY C, LATEX</t>
  </si>
  <si>
    <t>2 Hole Lateral Plate 10mm</t>
  </si>
  <si>
    <t xml:space="preserve">PLATE, SPINAL, LATERAL, 2 HOLE, NON STERILE, ANTHEM, LATEX </t>
  </si>
  <si>
    <t>OVERHOLT-GEISSENDOERFER Forceps 8 In</t>
  </si>
  <si>
    <t>FORCEP, SURGICAL, OVERHOLT-GEISSENDOERFER, 1, 8 IN, CURVED LIGATING, PREMIUM GRADE, DISSECTING, RIGHT ANGLE, NON STERILE, LATEX</t>
  </si>
  <si>
    <t>PLATE, SPINAL, LEVEL 2, ANTERIOR CERVICAL, CYGNUS</t>
  </si>
  <si>
    <t>BUIE-SMITH ANAL RETRACTOR SELF-RETAINING SWIVEL BLADES OPENS TO 2-1/8 IN(5.4CM) SHORT BLADE 2-7/8 X 7/8IN (7.3X2.2CM)</t>
  </si>
  <si>
    <t xml:space="preserve">RETRACTOR, SURGICAL, BUIE-SMITH, 7/8X2-7/8 IN, 2-1/8 IN, SELF-RETAINING, SWIVEL BLADE OPEN TO, SATIN FINISH, PREMIUM GRADE, STAINLESS STEEL, NON STERILE, LATEX </t>
  </si>
  <si>
    <t>Single Patient Use Blood Pressure Cuff FlexiPort 25 to 34 cm Arm Cloth Fabric Cuff Adult Long Cuff</t>
  </si>
  <si>
    <t>CUFF, BLOOD PRESSURE, LONG, 25 TO 34 CM, ADULT, ARM, HOOK AND LOOP CLOSURE, CLOTH FABRIC, NON STERILE, FLEXIPORT, LATEX, DISPOSABLE</t>
  </si>
  <si>
    <t>Emesis Bag Dispenser</t>
  </si>
  <si>
    <t>DISPENSER, EMESIS BAG, 15X6.5 IN, WALL HANGING, FOR EMERGENCY ROOM, ONCOLOGY, RADIOLOGY, LDPE, TRANSPARENT BLUE, LATEX FREE</t>
  </si>
  <si>
    <t>2.7 mm VA LCP Clavicle Plates</t>
  </si>
  <si>
    <t xml:space="preserve">PLATE, BONE, CLAVICLE, XL, 2.7 MM, LEFT, VARIABLE ANGLE, COMPRESSION LOCKING, SHAFT, STERILE, VA-LCP, LATEX </t>
  </si>
  <si>
    <t>FORCEP, ENDOSCOPIC, RHINOFORCE STAMMBERGER II, 65 DEGREE, 12 CM, 3 MM, SPOON TISSUE, UPTURNED, ROUND, DOUBLE VERTICAL OPENING, CLEANING CONNECTOR</t>
  </si>
  <si>
    <t>1.6mm Pre-bent Plate 2mm step Lef</t>
  </si>
  <si>
    <t>PLATE, BONE, PRE-BENT, 1.6 MM, 2 MM STEP, LEFT, NON STERILE, ICON, LATEX</t>
  </si>
  <si>
    <t>Plate Locking Cover 10mm</t>
  </si>
  <si>
    <t xml:space="preserve">PLATE, SPINAL, LOCKING, 10 MM, COVER, NON STERILE, ANTHEM, LATEX </t>
  </si>
  <si>
    <t>STEM, FEMORAL, 6, HIP, THIN, CLASSIC, WITH COLLAR, HYDROXYAPATITE, STERILE, PROFEMUR, GLADIATOR, LATEX</t>
  </si>
  <si>
    <t>Siemens Healthineers Clinitek Status Connect System</t>
  </si>
  <si>
    <t>ANALYZER, URINALYSIS, 6.7X7.5X10.7 IN, WITH CONNECTOR, BARCODE READER , CLINITEK STATUS</t>
  </si>
  <si>
    <t>NERVE STIMULATOR KIT, PATIENT, VERCISE GENUS P16</t>
  </si>
  <si>
    <t>OBTURATOR, ARTHROSCOPIC, BLUNT TIP, FOR 4.5MM METAL CANNULA, NON STERILE, LATEX, REUSABLE</t>
  </si>
  <si>
    <t>Nihon Kohden Compatible NIBP Hose</t>
  </si>
  <si>
    <t>HOSE, BLOOD PRESSURE, ADULT/PEDIATRIC, 3.5 MR, MONITOR, 2 MALE SLIP, LUER TO 2 MALE, BAYONET FOR BSM-2300/4100/5100/9510/9800</t>
  </si>
  <si>
    <t>SOAP, HAND WASH, 1200 CC, GENTLE, FREE REFILL, UNSCENTED, FOAM PUMP, BOTTLE, HYPOALLERGENIC, TRICLOSAN-FREE, DYE-FREE, PHTHALATE-FREE, FOR ES8 TOUCH-FREE DISPENSER ECOLOGO, LIGHT YELLOW, PURELL</t>
  </si>
  <si>
    <t>Lasso Rotatable Polypectomy Snares 3-in-1 Hex 10/15/25mm</t>
  </si>
  <si>
    <t xml:space="preserve">SNARE, ENDOSCOPIC, ROTATABLE POLYPECTOMY, OVAL, 10-15-25 MM, 2.8X230 MM, 3-IN-1 HEX, HOT/COLD, SMART HANDLE, FOR POLYPECTOMY CHANNEL, STERILE, LASSO, LATEX </t>
  </si>
  <si>
    <t>FxBridge Tuberosity Repair System</t>
  </si>
  <si>
    <t>SYSTEM, TUBEROSITY REPAIR, STERILE, FXBRIDGE, LATEX</t>
  </si>
  <si>
    <t>INSM1 (MRQ-70) Rabbit Monoclonal Antibody</t>
  </si>
  <si>
    <t xml:space="preserve">ANTIBODY, LABORATORY, INSM1, 7 ML, CLONE MRQ-70, RABBIT, MONOCLONAL, PREDILUTE READY-TO-USE, NON STERILE, LATEX </t>
  </si>
  <si>
    <t>4 Hole Anterior Plate 14mm</t>
  </si>
  <si>
    <t xml:space="preserve">PLATE, BONE, ANTERIOR, 14 MM, NON STERILE, ANTHEM, LATEX </t>
  </si>
  <si>
    <t>2.0mm Ball Tip Guidewire</t>
  </si>
  <si>
    <t>GUIDEWIRE, ORTHOPAEDIC, BALL TIP, 2 MM</t>
  </si>
  <si>
    <t>Insignia ACP 1 Level 19mm</t>
  </si>
  <si>
    <t>PLATE, SPINAL, 1 LEVEL, 19 MM, ANTERIOR, CERVICAL, NON STERILE, INSIGNIA, LATEX</t>
  </si>
  <si>
    <t>Insignia ACP 2 Level 32mm</t>
  </si>
  <si>
    <t>PLATE, SPINAL, 2 LEVEL, 32 MM, ANTERIOR, CERVICAL, NON STERILE, INSIGNIA, LATEX</t>
  </si>
  <si>
    <t>DRESSING, WOUND, GERMICIDAL, 2.5X6.3 IN, 1.5X4.5 IN, PAD, JUMPSTART, FLEXEFIT</t>
  </si>
  <si>
    <t>ALIN C HAPTOGLOBIN RGT 180T</t>
  </si>
  <si>
    <t>REAGENT, CHEMISTRY, HAPTOGLOBIN, 180 TEST, NON STERILE, ALINITY C, LATEX</t>
  </si>
  <si>
    <t>HOLDER, NEEDLE, REPAIR, MEDICAL INSTRUMENT, RESET, LUBRICATE, MODIFIED, CLEAN</t>
  </si>
  <si>
    <t>Fisherbrand Traceable Multi-Colored Timer</t>
  </si>
  <si>
    <t>TIMER, LABORATORY, MULTI-COLORED, HANDHELD, LCD DISPLAY, WHITE, TRACEABLE</t>
  </si>
  <si>
    <t>AeroScout T5A Temperature Tag Caters with 3 Point NIST</t>
  </si>
  <si>
    <t>TAG, TEMPERATURE, T5A, CATER, WITH 3 POINT NIST, AEROSCOUT</t>
  </si>
  <si>
    <t>HEPA FILTER</t>
  </si>
  <si>
    <t>FILTER, HEPA , REPLACEMENT</t>
  </si>
  <si>
    <t>TOGA, PROTECTIVE, ZIPPERED, XLARGE, T7, PEELAWAY</t>
  </si>
  <si>
    <t>PLATE, SPINAL, LEVEL 1, 25 MM, N, ASSEMBLY, FOR ASPIRON ACP SYSTEM</t>
  </si>
  <si>
    <t>SANITIZER, HAND, 1200 CC, FRUIT SCENTED, FOAM PUMP, BOTTLE, ANTIMICROBIAL, HYPOALLERGENIC, DYE-FREE, TOUCH-FREE DISPENSER, ETHANOL 70%, YELLOW, PURELL ADVANCED</t>
  </si>
  <si>
    <t>StatPrep LBC Filters Non-Gyn</t>
  </si>
  <si>
    <t>FILTER, CYTOLOGY, 5.5 MU M, NON-GYN, ULTRA-THIN, FILM, MICRO-POROUS, FOR LBC PROCESSOR, POLYCARBONATE MEMBRANE, BLUE, STATPREP</t>
  </si>
  <si>
    <t>EA-50</t>
  </si>
  <si>
    <t>STAIN, CYTOLOGY, CLASSICAL EA-50, 1 PT</t>
  </si>
  <si>
    <t>STAIN, CYTOLOGY, CLASSICAL EA-50, 1 PT, SL911</t>
  </si>
  <si>
    <t>SCREW, SPINAL, PEDICLE, LONG, 6X40 MM, LEFT, CANNULATED</t>
  </si>
  <si>
    <t>FORMULA</t>
  </si>
  <si>
    <t>SUPPLEMENTAL</t>
  </si>
  <si>
    <t>HIGH PROTEIN</t>
  </si>
  <si>
    <t>8 OZ</t>
  </si>
  <si>
    <t>STRAWBERRY, ORAL NUTRITION</t>
  </si>
  <si>
    <t>ENSURE PLUS</t>
  </si>
  <si>
    <t>ORAL-FED</t>
  </si>
  <si>
    <t>https://www.e-abbott.com/ens-plus-20g-prot-str-8oz-btl-24ct-inst.html</t>
  </si>
  <si>
    <t>CAULK</t>
  </si>
  <si>
    <t>ADHESIVE</t>
  </si>
  <si>
    <t>6 OZ</t>
  </si>
  <si>
    <t>SEAL, TUB/TILE, MILD DEW RESISTANT</t>
  </si>
  <si>
    <t>ACRYLIC</t>
  </si>
  <si>
    <t>WHITE</t>
  </si>
  <si>
    <t>DAP</t>
  </si>
  <si>
    <t>LATEX</t>
  </si>
  <si>
    <t>H6202-C 1.57-1.59 SPECIFIC GRAVITY</t>
  </si>
  <si>
    <t>https://www.grainger.com/product/dap-acrylic-latex-adhesive-caulk-5e080</t>
  </si>
  <si>
    <t>NEEDLE</t>
  </si>
  <si>
    <t>PROCEDURE</t>
  </si>
  <si>
    <t>TRANSSEPTAL</t>
  </si>
  <si>
    <t>0.032 IN</t>
  </si>
  <si>
    <t>65X180 CM</t>
  </si>
  <si>
    <t>BRAIDED, STEERABLE, J-TIP, ADAPTER, CABLE, GW, EGM, FLEXCATH ADVANCE</t>
  </si>
  <si>
    <t>ACQCROSS QX</t>
  </si>
  <si>
    <t>https://www.medtronic.com/us-en/healthcare-professionals/products/cardiac-rhythm/ablation-atrial-fibrillation/acqcross-qx.html</t>
  </si>
  <si>
    <t>71X180 CM</t>
  </si>
  <si>
    <t>BRAIDED, STEERABLE, J-TIP, ADAPTER, CABLE, GW, EGM, CARTO VIZIGO</t>
  </si>
  <si>
    <t>SYSTEM</t>
  </si>
  <si>
    <t>MENISCAL REPAIR</t>
  </si>
  <si>
    <t>CURVED</t>
  </si>
  <si>
    <t>SET, ARTHROSCOPIC, INCLUDES INSERTER NEEDLE, BEND TOOL, SLOTTED CANNULA</t>
  </si>
  <si>
    <t>STERILE</t>
  </si>
  <si>
    <t>FAST-FIX FLEX</t>
  </si>
  <si>
    <t>DISPOSABLE</t>
  </si>
  <si>
    <t>https://www.westcmr.com/72205324-we1-72205324, https://accessgudid.nlm.nih.gov/devices/00885556772737</t>
  </si>
  <si>
    <t>BATTERY</t>
  </si>
  <si>
    <t>LITHIUM</t>
  </si>
  <si>
    <t>1400 MAH CAPACITY, 3V DC, CR123A</t>
  </si>
  <si>
    <t>STREAMLIGHT</t>
  </si>
  <si>
    <t>https://www.grainger.com/product/streamlight-battery-lithium-2vew2</t>
  </si>
  <si>
    <t xml:space="preserve">CYLINDER </t>
  </si>
  <si>
    <t>MEDICAL GAS</t>
  </si>
  <si>
    <t>CALIBRATION</t>
  </si>
  <si>
    <t>FOR TCPC02</t>
  </si>
  <si>
    <t>6/BX</t>
  </si>
  <si>
    <t>https://www.partssource.com/parts/philips-healthcare/989803100841?pspn=ps33bag84av</t>
  </si>
  <si>
    <t>CLAMP</t>
  </si>
  <si>
    <t>POLE</t>
  </si>
  <si>
    <t>FEEDING</t>
  </si>
  <si>
    <t>PUMP</t>
  </si>
  <si>
    <t>EPUMP, KANGAROO</t>
  </si>
  <si>
    <t>https://mms.mckesson.com/product/727773/cardinal-382492</t>
  </si>
  <si>
    <t>PLATE</t>
  </si>
  <si>
    <t>BONE</t>
  </si>
  <si>
    <t>STRAIGHT</t>
  </si>
  <si>
    <t>3.5X143 MM</t>
  </si>
  <si>
    <t>12 HOLE</t>
  </si>
  <si>
    <t>STAINLESS STEEL</t>
  </si>
  <si>
    <t>NON STERILE</t>
  </si>
  <si>
    <t xml:space="preserve">LATEX </t>
  </si>
  <si>
    <t>https://www.globusmedical.com/wp-content/uploads/2019/11/anthemsmallfrag_techniqueguideb.pdf, https://accessgudid.nlm.nih.gov/devices/00889095406832</t>
  </si>
  <si>
    <t>T</t>
  </si>
  <si>
    <t>2.5X89 MM</t>
  </si>
  <si>
    <t>12 HOLE, POLYAXIAL</t>
  </si>
  <si>
    <t>ANTHEM PLUS</t>
  </si>
  <si>
    <t>https://www.globusmedical.com/wp-content/uploads/2022/02/gmtgd264_anthem_minifragment_techniqueguide_reva.pdf, https://accessgudid.nlm.nih.gov/devices/00193982354589</t>
  </si>
  <si>
    <t>TIBIAL</t>
  </si>
  <si>
    <t>121 MM</t>
  </si>
  <si>
    <t>LEFT, POSTEROMEDIAL, PROXIMAL</t>
  </si>
  <si>
    <t>6 HOLE</t>
  </si>
  <si>
    <t>https://www.globusmedical.com/wp-content/uploads/2019/12/gmtgd200_anthem_proximaltibia_techniqueguide_reva.pdf, https://accessgudid.nlm.nih.gov/devices/00889095613797</t>
  </si>
  <si>
    <t>143 MM</t>
  </si>
  <si>
    <t>RIGHT, MEDIAL, PROXIMAL</t>
  </si>
  <si>
    <t>https://www.globusmedical.com/wp-content/uploads/2019/12/gmtgd200_anthem_proximaltibia_techniqueguide_reva.pdf, https://accessgudid.nlm.nih.gov/devices/00889095614138</t>
  </si>
  <si>
    <t>POLYAXIAL</t>
  </si>
  <si>
    <t>2.5X50 MM</t>
  </si>
  <si>
    <t>6 HOLE, STRAIGHT</t>
  </si>
  <si>
    <t>https://www.globusmedical.com/wp-content/uploads/2022/02/gmtgd264_anthem_minifragment_techniqueguide_reva.pdf, https://accessgudid.nlm.nih.gov/devices/00193982349875</t>
  </si>
  <si>
    <t>2.5X85 MM</t>
  </si>
  <si>
    <t>https://www.globusmedical.com/wp-content/uploads/2022/02/gmtgd264_anthem_minifragment_techniqueguide_reva.pdf, https://accessgudid.nlm.nih.gov/devices/00193982351090</t>
  </si>
  <si>
    <t>Y</t>
  </si>
  <si>
    <t>https://www.globusmedical.com/wp-content/uploads/2022/02/gmtgd264_anthem_minifragment_techniqueguide_reva.pdf, https://accessgudid.nlm.nih.gov/devices/00193982351472</t>
  </si>
  <si>
    <t>63X180 CM</t>
  </si>
  <si>
    <t>BRAIDED, STEERABLE, J-TIP, ADAPTER, CABLE, GW, EGM, DIL, SL1</t>
  </si>
  <si>
    <t>DEVICE</t>
  </si>
  <si>
    <t>BLOOD TRANSFER</t>
  </si>
  <si>
    <t>TUBE, MALE LUER ADAPTER, BACK END NEEDLE, FOR USE WITH BLOOD COLLECTION SET</t>
  </si>
  <si>
    <t>JELCO, SAF-T HOLDER</t>
  </si>
  <si>
    <t>LATEX FREE</t>
  </si>
  <si>
    <t>50/BX 200/CA</t>
  </si>
  <si>
    <t>https://mms.mckesson.com/product/470370/smiths-medical-96000, https://accessgudid.nlm.nih.gov/devices/20351688062953</t>
  </si>
  <si>
    <t>TOP</t>
  </si>
  <si>
    <t>UTERINE</t>
  </si>
  <si>
    <t>NON-CONDUCTIVE</t>
  </si>
  <si>
    <t>SMALL</t>
  </si>
  <si>
    <t>https://www.medgyn.com/wp-content/uploads/2021/03/catalog-compressed.pdf</t>
  </si>
  <si>
    <t>ELECTRODE</t>
  </si>
  <si>
    <t>ELECTROSURGICAL</t>
  </si>
  <si>
    <t>RECTANGULAR</t>
  </si>
  <si>
    <t xml:space="preserve"> 2X3.5 IN</t>
  </si>
  <si>
    <t>CLOTH</t>
  </si>
  <si>
    <t>VALTRODE</t>
  </si>
  <si>
    <t>https://www.beesmed.com/performance-health-supplyinc-081214196-electrode-cloth-2x3-12in-rectangular-valtrode-p-211828.html</t>
  </si>
  <si>
    <t>ANCHOR</t>
  </si>
  <si>
    <t xml:space="preserve">SUTURE </t>
  </si>
  <si>
    <t>3.5X10.5 MM</t>
  </si>
  <si>
    <t>FULLY THREADED, PEEK, With 2-0 BIGHTFORCE TAPERED, 1/2 CIRCLE NEEDLE, RADIOLUCENT</t>
  </si>
  <si>
    <t>YELLOW</t>
  </si>
  <si>
    <t>HERCULES</t>
  </si>
  <si>
    <t>https://fda.report/gudid/00810021860220, https://accessgudid.nlm.nih.gov/devices/00810021860220</t>
  </si>
  <si>
    <t>TUBE</t>
  </si>
  <si>
    <t>CENTRIFUGE</t>
  </si>
  <si>
    <t>50 ML</t>
  </si>
  <si>
    <t>CONICAL BOTTOM, GRADUATED, STYROFOAM RACK, SCREW ON CAP</t>
  </si>
  <si>
    <t>POLYPROPYLENE</t>
  </si>
  <si>
    <t>TRANSLUCENT</t>
  </si>
  <si>
    <t>50/CA</t>
  </si>
  <si>
    <t>https://www.statlab.com/lx4108.html</t>
  </si>
  <si>
    <t>O-RING</t>
  </si>
  <si>
    <t>SACK</t>
  </si>
  <si>
    <t>PERMEABLE</t>
  </si>
  <si>
    <t>3/8 IN</t>
  </si>
  <si>
    <t>GAUZE</t>
  </si>
  <si>
    <t>SUTURE</t>
  </si>
  <si>
    <t>4.75 MM</t>
  </si>
  <si>
    <t>DX KNOTLESS, WITH COLLAGEN COATED FIBERTAPE, FOR REPAIR FOOT, ANKLE SOFT TISSUE, NON-RADIOLUCENT, BIOCOMPOSITE</t>
  </si>
  <si>
    <t>SWIVELOCK</t>
  </si>
  <si>
    <t>https://accessgudid.nlm.nih.gov/devices/00888867319882</t>
  </si>
  <si>
    <t>LOCKING</t>
  </si>
  <si>
    <t>14 MM</t>
  </si>
  <si>
    <t>ANTERIOR</t>
  </si>
  <si>
    <t>COVER</t>
  </si>
  <si>
    <t>https://accessgudid.nlm.nih.gov/devices/10889981214296</t>
  </si>
  <si>
    <t>IMMUNOLOGY TEST KIT</t>
  </si>
  <si>
    <t xml:space="preserve">SP RUBELLA </t>
  </si>
  <si>
    <t>SLIDE, AGGLUTINATION QUALITATIVE, SEMI-QUANTITATIVE, With 3-LEVEL CONTROL, 8 MIN, CLIA NON-WAIVED, 100 TEST</t>
  </si>
  <si>
    <t>HUMAN SERUM</t>
  </si>
  <si>
    <t>BX</t>
  </si>
  <si>
    <t>https://accessgudid.nlm.nih.gov/devices/20885380020190</t>
  </si>
  <si>
    <t>MACHINE</t>
  </si>
  <si>
    <t>BIPAP</t>
  </si>
  <si>
    <t>ADULT</t>
  </si>
  <si>
    <t>1.8 MR</t>
  </si>
  <si>
    <t>SINGLE LIMB, SMOOTHBORE, WITH PRESSURE LINE</t>
  </si>
  <si>
    <t>https://www.flexicare.com/en-us/product/adult-bipap/</t>
  </si>
  <si>
    <t>RADIAL ACCESS</t>
  </si>
  <si>
    <t>103 CM</t>
  </si>
  <si>
    <t>ACCESS</t>
  </si>
  <si>
    <t>ZOOM</t>
  </si>
  <si>
    <t>https://fda.report/company/imperative-care-inc, https://accessgudid.nlm.nih.gov/devices/00812212030566</t>
  </si>
  <si>
    <t>HOLDER</t>
  </si>
  <si>
    <t>0.5X260 MM</t>
  </si>
  <si>
    <t>HEANEY, PITCH CURVED, SERRATED JAW, RATCHET, GOLD RING, FOR UPTO 3-0 SUTURE PREMIUM GRADE</t>
  </si>
  <si>
    <t>TUNGSTEN CARBIDE</t>
  </si>
  <si>
    <t>DUROGRIP TC</t>
  </si>
  <si>
    <t>https://www.aesculapusa.com/content/dam/aesculap-us/us/website/aesculap-inc/healthcareprofessionals/or-soultions/pdfs/20170512.164504%20doc373%20rev%20c-aesculap%20surgical%20instrument%20product%20catalog%20(18).pdf, https://accessgudid.nlm.nih.gov/devices/04038653028375</t>
  </si>
  <si>
    <t>URL NOT FOUND</t>
  </si>
  <si>
    <t>BALM</t>
  </si>
  <si>
    <t>LIP</t>
  </si>
  <si>
    <t>0.15 OZ</t>
  </si>
  <si>
    <t xml:space="preserve"> PETROLATUM-FREE, ALOE VERA</t>
  </si>
  <si>
    <t>REMEDY ESSENTIALS</t>
  </si>
  <si>
    <t>36/CA</t>
  </si>
  <si>
    <t>STAIN</t>
  </si>
  <si>
    <t>HISTOLOGY</t>
  </si>
  <si>
    <t>GILL 1 HEMATOXYLIN</t>
  </si>
  <si>
    <t>1 GL</t>
  </si>
  <si>
    <t>https://www.statlab.com/sl97-1.html</t>
  </si>
  <si>
    <t>SNARE</t>
  </si>
  <si>
    <t>ENDOSCOPIC</t>
  </si>
  <si>
    <t>ROTATABLE POLYPECTOMY</t>
  </si>
  <si>
    <t>OVAL, 10 MM</t>
  </si>
  <si>
    <t>2.8X230 MM</t>
  </si>
  <si>
    <t>SMART HANDLE, FOR POLYPECTOMY CHANNEL</t>
  </si>
  <si>
    <t>https://diversatekhealthcare.com/lasso-polypectomy-snares/, https://accessgudid.nlm.nih.gov/devices/00816734023020</t>
  </si>
  <si>
    <t>1/2 IN</t>
  </si>
  <si>
    <t>GUIDE</t>
  </si>
  <si>
    <t>ARTHROSCOPIC</t>
  </si>
  <si>
    <t>RIGHT, TIBIAL</t>
  </si>
  <si>
    <t>CUTTING, FOR UKA</t>
  </si>
  <si>
    <t>IBALANCE</t>
  </si>
  <si>
    <t>https://accessgudid.nlm.nih.gov/devices/00888867351028</t>
  </si>
  <si>
    <t>STOCKING</t>
  </si>
  <si>
    <t>COMPRESSION</t>
  </si>
  <si>
    <t xml:space="preserve">ANTI-EMBOLISM </t>
  </si>
  <si>
    <t>XLARGE, 29-33 IN, 18 MMHG</t>
  </si>
  <si>
    <t xml:space="preserve">THIGH HIGH </t>
  </si>
  <si>
    <t>2-PLY, OPEN INSPECT, WITHOUT BELT GUSSET</t>
  </si>
  <si>
    <t>WHITE TOP, LIGHT GREEN TOE</t>
  </si>
  <si>
    <t>T.E.D</t>
  </si>
  <si>
    <t>ANKLE</t>
  </si>
  <si>
    <t>5 HOLE, UTILITY</t>
  </si>
  <si>
    <t>POLYLOCK</t>
  </si>
  <si>
    <t>https://accessgudid.nlm.nih.gov/devices/00840124505476</t>
  </si>
  <si>
    <t>SHELL</t>
  </si>
  <si>
    <t>ACETABULAR</t>
  </si>
  <si>
    <t>MULTI-HOLE</t>
  </si>
  <si>
    <t>50 MM</t>
  </si>
  <si>
    <t>GROUP C</t>
  </si>
  <si>
    <t>PRIME, BIOFOAM</t>
  </si>
  <si>
    <t>https://accessgudid.nlm.nih.gov/devices/00192629280465</t>
  </si>
  <si>
    <t>DORSAL</t>
  </si>
  <si>
    <t>RIGHT, MIDFOOT, MTP</t>
  </si>
  <si>
    <t>NEUTRAL</t>
  </si>
  <si>
    <t>https://accessgudid.nlm.nih.gov/devices/00840124502741</t>
  </si>
  <si>
    <t>MIDFOOT</t>
  </si>
  <si>
    <t>2 HOLE, COMPRESSION</t>
  </si>
  <si>
    <t>IMPLANT ORTHOPEDIC</t>
  </si>
  <si>
    <t>https://accessgudid.nlm.nih.gov/devices/00840124502512</t>
  </si>
  <si>
    <t>SERVICE</t>
  </si>
  <si>
    <t>LABORATORY</t>
  </si>
  <si>
    <t>EQUIPMENT, TOP 3 EXTENDED, FOR BLOOD GAS ANALYZER</t>
  </si>
  <si>
    <t>RAPIDPOINT 500</t>
  </si>
  <si>
    <t>REAGENT</t>
  </si>
  <si>
    <t>CHEMISTRY</t>
  </si>
  <si>
    <t>MAGNESIUM</t>
  </si>
  <si>
    <t>720 TEST</t>
  </si>
  <si>
    <t>ALINITY C</t>
  </si>
  <si>
    <t>https://www.henryschein.com/us-en/medical/p/laboratory/clinical-analyzer-reagent-accessories/alinity-c-magnesium-rgt/1378811, https://accessgudid.nlm.nih.gov/devices/00380740176525</t>
  </si>
  <si>
    <t>LACTIC ACID</t>
  </si>
  <si>
    <t>1000 TEST, KIT</t>
  </si>
  <si>
    <t>LIQUID</t>
  </si>
  <si>
    <t>https://www.e-abbott.com/alinitycliquidlacticacidt849244093.html, https://accessgudid.nlm.nih.gov/devices/00380740179199</t>
  </si>
  <si>
    <t>SPINAL</t>
  </si>
  <si>
    <t>LATERAL</t>
  </si>
  <si>
    <t>2 HOLE</t>
  </si>
  <si>
    <t>https://accessgudid.nlm.nih.gov/devices/10889981231057</t>
  </si>
  <si>
    <t>FORCEP</t>
  </si>
  <si>
    <t>SURGICAL</t>
  </si>
  <si>
    <t>OVERHOLT-GEISSENDOERFER</t>
  </si>
  <si>
    <t>8 IN</t>
  </si>
  <si>
    <t>CURVED LIGATING, PREMIUM GRADE, DISSECTING, RIGHT ANGLE</t>
  </si>
  <si>
    <t>https://www.aesculapusa.com/content/dam/aesculap-us/us/website/aesculap-inc/healthcareprofessionals/or-soultions/pdfs/20170512.164504%20doc373%20rev%20c-aesculap%20surgical%20instrument%20product%20catalog%20(18).pdf, https://accessgudid.nlm.nih.gov/devices/04038653027217</t>
  </si>
  <si>
    <t>LEVEL 2</t>
  </si>
  <si>
    <t>ANTERIOR CERVICAL</t>
  </si>
  <si>
    <t>CYGNUS</t>
  </si>
  <si>
    <t>RETRACTOR</t>
  </si>
  <si>
    <t>BUIE-SMITH</t>
  </si>
  <si>
    <t>7/8X2-7/8 IN</t>
  </si>
  <si>
    <t>2-1/8 IN</t>
  </si>
  <si>
    <t>SELF-RETAINING, SWIVEL BLADE OPEN TO, SATIN FINISH, PREMIUM GRADE</t>
  </si>
  <si>
    <t>https://accessgudid.nlm.nih.gov/devices/10885403131493</t>
  </si>
  <si>
    <t>CUFF</t>
  </si>
  <si>
    <t>BLOOD PRESSURE</t>
  </si>
  <si>
    <t>LONG, 25 TO 34 CM</t>
  </si>
  <si>
    <t>ARM, HOOK AND LOOP CLOSURE</t>
  </si>
  <si>
    <t>CLOTH FABRIC</t>
  </si>
  <si>
    <t>FLEXIPORT</t>
  </si>
  <si>
    <t>https://mms.mckesson.com/product/653510/welch-allyn-soft-11l, https://accessgudid.nlm.nih.gov/devices/10817357020103</t>
  </si>
  <si>
    <t>DISPENSER</t>
  </si>
  <si>
    <t>EMESIS BAG</t>
  </si>
  <si>
    <t>15X6.5 IN</t>
  </si>
  <si>
    <t>WALL HANGING, FOR EMERGENCY ROOM, ONCOLOGY, RADIOLOGY</t>
  </si>
  <si>
    <t>LDPE</t>
  </si>
  <si>
    <t>TRANSPARENT BLUE</t>
  </si>
  <si>
    <t>https://mms.mckesson.com/product/738079/medegen-medical-products-llc-3933d</t>
  </si>
  <si>
    <t>CLAVICLE</t>
  </si>
  <si>
    <t>XL</t>
  </si>
  <si>
    <t>2.7 MM</t>
  </si>
  <si>
    <t>LEFT</t>
  </si>
  <si>
    <t>VARIABLE ANGLE, COMPRESSION LOCKING, SHAFT</t>
  </si>
  <si>
    <t>VA-LCP</t>
  </si>
  <si>
    <t>http://synthes.vo.llnwd.net/o16/llnwmb8/us%20mobile/synthes%20north%20america/product%20support%20materials/technique%20guides/segm_us_stg_103752541_c.pdf, https://accessgudid.nlm.nih.gov/devices/10886982296207</t>
  </si>
  <si>
    <t>RHINOFORCE STAMMBERGER II</t>
  </si>
  <si>
    <t>65 DEGREE</t>
  </si>
  <si>
    <t>12 CM</t>
  </si>
  <si>
    <t>3 MM</t>
  </si>
  <si>
    <t>SPOON TISSUE, UPTURNED, ROUND, DOUBLE VERTICAL OPENING, CLEANING CONNECTOR</t>
  </si>
  <si>
    <t>PRE-BENT</t>
  </si>
  <si>
    <t>1.6 MM</t>
  </si>
  <si>
    <t>2 MM STEP</t>
  </si>
  <si>
    <t>ICON</t>
  </si>
  <si>
    <t>CRANIOMAXILLOFACIAL</t>
  </si>
  <si>
    <t>https://www.acumed.net/wp-content/uploads/2021/11/osteomed-icon-catalog-030-1897-b.pdf, https://accessgudid.nlm.nih.gov/devices/00845694003216</t>
  </si>
  <si>
    <t>10 MM</t>
  </si>
  <si>
    <t>https://accessgudid.nlm.nih.gov/devices/10889981230845</t>
  </si>
  <si>
    <t>STEM</t>
  </si>
  <si>
    <t>FEMORAL</t>
  </si>
  <si>
    <t>HIP</t>
  </si>
  <si>
    <t>THIN, CLASSIC, WITH COLLAR</t>
  </si>
  <si>
    <t>HYDROXYAPATITE</t>
  </si>
  <si>
    <t>PROFEMUR, GLADIATOR</t>
  </si>
  <si>
    <t>https://accessgudid.nlm.nih.gov/devices/00192629250277</t>
  </si>
  <si>
    <t>ANALYZER</t>
  </si>
  <si>
    <t>URINALYSIS</t>
  </si>
  <si>
    <t>6.7X7.5X10.7 IN</t>
  </si>
  <si>
    <t xml:space="preserve">WITH CONNECTOR, BARCODE READER </t>
  </si>
  <si>
    <t>CLINITEK STATUS</t>
  </si>
  <si>
    <t>https://www.fishersci.com/shop/products/siemens-healthcare-diagnostics-clinitek-status-connect-system/23042343?searchhijack=true&amp;searchterm=23042343&amp;searchtype=rapid&amp;matchedcatno=23042343</t>
  </si>
  <si>
    <t>NERVE STIMULATOR KIT</t>
  </si>
  <si>
    <t>PATIENT</t>
  </si>
  <si>
    <t>VERCISE GENUS P16</t>
  </si>
  <si>
    <t>IMPLANT</t>
  </si>
  <si>
    <t>OBTURATOR</t>
  </si>
  <si>
    <t>BLUNT TIP</t>
  </si>
  <si>
    <t>FOR 4.5MM METAL CANNULA</t>
  </si>
  <si>
    <t>REUSABLE</t>
  </si>
  <si>
    <t>https://accessgudid.nlm.nih.gov/devices/00888867214262</t>
  </si>
  <si>
    <t>HOSE</t>
  </si>
  <si>
    <t>ADULT/PEDIATRIC</t>
  </si>
  <si>
    <t>3.5 MR</t>
  </si>
  <si>
    <t>MONITOR, 2 MALE SLIP, LUER TO 2 MALE, BAYONET FOR BSM-2300/4100/5100/9510/9800</t>
  </si>
  <si>
    <t>https://www.cablesandsensors.com/products/nihon-kohden-compatible-nibp-hose-yn-900p?variant=33807919688</t>
  </si>
  <si>
    <t>SOAP</t>
  </si>
  <si>
    <t>HAND WASH</t>
  </si>
  <si>
    <t>1200 CC</t>
  </si>
  <si>
    <t>GENTLE, FREE REFILL, UNSCENTED, FOAM PUMP, BOTTLE, HYPOALLERGENIC, TRICLOSAN-FREE, DYE-FREE, PHTHALATE-FREE, FOR ES8 TOUCH-FREE DISPENSER ECOLOGO</t>
  </si>
  <si>
    <t>LIGHT YELLOW</t>
  </si>
  <si>
    <t>PURELL</t>
  </si>
  <si>
    <t>2/CA</t>
  </si>
  <si>
    <t>OVAL, 10-15-25 MM</t>
  </si>
  <si>
    <t>3-IN-1 HEX, HOT/COLD, SMART HANDLE, FOR POLYPECTOMY CHANNEL</t>
  </si>
  <si>
    <t>https://diversatekhealthcare.com/lasso-polypectomy-snares/, https://accessgudid.nlm.nih.gov/devices/00816734021613</t>
  </si>
  <si>
    <t>TUBEROSITY REPAIR</t>
  </si>
  <si>
    <t>FXBRIDGE</t>
  </si>
  <si>
    <t>https://accessgudid.nlm.nih.gov/devices/00888867395022</t>
  </si>
  <si>
    <t>ANTIBODY</t>
  </si>
  <si>
    <t>INSM1</t>
  </si>
  <si>
    <t>7 ML</t>
  </si>
  <si>
    <t>CLONE MRQ-70, RABBIT, MONOCLONAL, PREDILUTE READY-TO-USE</t>
  </si>
  <si>
    <t>https://www.cellmarque.com/antibodies/cm/3673/insm1_mrq-70, https://accessgudid.nlm.nih.gov/devices/00841683108030</t>
  </si>
  <si>
    <t>https://accessgudid.nlm.nih.gov/devices/10889981298777</t>
  </si>
  <si>
    <t>GUIDEWIRE</t>
  </si>
  <si>
    <t>ORTHOPAEDIC</t>
  </si>
  <si>
    <t>BALL TIP</t>
  </si>
  <si>
    <t>2 MM</t>
  </si>
  <si>
    <t>https://illuminoss.com/uploads/nuggets/5ec2b39f7ee3381491746754/900477.a.pdf</t>
  </si>
  <si>
    <t>Classified To Nearest Commodity Level</t>
  </si>
  <si>
    <t>1 LEVEL</t>
  </si>
  <si>
    <t>19 MM</t>
  </si>
  <si>
    <t>ANTERIOR, CERVICAL</t>
  </si>
  <si>
    <t>https://accessgudid.nlm.nih.gov/devices/00190376423753</t>
  </si>
  <si>
    <t>2 LEVEL</t>
  </si>
  <si>
    <t>32 MM</t>
  </si>
  <si>
    <t>https://accessgudid.nlm.nih.gov/devices/00190376423470</t>
  </si>
  <si>
    <t>DRESSING</t>
  </si>
  <si>
    <t>WOUND</t>
  </si>
  <si>
    <t>GERMICIDAL</t>
  </si>
  <si>
    <t>2.5X6.3 IN</t>
  </si>
  <si>
    <t>1.5X4.5 IN</t>
  </si>
  <si>
    <t>PAD</t>
  </si>
  <si>
    <t>JUMPSTART, FLEXEFIT</t>
  </si>
  <si>
    <t>HAPTOGLOBIN</t>
  </si>
  <si>
    <t>180 TEST</t>
  </si>
  <si>
    <t>https://www.e-abbott.com/alin-c-haptoglobin-rgt-180t.html, https://accessgudid.nlm.nih.gov/devices/00380740169879</t>
  </si>
  <si>
    <t>REPAIR, MEDICAL INSTRUMENT, RESET, LUBRICATE, MODIFIED, CLEAN</t>
  </si>
  <si>
    <t>TIMER</t>
  </si>
  <si>
    <t>MULTI-COLORED, HANDHELD, LCD DISPLAY</t>
  </si>
  <si>
    <t>TRACEABLE</t>
  </si>
  <si>
    <t>https://www.fishersci.com/shop/products/fisher-scientific-traceable-multi-colored-timer/02261840</t>
  </si>
  <si>
    <t>TAG</t>
  </si>
  <si>
    <t>TEMPERATURE</t>
  </si>
  <si>
    <t>T5A</t>
  </si>
  <si>
    <t>CATER, WITH 3 POINT NIST</t>
  </si>
  <si>
    <t>AEROSCOUT</t>
  </si>
  <si>
    <t>CERTIFICATION PRICE IS FOR A SINGLE TAG. INCLUDES CERTIFICATE. INCLUDES MINIMUM ORDER OF 5 REQUIRED FOR THIS PRODUCT.</t>
  </si>
  <si>
    <t>https://www.cdw.com/product/aeroscout-t5a-temperature-tag-caters-with-3-point-nist/2066308</t>
  </si>
  <si>
    <t>FILTER</t>
  </si>
  <si>
    <t xml:space="preserve">HEPA </t>
  </si>
  <si>
    <t>REPLACEMENT</t>
  </si>
  <si>
    <t>SET OF 3</t>
  </si>
  <si>
    <t>https://innerspacehealthcare.com/wp-content/uploads/medical-storage-product-sheets/hepa-filter.pdf</t>
  </si>
  <si>
    <t>TOGA</t>
  </si>
  <si>
    <t>PROTECTIVE</t>
  </si>
  <si>
    <t>ZIPPERED</t>
  </si>
  <si>
    <t>XLARGE</t>
  </si>
  <si>
    <t>T7, PEELAWAY</t>
  </si>
  <si>
    <t>LEVEL 1</t>
  </si>
  <si>
    <t>25 MM</t>
  </si>
  <si>
    <t>N, ASSEMBLY, FOR ASPIRON ACP SYSTEM</t>
  </si>
  <si>
    <t>SANITIZER</t>
  </si>
  <si>
    <t>HAND</t>
  </si>
  <si>
    <t>FRUIT SCENTED, FOAM PUMP, BOTTLE, ANTIMICROBIAL, HYPOALLERGENIC, DYE-FREE, TOUCH-FREE DISPENSER</t>
  </si>
  <si>
    <t>ETHANOL 70%</t>
  </si>
  <si>
    <t>PURELL ADVANCED</t>
  </si>
  <si>
    <t>CYTOLOGY</t>
  </si>
  <si>
    <t>5.5 MU M</t>
  </si>
  <si>
    <t>NON-GYN, ULTRA-THIN, FILM, MICRO-POROUS, FOR LBC PROCESSOR</t>
  </si>
  <si>
    <t>POLYCARBONATE MEMBRANE</t>
  </si>
  <si>
    <t>BLUE</t>
  </si>
  <si>
    <t>STATPREP</t>
  </si>
  <si>
    <t>EA</t>
  </si>
  <si>
    <t>https://www.statlab.com/prepcyte-ultra-thin-layer-filter-5-5mm-blue-filters-100-pkgcy-filt-nongyn-100.html</t>
  </si>
  <si>
    <t>CLASSICAL EA-50</t>
  </si>
  <si>
    <t>1 PT</t>
  </si>
  <si>
    <t>EA, 1 GA</t>
  </si>
  <si>
    <t>https://www.statlab.com/sl91-x.html</t>
  </si>
  <si>
    <t>SCREW</t>
  </si>
  <si>
    <t>PEDICLE</t>
  </si>
  <si>
    <t>LONG</t>
  </si>
  <si>
    <t>6X40 MM</t>
  </si>
  <si>
    <t>CANNULATED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</si>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</sst>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rgb="FF2B2B2B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  <xf numFmtId="0" fontId="10" fillId="0" borderId="1" applyNumberFormat="0" applyFill="0" applyBorder="0" applyAlignment="0" applyProtection="0">
      <alignment vertical="top"/>
      <protection locked="0"/>
    </xf>
  </cellStyleXfs>
  <cellXfs count="21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8" fillId="0" borderId="1" xfId="0" quotePrefix="1" applyFont="1" applyBorder="1" applyAlignment="1">
      <alignment horizontal="left"/>
    </xf>
    <xf numFmtId="0" fontId="10" fillId="0" borderId="1" xfId="7" applyNumberFormat="1" applyBorder="1" applyAlignment="1" applyProtection="1">
      <alignment horizontal="left"/>
    </xf>
    <xf numFmtId="0" fontId="11" fillId="0" borderId="1" xfId="0" applyNumberFormat="1" applyFont="1" applyBorder="1" applyAlignment="1">
      <alignment horizontal="left"/>
    </xf>
  </cellXfs>
  <cellStyles count="8">
    <cellStyle name="Comma" xfId="4"/>
    <cellStyle name="Comma [0]" xfId="5"/>
    <cellStyle name="Currency" xfId="2"/>
    <cellStyle name="Currency [0]" xfId="3"/>
    <cellStyle name="Hyperlink" xfId="7" builtinId="8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versatekhealthcare.com/lasso-polypectomy-snares/,%20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78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8.42578125" style="1" customWidth="1"/>
    <col min="6" max="6" width="13" style="1" customWidth="1"/>
    <col min="7" max="7" width="14.85546875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5703125" style="1" customWidth="1"/>
    <col min="12" max="12" width="8.7109375" style="1" customWidth="1"/>
    <col min="13" max="13" width="13.28515625" style="1" customWidth="1"/>
    <col min="14" max="14" width="12.28515625" style="1" customWidth="1"/>
    <col min="15" max="15" width="10.140625" style="1" customWidth="1"/>
    <col min="16" max="16" width="13.5703125" style="1" customWidth="1"/>
    <col min="17" max="17" width="11.140625" style="1" customWidth="1"/>
    <col min="18" max="18" width="5.7109375" style="1" customWidth="1"/>
    <col min="19" max="19" width="38.28515625" style="1" customWidth="1"/>
    <col min="20" max="20" width="17.42578125" style="1" customWidth="1"/>
    <col min="21" max="21" width="18.28515625" style="1" customWidth="1"/>
    <col min="22" max="22" width="16.5703125" style="1" customWidth="1"/>
    <col min="23" max="23" width="18.85546875" style="1" customWidth="1"/>
    <col min="24" max="24" width="18.28515625" style="1" customWidth="1"/>
    <col min="25" max="25" width="16.7109375" style="1" customWidth="1"/>
    <col min="26" max="26" width="32.7109375" style="1" customWidth="1"/>
    <col min="27" max="27" width="189.140625" style="1" customWidth="1"/>
    <col min="28" max="28" width="14.85546875" style="1" customWidth="1"/>
    <col min="29" max="29" width="20.5703125" style="1" customWidth="1"/>
    <col min="30" max="30" width="20" style="1" customWidth="1"/>
    <col min="31" max="31" width="139" style="1" customWidth="1"/>
    <col min="32" max="32" width="7.140625" style="1" customWidth="1"/>
    <col min="33" max="33" width="29.5703125" style="1" customWidth="1"/>
    <col min="34" max="34" width="11" style="1" customWidth="1"/>
    <col min="35" max="35" width="11.28515625" style="1" customWidth="1"/>
    <col min="36" max="36" width="16.42578125" style="1" customWidth="1"/>
    <col min="37" max="37" width="38" style="1" customWidth="1"/>
    <col min="38" max="38" width="15.28515625" style="1" customWidth="1"/>
    <col min="39" max="39" width="25.85546875" style="1" customWidth="1"/>
    <col min="40" max="40" width="5" style="1" customWidth="1"/>
    <col min="41" max="41" width="6.42578125" style="1" customWidth="1"/>
    <col min="42" max="42" width="8.85546875" style="1" customWidth="1"/>
    <col min="43" max="43" width="9.42578125" style="1" customWidth="1"/>
    <col min="44" max="45" width="5.140625" style="1" customWidth="1"/>
    <col min="46" max="46" width="35.7109375" style="1" customWidth="1"/>
    <col min="47" max="47" width="38.140625" style="1" customWidth="1"/>
    <col min="48" max="48" width="14.85546875" style="1" customWidth="1"/>
    <col min="49" max="49" width="8" style="1" customWidth="1"/>
    <col min="50" max="50" width="8.7109375" style="1" customWidth="1"/>
    <col min="51" max="51" width="9.140625" style="1" customWidth="1"/>
    <col min="52" max="52" width="8.7109375" style="1" customWidth="1"/>
    <col min="53" max="53" width="27.85546875" style="1" customWidth="1"/>
    <col min="54" max="54" width="6.28515625" style="1" customWidth="1"/>
    <col min="55" max="55" width="7.28515625" style="1" customWidth="1"/>
    <col min="56" max="56" width="11.42578125" style="1" customWidth="1"/>
    <col min="57" max="57" width="6.42578125" style="1" customWidth="1"/>
    <col min="58" max="58" width="10.42578125" style="1" customWidth="1"/>
    <col min="59" max="59" width="13" style="1" customWidth="1"/>
    <col min="60" max="61" width="5.140625" style="1" customWidth="1"/>
    <col min="62" max="62" width="17.85546875" style="1" customWidth="1"/>
    <col min="63" max="63" width="18.85546875" style="1" customWidth="1"/>
    <col min="64" max="64" width="8.85546875" style="1" customWidth="1"/>
    <col min="65" max="65" width="19.28515625" style="1" customWidth="1"/>
    <col min="66" max="66" width="19.85546875" style="1" customWidth="1"/>
    <col min="67" max="67" width="18.5703125" style="1" customWidth="1"/>
    <col min="68" max="68" width="9.140625" style="1" customWidth="1"/>
    <col min="69" max="16384" width="9.140625" style="1"/>
  </cols>
  <sheetData>
    <row r="1" spans="1:67" ht="12" customHeight="1">
      <c r="A1" s="2" t="s">
        <v>184</v>
      </c>
      <c r="B1" s="3" t="s">
        <v>161</v>
      </c>
      <c r="C1" s="2" t="s">
        <v>225</v>
      </c>
      <c r="D1" s="2" t="s">
        <v>407</v>
      </c>
      <c r="E1" s="2" t="s">
        <v>370</v>
      </c>
      <c r="F1" s="2" t="s">
        <v>458</v>
      </c>
      <c r="G1" s="4" t="s">
        <v>132</v>
      </c>
      <c r="H1" s="4" t="s">
        <v>299</v>
      </c>
      <c r="I1" s="2" t="s">
        <v>141</v>
      </c>
      <c r="J1" s="2" t="s">
        <v>349</v>
      </c>
      <c r="K1" s="2" t="s">
        <v>153</v>
      </c>
      <c r="L1" s="2" t="s">
        <v>84</v>
      </c>
      <c r="M1" s="2" t="s">
        <v>259</v>
      </c>
      <c r="N1" s="2" t="s">
        <v>427</v>
      </c>
      <c r="O1" s="2" t="s">
        <v>332</v>
      </c>
      <c r="P1" s="2" t="s">
        <v>337</v>
      </c>
      <c r="Q1" s="2" t="s">
        <v>134</v>
      </c>
      <c r="R1" s="5" t="s">
        <v>112</v>
      </c>
      <c r="S1" s="6" t="s">
        <v>139</v>
      </c>
      <c r="T1" s="5" t="s">
        <v>215</v>
      </c>
      <c r="U1" s="6" t="s">
        <v>462</v>
      </c>
      <c r="V1" s="5" t="s">
        <v>247</v>
      </c>
      <c r="W1" s="7" t="s">
        <v>110</v>
      </c>
      <c r="X1" s="7" t="s">
        <v>261</v>
      </c>
      <c r="Y1" s="7" t="s">
        <v>17</v>
      </c>
      <c r="Z1" s="7" t="s">
        <v>373</v>
      </c>
      <c r="AA1" s="6" t="s">
        <v>321</v>
      </c>
      <c r="AB1" s="6" t="s">
        <v>309</v>
      </c>
      <c r="AC1" s="6" t="s">
        <v>250</v>
      </c>
      <c r="AD1" s="6" t="s">
        <v>449</v>
      </c>
      <c r="AE1" s="6" t="s">
        <v>142</v>
      </c>
      <c r="AF1" s="6" t="s">
        <v>25</v>
      </c>
      <c r="AG1" s="6" t="s">
        <v>241</v>
      </c>
      <c r="AH1" s="8" t="s">
        <v>248</v>
      </c>
      <c r="AI1" s="4" t="s">
        <v>439</v>
      </c>
      <c r="AJ1" s="4" t="s">
        <v>18</v>
      </c>
      <c r="AK1" s="9" t="s">
        <v>137</v>
      </c>
      <c r="AL1" s="8" t="s">
        <v>85</v>
      </c>
      <c r="AM1" s="8" t="s">
        <v>140</v>
      </c>
      <c r="AN1" s="8" t="s">
        <v>269</v>
      </c>
      <c r="AO1" s="9" t="s">
        <v>316</v>
      </c>
      <c r="AP1" s="9" t="s">
        <v>214</v>
      </c>
      <c r="AQ1" s="9" t="s">
        <v>456</v>
      </c>
      <c r="AR1" s="9" t="s">
        <v>264</v>
      </c>
      <c r="AS1" s="9" t="s">
        <v>256</v>
      </c>
      <c r="AT1" s="9" t="s">
        <v>131</v>
      </c>
      <c r="AU1" s="9" t="s">
        <v>409</v>
      </c>
      <c r="AV1" s="9" t="s">
        <v>232</v>
      </c>
      <c r="AW1" s="9" t="s">
        <v>415</v>
      </c>
      <c r="AX1" s="9" t="s">
        <v>57</v>
      </c>
      <c r="AY1" s="9" t="s">
        <v>58</v>
      </c>
      <c r="AZ1" s="9" t="s">
        <v>352</v>
      </c>
      <c r="BA1" s="9" t="s">
        <v>288</v>
      </c>
      <c r="BB1" s="9" t="s">
        <v>428</v>
      </c>
      <c r="BC1" s="9" t="s">
        <v>89</v>
      </c>
      <c r="BD1" s="9" t="s">
        <v>201</v>
      </c>
      <c r="BE1" s="9" t="s">
        <v>389</v>
      </c>
      <c r="BF1" s="9" t="s">
        <v>451</v>
      </c>
      <c r="BG1" s="9" t="s">
        <v>189</v>
      </c>
      <c r="BH1" s="8" t="s">
        <v>26</v>
      </c>
      <c r="BI1" s="8" t="s">
        <v>339</v>
      </c>
      <c r="BJ1" s="9" t="s">
        <v>81</v>
      </c>
      <c r="BK1" s="9" t="s">
        <v>207</v>
      </c>
      <c r="BL1" s="9" t="s">
        <v>253</v>
      </c>
      <c r="BM1" s="9" t="s">
        <v>412</v>
      </c>
      <c r="BN1" s="1" t="s">
        <v>426</v>
      </c>
      <c r="BO1" s="1" t="s">
        <v>221</v>
      </c>
    </row>
    <row r="2" spans="1:67" ht="12" customHeight="1">
      <c r="A2" s="10" t="s">
        <v>438</v>
      </c>
      <c r="B2" s="10" t="s">
        <v>230</v>
      </c>
      <c r="C2" s="11" t="s">
        <v>290</v>
      </c>
      <c r="D2" s="11"/>
      <c r="E2" s="11" t="s">
        <v>290</v>
      </c>
      <c r="F2" s="11"/>
      <c r="G2" s="11" t="s">
        <v>290</v>
      </c>
      <c r="H2" s="12" t="s">
        <v>424</v>
      </c>
      <c r="I2" s="11"/>
      <c r="J2" s="11"/>
      <c r="K2" s="11"/>
      <c r="L2" s="11"/>
      <c r="M2" s="11"/>
      <c r="N2" s="11"/>
      <c r="O2" s="11"/>
      <c r="P2" s="11"/>
      <c r="Q2" s="11"/>
      <c r="R2" s="11">
        <v>1</v>
      </c>
      <c r="S2" s="11" t="s">
        <v>82</v>
      </c>
      <c r="T2" s="13" t="s">
        <v>468</v>
      </c>
      <c r="U2" s="11" t="s">
        <v>168</v>
      </c>
      <c r="V2" s="13" t="s">
        <v>168</v>
      </c>
      <c r="W2" s="13" t="s">
        <v>212</v>
      </c>
      <c r="X2" s="13" t="s">
        <v>168</v>
      </c>
      <c r="Y2" s="14" t="s">
        <v>168</v>
      </c>
      <c r="Z2" s="13" t="s">
        <v>71</v>
      </c>
      <c r="AA2" s="11" t="s">
        <v>148</v>
      </c>
      <c r="AB2" s="11">
        <v>42231801</v>
      </c>
      <c r="AC2" s="11">
        <v>38430585</v>
      </c>
      <c r="AD2" s="11" t="s">
        <v>291</v>
      </c>
      <c r="AE2" s="11" t="s">
        <v>265</v>
      </c>
      <c r="AF2" s="11" t="s">
        <v>291</v>
      </c>
      <c r="AG2" s="11" t="s">
        <v>291</v>
      </c>
      <c r="AH2" s="15" t="s">
        <v>535</v>
      </c>
      <c r="AI2" s="13"/>
      <c r="AJ2" s="13"/>
      <c r="AK2" s="13" t="s">
        <v>594</v>
      </c>
      <c r="AL2" s="13" t="s">
        <v>595</v>
      </c>
      <c r="AM2" s="13" t="s">
        <v>595</v>
      </c>
      <c r="AN2" s="13">
        <f>LEN(SUBSTITUTE(AM2, ", ",","))</f>
        <v>76</v>
      </c>
      <c r="AO2" s="13" t="s">
        <v>727</v>
      </c>
      <c r="AP2" s="13" t="s">
        <v>728</v>
      </c>
      <c r="AQ2" s="13" t="s">
        <v>729</v>
      </c>
      <c r="AR2" s="13"/>
      <c r="AS2" s="13"/>
      <c r="AT2" s="13"/>
      <c r="AU2" s="13"/>
      <c r="AV2" s="13" t="s">
        <v>730</v>
      </c>
      <c r="AW2" s="13"/>
      <c r="AX2" s="13"/>
      <c r="AY2" s="13" t="s">
        <v>731</v>
      </c>
      <c r="AZ2" s="13"/>
      <c r="BA2" s="13"/>
      <c r="BB2" s="13"/>
      <c r="BC2" s="13"/>
      <c r="BD2" s="13" t="s">
        <v>732</v>
      </c>
      <c r="BE2" s="13"/>
      <c r="BF2" s="13"/>
      <c r="BG2" s="13" t="s">
        <v>733</v>
      </c>
      <c r="BH2" s="16" t="s">
        <v>734</v>
      </c>
      <c r="BI2" s="13"/>
      <c r="BJ2" s="13"/>
      <c r="BK2" s="13"/>
      <c r="BL2" s="13"/>
      <c r="BM2" s="13"/>
      <c r="BN2" s="1" t="s">
        <v>1120</v>
      </c>
    </row>
    <row r="3" spans="1:67" ht="12" customHeight="1">
      <c r="A3" s="10" t="s">
        <v>438</v>
      </c>
      <c r="B3" s="10" t="s">
        <v>230</v>
      </c>
      <c r="C3" s="11" t="s">
        <v>290</v>
      </c>
      <c r="D3" s="11"/>
      <c r="E3" s="11" t="s">
        <v>290</v>
      </c>
      <c r="F3" s="11"/>
      <c r="G3" s="11" t="s">
        <v>290</v>
      </c>
      <c r="H3" s="12" t="s">
        <v>424</v>
      </c>
      <c r="I3" s="11"/>
      <c r="J3" s="11"/>
      <c r="K3" s="11"/>
      <c r="L3" s="11"/>
      <c r="M3" s="11"/>
      <c r="N3" s="11"/>
      <c r="O3" s="11"/>
      <c r="P3" s="11"/>
      <c r="Q3" s="11"/>
      <c r="R3" s="11">
        <v>2</v>
      </c>
      <c r="S3" s="11" t="s">
        <v>402</v>
      </c>
      <c r="T3" s="13" t="s">
        <v>469</v>
      </c>
      <c r="U3" s="11" t="s">
        <v>94</v>
      </c>
      <c r="V3" s="13" t="s">
        <v>94</v>
      </c>
      <c r="W3" s="13" t="s">
        <v>345</v>
      </c>
      <c r="X3" s="13" t="s">
        <v>94</v>
      </c>
      <c r="Y3" s="14" t="s">
        <v>94</v>
      </c>
      <c r="Z3" s="13" t="s">
        <v>159</v>
      </c>
      <c r="AA3" s="11" t="s">
        <v>133</v>
      </c>
      <c r="AB3" s="11">
        <v>31201606</v>
      </c>
      <c r="AC3" s="11">
        <v>36953823</v>
      </c>
      <c r="AD3" s="11" t="s">
        <v>291</v>
      </c>
      <c r="AE3" s="11" t="s">
        <v>367</v>
      </c>
      <c r="AF3" s="11" t="s">
        <v>291</v>
      </c>
      <c r="AG3" s="11" t="s">
        <v>291</v>
      </c>
      <c r="AH3" s="15" t="s">
        <v>536</v>
      </c>
      <c r="AI3" s="13"/>
      <c r="AJ3" s="13"/>
      <c r="AK3" s="13" t="s">
        <v>596</v>
      </c>
      <c r="AL3" s="13" t="s">
        <v>597</v>
      </c>
      <c r="AM3" s="13" t="s">
        <v>597</v>
      </c>
      <c r="AN3" s="13">
        <f>LEN(SUBSTITUTE(AM3, ", ",","))</f>
        <v>76</v>
      </c>
      <c r="AO3" s="13" t="s">
        <v>735</v>
      </c>
      <c r="AP3" s="13" t="s">
        <v>736</v>
      </c>
      <c r="AQ3" s="13"/>
      <c r="AR3" s="13"/>
      <c r="AS3" s="13"/>
      <c r="AT3" s="13"/>
      <c r="AU3" s="13"/>
      <c r="AV3" s="13" t="s">
        <v>737</v>
      </c>
      <c r="AW3" s="13"/>
      <c r="AX3" s="13"/>
      <c r="AY3" s="13" t="s">
        <v>738</v>
      </c>
      <c r="AZ3" s="13" t="s">
        <v>739</v>
      </c>
      <c r="BA3" s="13"/>
      <c r="BB3" s="13" t="s">
        <v>740</v>
      </c>
      <c r="BC3" s="13"/>
      <c r="BD3" s="13" t="s">
        <v>741</v>
      </c>
      <c r="BE3" s="13" t="s">
        <v>742</v>
      </c>
      <c r="BF3" s="13"/>
      <c r="BG3" s="13" t="s">
        <v>743</v>
      </c>
      <c r="BH3" s="16" t="s">
        <v>744</v>
      </c>
      <c r="BI3" s="13"/>
      <c r="BJ3" s="13"/>
      <c r="BK3" s="13"/>
      <c r="BL3" s="13"/>
      <c r="BM3" s="13"/>
      <c r="BN3" s="1" t="s">
        <v>1120</v>
      </c>
    </row>
    <row r="4" spans="1:67" ht="12" customHeight="1">
      <c r="A4" s="10" t="s">
        <v>438</v>
      </c>
      <c r="B4" s="10" t="s">
        <v>230</v>
      </c>
      <c r="C4" s="11" t="s">
        <v>290</v>
      </c>
      <c r="D4" s="11"/>
      <c r="E4" s="11" t="s">
        <v>290</v>
      </c>
      <c r="F4" s="11"/>
      <c r="G4" s="11" t="s">
        <v>290</v>
      </c>
      <c r="H4" s="12" t="s">
        <v>424</v>
      </c>
      <c r="I4" s="11"/>
      <c r="J4" s="11"/>
      <c r="K4" s="11"/>
      <c r="L4" s="11"/>
      <c r="M4" s="11"/>
      <c r="N4" s="11"/>
      <c r="O4" s="11"/>
      <c r="P4" s="11"/>
      <c r="Q4" s="11"/>
      <c r="R4" s="11">
        <v>3</v>
      </c>
      <c r="S4" s="11" t="s">
        <v>93</v>
      </c>
      <c r="T4" s="13" t="s">
        <v>470</v>
      </c>
      <c r="U4" s="11" t="s">
        <v>283</v>
      </c>
      <c r="V4" s="13" t="s">
        <v>283</v>
      </c>
      <c r="W4" s="13" t="s">
        <v>185</v>
      </c>
      <c r="X4" s="13" t="s">
        <v>283</v>
      </c>
      <c r="Y4" s="14" t="s">
        <v>283</v>
      </c>
      <c r="Z4" s="13" t="s">
        <v>45</v>
      </c>
      <c r="AA4" s="11" t="s">
        <v>384</v>
      </c>
      <c r="AB4" s="11"/>
      <c r="AC4" s="11"/>
      <c r="AD4" s="11" t="s">
        <v>291</v>
      </c>
      <c r="AE4" s="11" t="s">
        <v>291</v>
      </c>
      <c r="AF4" s="11" t="s">
        <v>291</v>
      </c>
      <c r="AG4" s="11" t="s">
        <v>291</v>
      </c>
      <c r="AH4" s="15" t="s">
        <v>537</v>
      </c>
      <c r="AI4" s="17" t="s">
        <v>585</v>
      </c>
      <c r="AJ4" s="17" t="s">
        <v>586</v>
      </c>
      <c r="AK4" s="13" t="s">
        <v>598</v>
      </c>
      <c r="AL4" s="13" t="s">
        <v>599</v>
      </c>
      <c r="AM4" s="13" t="s">
        <v>599</v>
      </c>
      <c r="AN4" s="13">
        <f>LEN(SUBSTITUTE(AM4, ", ",","))</f>
        <v>121</v>
      </c>
      <c r="AO4" s="13" t="s">
        <v>745</v>
      </c>
      <c r="AP4" s="13" t="s">
        <v>746</v>
      </c>
      <c r="AQ4" s="13" t="s">
        <v>747</v>
      </c>
      <c r="AR4" s="18" t="s">
        <v>748</v>
      </c>
      <c r="AS4" s="13"/>
      <c r="AT4" s="13" t="s">
        <v>749</v>
      </c>
      <c r="AU4" s="13"/>
      <c r="AV4" s="13"/>
      <c r="AW4" s="13"/>
      <c r="AX4" s="13"/>
      <c r="AY4" s="13" t="s">
        <v>750</v>
      </c>
      <c r="AZ4" s="13"/>
      <c r="BA4" s="13"/>
      <c r="BB4" s="13"/>
      <c r="BC4" s="13"/>
      <c r="BD4" s="13" t="s">
        <v>751</v>
      </c>
      <c r="BE4" s="13"/>
      <c r="BF4" s="13"/>
      <c r="BG4" s="13"/>
      <c r="BH4" s="16" t="s">
        <v>752</v>
      </c>
      <c r="BI4" s="13"/>
      <c r="BJ4" s="13"/>
      <c r="BK4" s="13"/>
      <c r="BL4" s="13"/>
      <c r="BM4" s="13"/>
      <c r="BN4" s="1" t="s">
        <v>1120</v>
      </c>
    </row>
    <row r="5" spans="1:67" ht="12" customHeight="1">
      <c r="A5" s="10" t="s">
        <v>438</v>
      </c>
      <c r="B5" s="10" t="s">
        <v>230</v>
      </c>
      <c r="C5" s="11" t="s">
        <v>290</v>
      </c>
      <c r="D5" s="11"/>
      <c r="E5" s="11" t="s">
        <v>290</v>
      </c>
      <c r="F5" s="11"/>
      <c r="G5" s="11" t="s">
        <v>290</v>
      </c>
      <c r="H5" s="12" t="s">
        <v>424</v>
      </c>
      <c r="I5" s="11"/>
      <c r="J5" s="11"/>
      <c r="K5" s="11"/>
      <c r="L5" s="11"/>
      <c r="M5" s="11"/>
      <c r="N5" s="11"/>
      <c r="O5" s="11"/>
      <c r="P5" s="11"/>
      <c r="Q5" s="11"/>
      <c r="R5" s="11">
        <v>4</v>
      </c>
      <c r="S5" s="11" t="s">
        <v>93</v>
      </c>
      <c r="T5" s="13" t="s">
        <v>470</v>
      </c>
      <c r="U5" s="11" t="s">
        <v>64</v>
      </c>
      <c r="V5" s="13" t="s">
        <v>64</v>
      </c>
      <c r="W5" s="13" t="s">
        <v>185</v>
      </c>
      <c r="X5" s="13" t="s">
        <v>64</v>
      </c>
      <c r="Y5" s="14" t="s">
        <v>64</v>
      </c>
      <c r="Z5" s="13" t="s">
        <v>300</v>
      </c>
      <c r="AA5" s="11" t="s">
        <v>76</v>
      </c>
      <c r="AB5" s="11"/>
      <c r="AC5" s="11"/>
      <c r="AD5" s="11" t="s">
        <v>291</v>
      </c>
      <c r="AE5" s="11" t="s">
        <v>291</v>
      </c>
      <c r="AF5" s="11" t="s">
        <v>291</v>
      </c>
      <c r="AG5" s="11" t="s">
        <v>291</v>
      </c>
      <c r="AH5" s="15" t="s">
        <v>537</v>
      </c>
      <c r="AI5" s="17" t="s">
        <v>585</v>
      </c>
      <c r="AJ5" s="17" t="s">
        <v>586</v>
      </c>
      <c r="AK5" s="13" t="s">
        <v>600</v>
      </c>
      <c r="AL5" s="13" t="s">
        <v>601</v>
      </c>
      <c r="AM5" s="13" t="s">
        <v>601</v>
      </c>
      <c r="AN5" s="13">
        <f>LEN(SUBSTITUTE(AM5, ", ",","))</f>
        <v>117</v>
      </c>
      <c r="AO5" s="13" t="s">
        <v>745</v>
      </c>
      <c r="AP5" s="13" t="s">
        <v>746</v>
      </c>
      <c r="AQ5" s="13" t="s">
        <v>747</v>
      </c>
      <c r="AR5" s="18" t="s">
        <v>748</v>
      </c>
      <c r="AS5" s="13"/>
      <c r="AT5" s="13" t="s">
        <v>753</v>
      </c>
      <c r="AU5" s="13"/>
      <c r="AV5" s="13"/>
      <c r="AW5" s="13"/>
      <c r="AX5" s="13"/>
      <c r="AY5" s="13" t="s">
        <v>754</v>
      </c>
      <c r="AZ5" s="13"/>
      <c r="BA5" s="13"/>
      <c r="BB5" s="13"/>
      <c r="BC5" s="13"/>
      <c r="BD5" s="13" t="s">
        <v>751</v>
      </c>
      <c r="BE5" s="13"/>
      <c r="BF5" s="13"/>
      <c r="BG5" s="13"/>
      <c r="BH5" s="16" t="s">
        <v>752</v>
      </c>
      <c r="BI5" s="13"/>
      <c r="BJ5" s="13"/>
      <c r="BK5" s="13"/>
      <c r="BL5" s="13"/>
      <c r="BM5" s="13"/>
      <c r="BN5" s="1" t="s">
        <v>1120</v>
      </c>
    </row>
    <row r="6" spans="1:67" ht="12" customHeight="1">
      <c r="A6" s="10" t="s">
        <v>438</v>
      </c>
      <c r="B6" s="10" t="s">
        <v>230</v>
      </c>
      <c r="C6" s="11" t="s">
        <v>290</v>
      </c>
      <c r="D6" s="11"/>
      <c r="E6" s="11" t="s">
        <v>290</v>
      </c>
      <c r="F6" s="11"/>
      <c r="G6" s="11" t="s">
        <v>290</v>
      </c>
      <c r="H6" s="12" t="s">
        <v>424</v>
      </c>
      <c r="I6" s="11"/>
      <c r="J6" s="11"/>
      <c r="K6" s="11"/>
      <c r="L6" s="11"/>
      <c r="M6" s="11"/>
      <c r="N6" s="11"/>
      <c r="O6" s="11"/>
      <c r="P6" s="11"/>
      <c r="Q6" s="11"/>
      <c r="R6" s="11">
        <v>5</v>
      </c>
      <c r="S6" s="11" t="s">
        <v>443</v>
      </c>
      <c r="T6" s="13" t="s">
        <v>471</v>
      </c>
      <c r="U6" s="11" t="s">
        <v>353</v>
      </c>
      <c r="V6" s="13" t="s">
        <v>353</v>
      </c>
      <c r="W6" s="13" t="s">
        <v>240</v>
      </c>
      <c r="X6" s="13" t="s">
        <v>353</v>
      </c>
      <c r="Y6" s="14" t="s">
        <v>353</v>
      </c>
      <c r="Z6" s="13" t="s">
        <v>275</v>
      </c>
      <c r="AA6" s="11" t="s">
        <v>371</v>
      </c>
      <c r="AB6" s="11">
        <v>42321507</v>
      </c>
      <c r="AC6" s="11">
        <v>35428282</v>
      </c>
      <c r="AD6" s="11" t="s">
        <v>291</v>
      </c>
      <c r="AE6" s="11" t="s">
        <v>204</v>
      </c>
      <c r="AF6" s="11" t="s">
        <v>96</v>
      </c>
      <c r="AG6" s="11" t="s">
        <v>273</v>
      </c>
      <c r="AH6" s="13" t="s">
        <v>538</v>
      </c>
      <c r="AI6" s="13"/>
      <c r="AJ6" s="13"/>
      <c r="AK6" s="13" t="s">
        <v>602</v>
      </c>
      <c r="AL6" s="13" t="s">
        <v>603</v>
      </c>
      <c r="AM6" s="13" t="s">
        <v>603</v>
      </c>
      <c r="AN6" s="13">
        <f>LEN(SUBSTITUTE(AM6, ", ",","))</f>
        <v>136</v>
      </c>
      <c r="AO6" s="13" t="s">
        <v>755</v>
      </c>
      <c r="AP6" s="13" t="s">
        <v>756</v>
      </c>
      <c r="AQ6" s="13" t="s">
        <v>757</v>
      </c>
      <c r="AR6" s="13"/>
      <c r="AS6" s="13"/>
      <c r="AT6" s="13"/>
      <c r="AU6" s="13"/>
      <c r="AV6" s="13"/>
      <c r="AW6" s="13"/>
      <c r="AX6" s="13"/>
      <c r="AY6" s="13" t="s">
        <v>758</v>
      </c>
      <c r="AZ6" s="13"/>
      <c r="BA6" s="13"/>
      <c r="BB6" s="13"/>
      <c r="BC6" s="13" t="s">
        <v>759</v>
      </c>
      <c r="BD6" s="13" t="s">
        <v>760</v>
      </c>
      <c r="BE6" s="13" t="s">
        <v>742</v>
      </c>
      <c r="BF6" s="13" t="s">
        <v>761</v>
      </c>
      <c r="BG6" s="13"/>
      <c r="BH6" s="16" t="s">
        <v>762</v>
      </c>
      <c r="BI6" s="13"/>
      <c r="BJ6" s="13"/>
      <c r="BK6" s="13"/>
      <c r="BL6" s="13"/>
      <c r="BM6" s="13"/>
      <c r="BN6" s="1" t="s">
        <v>1120</v>
      </c>
    </row>
    <row r="7" spans="1:67" ht="12" customHeight="1">
      <c r="A7" s="10" t="s">
        <v>438</v>
      </c>
      <c r="B7" s="10" t="s">
        <v>230</v>
      </c>
      <c r="C7" s="11" t="s">
        <v>290</v>
      </c>
      <c r="D7" s="11"/>
      <c r="E7" s="11" t="s">
        <v>290</v>
      </c>
      <c r="F7" s="11"/>
      <c r="G7" s="11" t="s">
        <v>290</v>
      </c>
      <c r="H7" s="12" t="s">
        <v>424</v>
      </c>
      <c r="I7" s="11"/>
      <c r="J7" s="11"/>
      <c r="K7" s="11"/>
      <c r="L7" s="11"/>
      <c r="M7" s="11"/>
      <c r="N7" s="11"/>
      <c r="O7" s="11"/>
      <c r="P7" s="11"/>
      <c r="Q7" s="11"/>
      <c r="R7" s="11">
        <v>15</v>
      </c>
      <c r="S7" s="11" t="s">
        <v>402</v>
      </c>
      <c r="T7" s="13" t="s">
        <v>469</v>
      </c>
      <c r="U7" s="11" t="s">
        <v>362</v>
      </c>
      <c r="V7" s="13" t="s">
        <v>362</v>
      </c>
      <c r="W7" s="13" t="s">
        <v>345</v>
      </c>
      <c r="X7" s="13" t="s">
        <v>362</v>
      </c>
      <c r="Y7" s="14" t="s">
        <v>362</v>
      </c>
      <c r="Z7" s="13" t="s">
        <v>284</v>
      </c>
      <c r="AA7" s="11" t="s">
        <v>46</v>
      </c>
      <c r="AB7" s="11">
        <v>26111711</v>
      </c>
      <c r="AC7" s="11">
        <v>8864612</v>
      </c>
      <c r="AD7" s="11" t="s">
        <v>291</v>
      </c>
      <c r="AE7" s="11" t="s">
        <v>325</v>
      </c>
      <c r="AF7" s="11" t="s">
        <v>291</v>
      </c>
      <c r="AG7" s="11" t="s">
        <v>291</v>
      </c>
      <c r="AH7" s="15" t="s">
        <v>539</v>
      </c>
      <c r="AI7" s="13"/>
      <c r="AJ7" s="13"/>
      <c r="AK7" s="13" t="s">
        <v>604</v>
      </c>
      <c r="AL7" s="13" t="s">
        <v>605</v>
      </c>
      <c r="AM7" s="13" t="s">
        <v>605</v>
      </c>
      <c r="AN7" s="13">
        <f>LEN(SUBSTITUTE(AM7, ", ",","))</f>
        <v>58</v>
      </c>
      <c r="AO7" s="13" t="s">
        <v>763</v>
      </c>
      <c r="AP7" s="13" t="s">
        <v>764</v>
      </c>
      <c r="AQ7" s="13"/>
      <c r="AR7" s="13" t="s">
        <v>765</v>
      </c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 t="s">
        <v>766</v>
      </c>
      <c r="BE7" s="13"/>
      <c r="BF7" s="13"/>
      <c r="BG7" s="13"/>
      <c r="BH7" s="16" t="s">
        <v>767</v>
      </c>
      <c r="BI7" s="13"/>
      <c r="BJ7" s="13"/>
      <c r="BK7" s="13"/>
      <c r="BL7" s="13"/>
      <c r="BM7" s="13"/>
      <c r="BN7" s="1" t="s">
        <v>1120</v>
      </c>
    </row>
    <row r="8" spans="1:67" ht="12" customHeight="1">
      <c r="A8" s="10" t="s">
        <v>438</v>
      </c>
      <c r="B8" s="10" t="s">
        <v>230</v>
      </c>
      <c r="C8" s="11" t="s">
        <v>290</v>
      </c>
      <c r="D8" s="11"/>
      <c r="E8" s="11" t="s">
        <v>290</v>
      </c>
      <c r="F8" s="11"/>
      <c r="G8" s="11" t="s">
        <v>290</v>
      </c>
      <c r="H8" s="12" t="s">
        <v>424</v>
      </c>
      <c r="I8" s="11"/>
      <c r="J8" s="11"/>
      <c r="K8" s="11"/>
      <c r="L8" s="11"/>
      <c r="M8" s="11"/>
      <c r="N8" s="11"/>
      <c r="O8" s="11"/>
      <c r="P8" s="11"/>
      <c r="Q8" s="11"/>
      <c r="R8" s="11">
        <v>20</v>
      </c>
      <c r="S8" s="11" t="s">
        <v>118</v>
      </c>
      <c r="T8" s="13" t="s">
        <v>472</v>
      </c>
      <c r="U8" s="11" t="s">
        <v>323</v>
      </c>
      <c r="V8" s="13" t="s">
        <v>323</v>
      </c>
      <c r="W8" s="13" t="s">
        <v>348</v>
      </c>
      <c r="X8" s="13" t="s">
        <v>323</v>
      </c>
      <c r="Y8" s="14" t="s">
        <v>323</v>
      </c>
      <c r="Z8" s="13" t="s">
        <v>302</v>
      </c>
      <c r="AA8" s="11" t="s">
        <v>199</v>
      </c>
      <c r="AB8" s="11">
        <v>42271701</v>
      </c>
      <c r="AC8" s="11">
        <v>5722854</v>
      </c>
      <c r="AD8" s="11" t="s">
        <v>291</v>
      </c>
      <c r="AE8" s="11" t="s">
        <v>199</v>
      </c>
      <c r="AF8" s="11" t="s">
        <v>291</v>
      </c>
      <c r="AG8" s="11" t="s">
        <v>291</v>
      </c>
      <c r="AH8" s="15" t="s">
        <v>540</v>
      </c>
      <c r="AI8" s="13"/>
      <c r="AJ8" s="13"/>
      <c r="AK8" s="13" t="s">
        <v>606</v>
      </c>
      <c r="AL8" s="13" t="s">
        <v>607</v>
      </c>
      <c r="AM8" s="13" t="s">
        <v>607</v>
      </c>
      <c r="AN8" s="13">
        <f>LEN(SUBSTITUTE(AM8, ", ",","))</f>
        <v>44</v>
      </c>
      <c r="AO8" s="13" t="s">
        <v>768</v>
      </c>
      <c r="AP8" s="13" t="s">
        <v>769</v>
      </c>
      <c r="AQ8" s="13" t="s">
        <v>770</v>
      </c>
      <c r="AR8" s="13"/>
      <c r="AS8" s="13"/>
      <c r="AT8" s="13"/>
      <c r="AU8" s="13"/>
      <c r="AV8" s="13"/>
      <c r="AW8" s="13"/>
      <c r="AX8" s="13"/>
      <c r="AY8" s="13" t="s">
        <v>771</v>
      </c>
      <c r="AZ8" s="13"/>
      <c r="BA8" s="13"/>
      <c r="BB8" s="13"/>
      <c r="BC8" s="13"/>
      <c r="BD8" s="13"/>
      <c r="BE8" s="13"/>
      <c r="BF8" s="13"/>
      <c r="BG8" s="13" t="s">
        <v>772</v>
      </c>
      <c r="BH8" s="16" t="s">
        <v>773</v>
      </c>
      <c r="BI8" s="13"/>
      <c r="BJ8" s="13"/>
      <c r="BK8" s="13"/>
      <c r="BL8" s="13"/>
      <c r="BM8" s="13"/>
      <c r="BN8" s="1" t="s">
        <v>1120</v>
      </c>
    </row>
    <row r="9" spans="1:67" ht="12" customHeight="1">
      <c r="A9" s="10" t="s">
        <v>438</v>
      </c>
      <c r="B9" s="10" t="s">
        <v>230</v>
      </c>
      <c r="C9" s="11" t="s">
        <v>290</v>
      </c>
      <c r="D9" s="11"/>
      <c r="E9" s="11" t="s">
        <v>290</v>
      </c>
      <c r="F9" s="11"/>
      <c r="G9" s="11" t="s">
        <v>290</v>
      </c>
      <c r="H9" s="12" t="s">
        <v>424</v>
      </c>
      <c r="I9" s="11"/>
      <c r="J9" s="11"/>
      <c r="K9" s="11"/>
      <c r="L9" s="11"/>
      <c r="M9" s="11"/>
      <c r="N9" s="11"/>
      <c r="O9" s="11"/>
      <c r="P9" s="11"/>
      <c r="Q9" s="11"/>
      <c r="R9" s="11">
        <v>21</v>
      </c>
      <c r="S9" s="11" t="s">
        <v>11</v>
      </c>
      <c r="T9" s="13" t="s">
        <v>473</v>
      </c>
      <c r="U9" s="11" t="s">
        <v>454</v>
      </c>
      <c r="V9" s="13" t="s">
        <v>454</v>
      </c>
      <c r="W9" s="13" t="s">
        <v>208</v>
      </c>
      <c r="X9" s="13" t="s">
        <v>454</v>
      </c>
      <c r="Y9" s="14" t="s">
        <v>454</v>
      </c>
      <c r="Z9" s="13" t="s">
        <v>392</v>
      </c>
      <c r="AA9" s="11" t="s">
        <v>312</v>
      </c>
      <c r="AB9" s="11">
        <v>42222005</v>
      </c>
      <c r="AC9" s="11">
        <v>13980689</v>
      </c>
      <c r="AD9" s="11" t="s">
        <v>291</v>
      </c>
      <c r="AE9" s="11" t="s">
        <v>312</v>
      </c>
      <c r="AF9" s="11" t="s">
        <v>291</v>
      </c>
      <c r="AG9" s="11" t="s">
        <v>291</v>
      </c>
      <c r="AH9" s="15" t="s">
        <v>541</v>
      </c>
      <c r="AI9" s="13"/>
      <c r="AJ9" s="13"/>
      <c r="AK9" s="13" t="s">
        <v>312</v>
      </c>
      <c r="AL9" s="13" t="s">
        <v>608</v>
      </c>
      <c r="AM9" s="13" t="s">
        <v>608</v>
      </c>
      <c r="AN9" s="13">
        <f>LEN(SUBSTITUTE(AM9, ", ",","))</f>
        <v>38</v>
      </c>
      <c r="AO9" s="13" t="s">
        <v>774</v>
      </c>
      <c r="AP9" s="13" t="s">
        <v>775</v>
      </c>
      <c r="AQ9" s="13" t="s">
        <v>776</v>
      </c>
      <c r="AR9" s="13"/>
      <c r="AS9" s="13"/>
      <c r="AT9" s="13"/>
      <c r="AU9" s="13"/>
      <c r="AV9" s="13"/>
      <c r="AW9" s="13"/>
      <c r="AX9" s="13"/>
      <c r="AY9" s="13" t="s">
        <v>777</v>
      </c>
      <c r="AZ9" s="13"/>
      <c r="BA9" s="13"/>
      <c r="BB9" s="13"/>
      <c r="BC9" s="13"/>
      <c r="BD9" s="13" t="s">
        <v>778</v>
      </c>
      <c r="BE9" s="13"/>
      <c r="BF9" s="13"/>
      <c r="BG9" s="13"/>
      <c r="BH9" s="16" t="s">
        <v>779</v>
      </c>
      <c r="BI9" s="13"/>
      <c r="BJ9" s="13"/>
      <c r="BK9" s="13"/>
      <c r="BL9" s="13"/>
      <c r="BM9" s="13"/>
      <c r="BN9" s="1" t="s">
        <v>1120</v>
      </c>
    </row>
    <row r="10" spans="1:67" ht="12" customHeight="1">
      <c r="A10" s="10" t="s">
        <v>438</v>
      </c>
      <c r="B10" s="10" t="s">
        <v>230</v>
      </c>
      <c r="C10" s="11" t="s">
        <v>290</v>
      </c>
      <c r="D10" s="11"/>
      <c r="E10" s="11" t="s">
        <v>290</v>
      </c>
      <c r="F10" s="11"/>
      <c r="G10" s="11" t="s">
        <v>290</v>
      </c>
      <c r="H10" s="12" t="s">
        <v>424</v>
      </c>
      <c r="I10" s="11"/>
      <c r="J10" s="11"/>
      <c r="K10" s="11"/>
      <c r="L10" s="11"/>
      <c r="M10" s="11"/>
      <c r="N10" s="11"/>
      <c r="O10" s="11"/>
      <c r="P10" s="11"/>
      <c r="Q10" s="11"/>
      <c r="R10" s="11">
        <v>24</v>
      </c>
      <c r="S10" s="11" t="s">
        <v>196</v>
      </c>
      <c r="T10" s="13" t="s">
        <v>474</v>
      </c>
      <c r="U10" s="11" t="s">
        <v>270</v>
      </c>
      <c r="V10" s="13" t="s">
        <v>270</v>
      </c>
      <c r="W10" s="13" t="s">
        <v>303</v>
      </c>
      <c r="X10" s="13" t="s">
        <v>270</v>
      </c>
      <c r="Y10" s="14" t="s">
        <v>292</v>
      </c>
      <c r="Z10" s="13" t="s">
        <v>0</v>
      </c>
      <c r="AA10" s="11" t="s">
        <v>21</v>
      </c>
      <c r="AB10" s="11">
        <v>42321505</v>
      </c>
      <c r="AC10" s="11">
        <v>12794489</v>
      </c>
      <c r="AD10" s="11" t="s">
        <v>291</v>
      </c>
      <c r="AE10" s="11" t="s">
        <v>305</v>
      </c>
      <c r="AF10" s="11" t="s">
        <v>291</v>
      </c>
      <c r="AG10" s="11" t="s">
        <v>216</v>
      </c>
      <c r="AH10" s="16" t="s">
        <v>542</v>
      </c>
      <c r="AI10" s="13" t="s">
        <v>96</v>
      </c>
      <c r="AJ10" s="17" t="s">
        <v>587</v>
      </c>
      <c r="AK10" s="13" t="s">
        <v>609</v>
      </c>
      <c r="AL10" s="13" t="s">
        <v>610</v>
      </c>
      <c r="AM10" s="13" t="s">
        <v>610</v>
      </c>
      <c r="AN10" s="13">
        <f>LEN(SUBSTITUTE(AM10, ", ",","))</f>
        <v>73</v>
      </c>
      <c r="AO10" s="13" t="s">
        <v>780</v>
      </c>
      <c r="AP10" s="13" t="s">
        <v>781</v>
      </c>
      <c r="AQ10" s="13" t="s">
        <v>782</v>
      </c>
      <c r="AR10" s="13"/>
      <c r="AS10" s="13"/>
      <c r="AT10" s="13" t="s">
        <v>783</v>
      </c>
      <c r="AU10" s="13"/>
      <c r="AV10" s="13"/>
      <c r="AW10" s="13"/>
      <c r="AX10" s="13"/>
      <c r="AY10" s="13" t="s">
        <v>784</v>
      </c>
      <c r="AZ10" s="13" t="s">
        <v>785</v>
      </c>
      <c r="BA10" s="13"/>
      <c r="BB10" s="13"/>
      <c r="BC10" s="13" t="s">
        <v>786</v>
      </c>
      <c r="BD10" s="13"/>
      <c r="BE10" s="13" t="s">
        <v>787</v>
      </c>
      <c r="BF10" s="13"/>
      <c r="BG10" s="13"/>
      <c r="BH10" s="16" t="s">
        <v>788</v>
      </c>
      <c r="BI10" s="13"/>
      <c r="BJ10" s="13"/>
      <c r="BK10" s="13"/>
      <c r="BL10" s="13"/>
      <c r="BM10" s="13"/>
      <c r="BN10" s="1" t="s">
        <v>1120</v>
      </c>
    </row>
    <row r="11" spans="1:67" ht="12" customHeight="1">
      <c r="A11" s="10" t="s">
        <v>438</v>
      </c>
      <c r="B11" s="10" t="s">
        <v>230</v>
      </c>
      <c r="C11" s="11" t="s">
        <v>290</v>
      </c>
      <c r="D11" s="11"/>
      <c r="E11" s="11" t="s">
        <v>290</v>
      </c>
      <c r="F11" s="11"/>
      <c r="G11" s="11" t="s">
        <v>290</v>
      </c>
      <c r="H11" s="12" t="s">
        <v>424</v>
      </c>
      <c r="I11" s="11"/>
      <c r="J11" s="11"/>
      <c r="K11" s="11"/>
      <c r="L11" s="11"/>
      <c r="M11" s="11"/>
      <c r="N11" s="11"/>
      <c r="O11" s="11"/>
      <c r="P11" s="11"/>
      <c r="Q11" s="11"/>
      <c r="R11" s="11">
        <v>25</v>
      </c>
      <c r="S11" s="11" t="s">
        <v>196</v>
      </c>
      <c r="T11" s="13" t="s">
        <v>474</v>
      </c>
      <c r="U11" s="11" t="s">
        <v>243</v>
      </c>
      <c r="V11" s="13" t="s">
        <v>243</v>
      </c>
      <c r="W11" s="13" t="s">
        <v>303</v>
      </c>
      <c r="X11" s="13" t="s">
        <v>243</v>
      </c>
      <c r="Y11" s="14" t="s">
        <v>20</v>
      </c>
      <c r="Z11" s="13" t="s">
        <v>326</v>
      </c>
      <c r="AA11" s="11" t="s">
        <v>406</v>
      </c>
      <c r="AB11" s="11">
        <v>42322507</v>
      </c>
      <c r="AC11" s="11">
        <v>36514827</v>
      </c>
      <c r="AD11" s="11" t="s">
        <v>291</v>
      </c>
      <c r="AE11" s="11" t="s">
        <v>294</v>
      </c>
      <c r="AF11" s="11" t="s">
        <v>291</v>
      </c>
      <c r="AG11" s="11" t="s">
        <v>216</v>
      </c>
      <c r="AH11" s="16" t="s">
        <v>542</v>
      </c>
      <c r="AI11" s="13" t="s">
        <v>96</v>
      </c>
      <c r="AJ11" s="17" t="s">
        <v>587</v>
      </c>
      <c r="AK11" s="13" t="s">
        <v>611</v>
      </c>
      <c r="AL11" s="13" t="s">
        <v>612</v>
      </c>
      <c r="AM11" s="13" t="s">
        <v>612</v>
      </c>
      <c r="AN11" s="13">
        <f>LEN(SUBSTITUTE(AM11, ", ",","))</f>
        <v>87</v>
      </c>
      <c r="AO11" s="13" t="s">
        <v>780</v>
      </c>
      <c r="AP11" s="13" t="s">
        <v>781</v>
      </c>
      <c r="AQ11" s="13" t="s">
        <v>789</v>
      </c>
      <c r="AR11" s="13"/>
      <c r="AS11" s="13"/>
      <c r="AT11" s="13" t="s">
        <v>790</v>
      </c>
      <c r="AU11" s="13"/>
      <c r="AV11" s="13"/>
      <c r="AW11" s="13"/>
      <c r="AX11" s="13"/>
      <c r="AY11" s="13" t="s">
        <v>791</v>
      </c>
      <c r="AZ11" s="13" t="s">
        <v>785</v>
      </c>
      <c r="BA11" s="13"/>
      <c r="BB11" s="13"/>
      <c r="BC11" s="13" t="s">
        <v>786</v>
      </c>
      <c r="BD11" s="13" t="s">
        <v>792</v>
      </c>
      <c r="BE11" s="13" t="s">
        <v>787</v>
      </c>
      <c r="BF11" s="13"/>
      <c r="BG11" s="13"/>
      <c r="BH11" s="16" t="s">
        <v>793</v>
      </c>
      <c r="BI11" s="13"/>
      <c r="BJ11" s="13"/>
      <c r="BK11" s="13"/>
      <c r="BL11" s="13"/>
      <c r="BM11" s="13"/>
      <c r="BN11" s="1" t="s">
        <v>1120</v>
      </c>
    </row>
    <row r="12" spans="1:67" ht="12" customHeight="1">
      <c r="A12" s="10" t="s">
        <v>438</v>
      </c>
      <c r="B12" s="10" t="s">
        <v>230</v>
      </c>
      <c r="C12" s="11" t="s">
        <v>290</v>
      </c>
      <c r="D12" s="11"/>
      <c r="E12" s="11" t="s">
        <v>290</v>
      </c>
      <c r="F12" s="11"/>
      <c r="G12" s="11" t="s">
        <v>290</v>
      </c>
      <c r="H12" s="12" t="s">
        <v>424</v>
      </c>
      <c r="I12" s="11"/>
      <c r="J12" s="11"/>
      <c r="K12" s="11"/>
      <c r="L12" s="11"/>
      <c r="M12" s="11"/>
      <c r="N12" s="11"/>
      <c r="O12" s="11"/>
      <c r="P12" s="11"/>
      <c r="Q12" s="11"/>
      <c r="R12" s="11">
        <v>39</v>
      </c>
      <c r="S12" s="11" t="s">
        <v>196</v>
      </c>
      <c r="T12" s="13" t="s">
        <v>474</v>
      </c>
      <c r="U12" s="11" t="s">
        <v>125</v>
      </c>
      <c r="V12" s="13" t="s">
        <v>125</v>
      </c>
      <c r="W12" s="13" t="s">
        <v>303</v>
      </c>
      <c r="X12" s="13" t="s">
        <v>125</v>
      </c>
      <c r="Y12" s="14" t="s">
        <v>146</v>
      </c>
      <c r="Z12" s="13" t="s">
        <v>119</v>
      </c>
      <c r="AA12" s="11" t="s">
        <v>95</v>
      </c>
      <c r="AB12" s="11">
        <v>42322507</v>
      </c>
      <c r="AC12" s="11">
        <v>15724609</v>
      </c>
      <c r="AD12" s="11" t="s">
        <v>291</v>
      </c>
      <c r="AE12" s="11" t="s">
        <v>262</v>
      </c>
      <c r="AF12" s="11" t="s">
        <v>291</v>
      </c>
      <c r="AG12" s="11" t="s">
        <v>216</v>
      </c>
      <c r="AH12" s="16" t="s">
        <v>542</v>
      </c>
      <c r="AI12" s="13" t="s">
        <v>96</v>
      </c>
      <c r="AJ12" s="17" t="s">
        <v>587</v>
      </c>
      <c r="AK12" s="13" t="s">
        <v>613</v>
      </c>
      <c r="AL12" s="13" t="s">
        <v>614</v>
      </c>
      <c r="AM12" s="13" t="s">
        <v>614</v>
      </c>
      <c r="AN12" s="13">
        <f>LEN(SUBSTITUTE(AM12, ", ",","))</f>
        <v>101</v>
      </c>
      <c r="AO12" s="13" t="s">
        <v>780</v>
      </c>
      <c r="AP12" s="13" t="s">
        <v>781</v>
      </c>
      <c r="AQ12" s="13" t="s">
        <v>794</v>
      </c>
      <c r="AR12" s="13"/>
      <c r="AS12" s="13"/>
      <c r="AT12" s="13" t="s">
        <v>795</v>
      </c>
      <c r="AU12" s="13"/>
      <c r="AV12" s="13"/>
      <c r="AW12" s="13"/>
      <c r="AX12" s="13" t="s">
        <v>796</v>
      </c>
      <c r="AY12" s="13" t="s">
        <v>797</v>
      </c>
      <c r="AZ12" s="13" t="s">
        <v>785</v>
      </c>
      <c r="BA12" s="13"/>
      <c r="BB12" s="13"/>
      <c r="BC12" s="13" t="s">
        <v>786</v>
      </c>
      <c r="BD12" s="13" t="s">
        <v>216</v>
      </c>
      <c r="BE12" s="13" t="s">
        <v>787</v>
      </c>
      <c r="BF12" s="13"/>
      <c r="BG12" s="13"/>
      <c r="BH12" s="16" t="s">
        <v>798</v>
      </c>
      <c r="BI12" s="13"/>
      <c r="BJ12" s="13"/>
      <c r="BK12" s="13"/>
      <c r="BL12" s="13"/>
      <c r="BM12" s="13"/>
      <c r="BN12" s="1" t="s">
        <v>1120</v>
      </c>
    </row>
    <row r="13" spans="1:67" ht="12" customHeight="1">
      <c r="A13" s="10" t="s">
        <v>438</v>
      </c>
      <c r="B13" s="10" t="s">
        <v>230</v>
      </c>
      <c r="C13" s="11" t="s">
        <v>290</v>
      </c>
      <c r="D13" s="11"/>
      <c r="E13" s="11" t="s">
        <v>290</v>
      </c>
      <c r="F13" s="11"/>
      <c r="G13" s="11" t="s">
        <v>290</v>
      </c>
      <c r="H13" s="12" t="s">
        <v>424</v>
      </c>
      <c r="I13" s="11"/>
      <c r="J13" s="11"/>
      <c r="K13" s="11"/>
      <c r="L13" s="11"/>
      <c r="M13" s="11"/>
      <c r="N13" s="11"/>
      <c r="O13" s="11"/>
      <c r="P13" s="11"/>
      <c r="Q13" s="11"/>
      <c r="R13" s="11">
        <v>42</v>
      </c>
      <c r="S13" s="11" t="s">
        <v>196</v>
      </c>
      <c r="T13" s="13" t="s">
        <v>474</v>
      </c>
      <c r="U13" s="11" t="s">
        <v>117</v>
      </c>
      <c r="V13" s="13" t="s">
        <v>117</v>
      </c>
      <c r="W13" s="13" t="s">
        <v>303</v>
      </c>
      <c r="X13" s="13" t="s">
        <v>117</v>
      </c>
      <c r="Y13" s="14" t="s">
        <v>293</v>
      </c>
      <c r="Z13" s="13" t="s">
        <v>295</v>
      </c>
      <c r="AA13" s="11" t="s">
        <v>106</v>
      </c>
      <c r="AB13" s="11">
        <v>42321505</v>
      </c>
      <c r="AC13" s="11">
        <v>15763835</v>
      </c>
      <c r="AD13" s="11" t="s">
        <v>291</v>
      </c>
      <c r="AE13" s="11" t="s">
        <v>391</v>
      </c>
      <c r="AF13" s="11" t="s">
        <v>291</v>
      </c>
      <c r="AG13" s="11" t="s">
        <v>216</v>
      </c>
      <c r="AH13" s="16" t="s">
        <v>542</v>
      </c>
      <c r="AI13" s="13" t="s">
        <v>96</v>
      </c>
      <c r="AJ13" s="17" t="s">
        <v>587</v>
      </c>
      <c r="AK13" s="13" t="s">
        <v>615</v>
      </c>
      <c r="AL13" s="13" t="s">
        <v>616</v>
      </c>
      <c r="AM13" s="13" t="s">
        <v>616</v>
      </c>
      <c r="AN13" s="13">
        <f>LEN(SUBSTITUTE(AM13, ", ",","))</f>
        <v>95</v>
      </c>
      <c r="AO13" s="13" t="s">
        <v>780</v>
      </c>
      <c r="AP13" s="13" t="s">
        <v>781</v>
      </c>
      <c r="AQ13" s="13" t="s">
        <v>794</v>
      </c>
      <c r="AR13" s="13"/>
      <c r="AS13" s="13"/>
      <c r="AT13" s="13" t="s">
        <v>799</v>
      </c>
      <c r="AU13" s="13"/>
      <c r="AV13" s="13"/>
      <c r="AW13" s="13"/>
      <c r="AX13" s="13" t="s">
        <v>800</v>
      </c>
      <c r="AY13" s="13" t="s">
        <v>797</v>
      </c>
      <c r="AZ13" s="13" t="s">
        <v>785</v>
      </c>
      <c r="BA13" s="13"/>
      <c r="BB13" s="13"/>
      <c r="BC13" s="13" t="s">
        <v>786</v>
      </c>
      <c r="BD13" s="13" t="s">
        <v>216</v>
      </c>
      <c r="BE13" s="13" t="s">
        <v>787</v>
      </c>
      <c r="BF13" s="13"/>
      <c r="BG13" s="13"/>
      <c r="BH13" s="16" t="s">
        <v>801</v>
      </c>
      <c r="BI13" s="13"/>
      <c r="BJ13" s="13"/>
      <c r="BK13" s="13"/>
      <c r="BL13" s="13"/>
      <c r="BM13" s="13"/>
      <c r="BN13" s="1" t="s">
        <v>1120</v>
      </c>
    </row>
    <row r="14" spans="1:67" ht="12" customHeight="1">
      <c r="A14" s="10" t="s">
        <v>438</v>
      </c>
      <c r="B14" s="10" t="s">
        <v>230</v>
      </c>
      <c r="C14" s="11" t="s">
        <v>290</v>
      </c>
      <c r="D14" s="11"/>
      <c r="E14" s="11" t="s">
        <v>290</v>
      </c>
      <c r="F14" s="11"/>
      <c r="G14" s="11" t="s">
        <v>290</v>
      </c>
      <c r="H14" s="12" t="s">
        <v>424</v>
      </c>
      <c r="I14" s="11"/>
      <c r="J14" s="11"/>
      <c r="K14" s="11"/>
      <c r="L14" s="11"/>
      <c r="M14" s="11"/>
      <c r="N14" s="11"/>
      <c r="O14" s="11"/>
      <c r="P14" s="11"/>
      <c r="Q14" s="11"/>
      <c r="R14" s="11">
        <v>47</v>
      </c>
      <c r="S14" s="11" t="s">
        <v>196</v>
      </c>
      <c r="T14" s="13" t="s">
        <v>474</v>
      </c>
      <c r="U14" s="11" t="s">
        <v>359</v>
      </c>
      <c r="V14" s="13" t="s">
        <v>359</v>
      </c>
      <c r="W14" s="13" t="s">
        <v>303</v>
      </c>
      <c r="X14" s="13" t="s">
        <v>359</v>
      </c>
      <c r="Y14" s="14" t="s">
        <v>5</v>
      </c>
      <c r="Z14" s="13" t="s">
        <v>227</v>
      </c>
      <c r="AA14" s="11" t="s">
        <v>116</v>
      </c>
      <c r="AB14" s="11">
        <v>42322507</v>
      </c>
      <c r="AC14" s="11">
        <v>36514772</v>
      </c>
      <c r="AD14" s="11" t="s">
        <v>291</v>
      </c>
      <c r="AE14" s="11" t="s">
        <v>378</v>
      </c>
      <c r="AF14" s="11" t="s">
        <v>291</v>
      </c>
      <c r="AG14" s="11" t="s">
        <v>216</v>
      </c>
      <c r="AH14" s="16" t="s">
        <v>542</v>
      </c>
      <c r="AI14" s="13" t="s">
        <v>96</v>
      </c>
      <c r="AJ14" s="17" t="s">
        <v>587</v>
      </c>
      <c r="AK14" s="13" t="s">
        <v>617</v>
      </c>
      <c r="AL14" s="13" t="s">
        <v>618</v>
      </c>
      <c r="AM14" s="13" t="s">
        <v>618</v>
      </c>
      <c r="AN14" s="13">
        <f>LEN(SUBSTITUTE(AM14, ", ",","))</f>
        <v>93</v>
      </c>
      <c r="AO14" s="13" t="s">
        <v>780</v>
      </c>
      <c r="AP14" s="13" t="s">
        <v>781</v>
      </c>
      <c r="AQ14" s="13" t="s">
        <v>802</v>
      </c>
      <c r="AR14" s="13"/>
      <c r="AS14" s="13"/>
      <c r="AT14" s="13" t="s">
        <v>803</v>
      </c>
      <c r="AU14" s="13"/>
      <c r="AV14" s="13"/>
      <c r="AW14" s="13"/>
      <c r="AX14" s="13"/>
      <c r="AY14" s="13" t="s">
        <v>804</v>
      </c>
      <c r="AZ14" s="13" t="s">
        <v>785</v>
      </c>
      <c r="BA14" s="13"/>
      <c r="BB14" s="13"/>
      <c r="BC14" s="13" t="s">
        <v>786</v>
      </c>
      <c r="BD14" s="13" t="s">
        <v>792</v>
      </c>
      <c r="BE14" s="13" t="s">
        <v>787</v>
      </c>
      <c r="BF14" s="13"/>
      <c r="BG14" s="13"/>
      <c r="BH14" s="16" t="s">
        <v>805</v>
      </c>
      <c r="BI14" s="13"/>
      <c r="BJ14" s="13"/>
      <c r="BK14" s="13"/>
      <c r="BL14" s="13"/>
      <c r="BM14" s="13"/>
      <c r="BN14" s="1" t="s">
        <v>1120</v>
      </c>
    </row>
    <row r="15" spans="1:67" ht="12" customHeight="1">
      <c r="A15" s="10" t="s">
        <v>438</v>
      </c>
      <c r="B15" s="10" t="s">
        <v>230</v>
      </c>
      <c r="C15" s="11" t="s">
        <v>290</v>
      </c>
      <c r="D15" s="11"/>
      <c r="E15" s="11" t="s">
        <v>290</v>
      </c>
      <c r="F15" s="11"/>
      <c r="G15" s="11" t="s">
        <v>290</v>
      </c>
      <c r="H15" s="12" t="s">
        <v>424</v>
      </c>
      <c r="I15" s="11"/>
      <c r="J15" s="11"/>
      <c r="K15" s="11"/>
      <c r="L15" s="11"/>
      <c r="M15" s="11"/>
      <c r="N15" s="11"/>
      <c r="O15" s="11"/>
      <c r="P15" s="11"/>
      <c r="Q15" s="11"/>
      <c r="R15" s="11">
        <v>51</v>
      </c>
      <c r="S15" s="11" t="s">
        <v>196</v>
      </c>
      <c r="T15" s="13" t="s">
        <v>474</v>
      </c>
      <c r="U15" s="11" t="s">
        <v>245</v>
      </c>
      <c r="V15" s="13" t="s">
        <v>245</v>
      </c>
      <c r="W15" s="13" t="s">
        <v>303</v>
      </c>
      <c r="X15" s="13" t="s">
        <v>245</v>
      </c>
      <c r="Y15" s="14" t="s">
        <v>414</v>
      </c>
      <c r="Z15" s="13" t="s">
        <v>274</v>
      </c>
      <c r="AA15" s="11" t="s">
        <v>73</v>
      </c>
      <c r="AB15" s="11">
        <v>42321506</v>
      </c>
      <c r="AC15" s="11">
        <v>36515544</v>
      </c>
      <c r="AD15" s="11" t="s">
        <v>291</v>
      </c>
      <c r="AE15" s="11" t="s">
        <v>92</v>
      </c>
      <c r="AF15" s="11" t="s">
        <v>291</v>
      </c>
      <c r="AG15" s="11" t="s">
        <v>216</v>
      </c>
      <c r="AH15" s="16" t="s">
        <v>542</v>
      </c>
      <c r="AI15" s="13" t="s">
        <v>96</v>
      </c>
      <c r="AJ15" s="17" t="s">
        <v>587</v>
      </c>
      <c r="AK15" s="13" t="s">
        <v>619</v>
      </c>
      <c r="AL15" s="13" t="s">
        <v>620</v>
      </c>
      <c r="AM15" s="13" t="s">
        <v>620</v>
      </c>
      <c r="AN15" s="13">
        <f>LEN(SUBSTITUTE(AM15, ", ",","))</f>
        <v>82</v>
      </c>
      <c r="AO15" s="13" t="s">
        <v>780</v>
      </c>
      <c r="AP15" s="13" t="s">
        <v>781</v>
      </c>
      <c r="AQ15" s="13" t="s">
        <v>789</v>
      </c>
      <c r="AR15" s="13"/>
      <c r="AS15" s="13"/>
      <c r="AT15" s="13" t="s">
        <v>806</v>
      </c>
      <c r="AU15" s="13"/>
      <c r="AV15" s="13"/>
      <c r="AW15" s="13"/>
      <c r="AX15" s="13"/>
      <c r="AY15" s="13" t="s">
        <v>791</v>
      </c>
      <c r="AZ15" s="13" t="s">
        <v>785</v>
      </c>
      <c r="BA15" s="13"/>
      <c r="BB15" s="13"/>
      <c r="BC15" s="13" t="s">
        <v>786</v>
      </c>
      <c r="BD15" s="13" t="s">
        <v>216</v>
      </c>
      <c r="BE15" s="13" t="s">
        <v>787</v>
      </c>
      <c r="BF15" s="13"/>
      <c r="BG15" s="13"/>
      <c r="BH15" s="16" t="s">
        <v>807</v>
      </c>
      <c r="BI15" s="13"/>
      <c r="BJ15" s="13"/>
      <c r="BK15" s="13"/>
      <c r="BL15" s="13"/>
      <c r="BM15" s="13"/>
      <c r="BN15" s="1" t="s">
        <v>1120</v>
      </c>
    </row>
    <row r="16" spans="1:67" ht="12" customHeight="1">
      <c r="A16" s="10" t="s">
        <v>438</v>
      </c>
      <c r="B16" s="10" t="s">
        <v>230</v>
      </c>
      <c r="C16" s="11" t="s">
        <v>290</v>
      </c>
      <c r="D16" s="11"/>
      <c r="E16" s="11" t="s">
        <v>290</v>
      </c>
      <c r="F16" s="11"/>
      <c r="G16" s="11" t="s">
        <v>290</v>
      </c>
      <c r="H16" s="12" t="s">
        <v>424</v>
      </c>
      <c r="I16" s="11"/>
      <c r="J16" s="11"/>
      <c r="K16" s="11"/>
      <c r="L16" s="11"/>
      <c r="M16" s="11"/>
      <c r="N16" s="11"/>
      <c r="O16" s="11"/>
      <c r="P16" s="11"/>
      <c r="Q16" s="11"/>
      <c r="R16" s="11">
        <v>52</v>
      </c>
      <c r="S16" s="11" t="s">
        <v>196</v>
      </c>
      <c r="T16" s="13" t="s">
        <v>474</v>
      </c>
      <c r="U16" s="11" t="s">
        <v>231</v>
      </c>
      <c r="V16" s="13" t="s">
        <v>231</v>
      </c>
      <c r="W16" s="13" t="s">
        <v>303</v>
      </c>
      <c r="X16" s="13" t="s">
        <v>231</v>
      </c>
      <c r="Y16" s="14" t="s">
        <v>311</v>
      </c>
      <c r="Z16" s="13" t="s">
        <v>228</v>
      </c>
      <c r="AA16" s="11" t="s">
        <v>186</v>
      </c>
      <c r="AB16" s="11">
        <v>42321506</v>
      </c>
      <c r="AC16" s="11">
        <v>36514814</v>
      </c>
      <c r="AD16" s="11" t="s">
        <v>291</v>
      </c>
      <c r="AE16" s="11" t="s">
        <v>177</v>
      </c>
      <c r="AF16" s="11" t="s">
        <v>291</v>
      </c>
      <c r="AG16" s="11" t="s">
        <v>216</v>
      </c>
      <c r="AH16" s="16" t="s">
        <v>542</v>
      </c>
      <c r="AI16" s="13" t="s">
        <v>96</v>
      </c>
      <c r="AJ16" s="17" t="s">
        <v>587</v>
      </c>
      <c r="AK16" s="13" t="s">
        <v>621</v>
      </c>
      <c r="AL16" s="13" t="s">
        <v>622</v>
      </c>
      <c r="AM16" s="13" t="s">
        <v>622</v>
      </c>
      <c r="AN16" s="13">
        <f>LEN(SUBSTITUTE(AM16, ", ",","))</f>
        <v>82</v>
      </c>
      <c r="AO16" s="13" t="s">
        <v>780</v>
      </c>
      <c r="AP16" s="13" t="s">
        <v>781</v>
      </c>
      <c r="AQ16" s="13" t="s">
        <v>808</v>
      </c>
      <c r="AR16" s="13"/>
      <c r="AS16" s="13"/>
      <c r="AT16" s="13" t="s">
        <v>790</v>
      </c>
      <c r="AU16" s="13"/>
      <c r="AV16" s="13"/>
      <c r="AW16" s="13"/>
      <c r="AX16" s="13"/>
      <c r="AY16" s="13" t="s">
        <v>791</v>
      </c>
      <c r="AZ16" s="13" t="s">
        <v>785</v>
      </c>
      <c r="BA16" s="13"/>
      <c r="BB16" s="13"/>
      <c r="BC16" s="13" t="s">
        <v>786</v>
      </c>
      <c r="BD16" s="13" t="s">
        <v>216</v>
      </c>
      <c r="BE16" s="13" t="s">
        <v>787</v>
      </c>
      <c r="BF16" s="13"/>
      <c r="BG16" s="13"/>
      <c r="BH16" s="16" t="s">
        <v>809</v>
      </c>
      <c r="BI16" s="13"/>
      <c r="BJ16" s="13"/>
      <c r="BK16" s="13"/>
      <c r="BL16" s="13"/>
      <c r="BM16" s="13"/>
      <c r="BN16" s="1" t="s">
        <v>1120</v>
      </c>
    </row>
    <row r="17" spans="1:66" ht="12" customHeight="1">
      <c r="A17" s="10" t="s">
        <v>438</v>
      </c>
      <c r="B17" s="10" t="s">
        <v>230</v>
      </c>
      <c r="C17" s="11" t="s">
        <v>290</v>
      </c>
      <c r="D17" s="11"/>
      <c r="E17" s="11" t="s">
        <v>290</v>
      </c>
      <c r="F17" s="11"/>
      <c r="G17" s="11" t="s">
        <v>290</v>
      </c>
      <c r="H17" s="12" t="s">
        <v>424</v>
      </c>
      <c r="I17" s="11"/>
      <c r="J17" s="11"/>
      <c r="K17" s="11"/>
      <c r="L17" s="11"/>
      <c r="M17" s="11"/>
      <c r="N17" s="11"/>
      <c r="O17" s="11"/>
      <c r="P17" s="11"/>
      <c r="Q17" s="11"/>
      <c r="R17" s="11">
        <v>59</v>
      </c>
      <c r="S17" s="11" t="s">
        <v>93</v>
      </c>
      <c r="T17" s="13" t="s">
        <v>470</v>
      </c>
      <c r="U17" s="11" t="s">
        <v>355</v>
      </c>
      <c r="V17" s="13" t="s">
        <v>355</v>
      </c>
      <c r="W17" s="13" t="s">
        <v>185</v>
      </c>
      <c r="X17" s="13" t="s">
        <v>355</v>
      </c>
      <c r="Y17" s="14" t="s">
        <v>355</v>
      </c>
      <c r="Z17" s="13" t="s">
        <v>234</v>
      </c>
      <c r="AA17" s="11" t="s">
        <v>23</v>
      </c>
      <c r="AB17" s="11"/>
      <c r="AC17" s="11"/>
      <c r="AD17" s="11" t="s">
        <v>291</v>
      </c>
      <c r="AE17" s="11" t="s">
        <v>291</v>
      </c>
      <c r="AF17" s="11" t="s">
        <v>291</v>
      </c>
      <c r="AG17" s="11" t="s">
        <v>291</v>
      </c>
      <c r="AH17" s="15" t="s">
        <v>537</v>
      </c>
      <c r="AI17" s="17" t="s">
        <v>585</v>
      </c>
      <c r="AJ17" s="17" t="s">
        <v>586</v>
      </c>
      <c r="AK17" s="13" t="s">
        <v>623</v>
      </c>
      <c r="AL17" s="13" t="s">
        <v>624</v>
      </c>
      <c r="AM17" s="13" t="s">
        <v>624</v>
      </c>
      <c r="AN17" s="13">
        <f>LEN(SUBSTITUTE(AM17, ", ",","))</f>
        <v>112</v>
      </c>
      <c r="AO17" s="13" t="s">
        <v>745</v>
      </c>
      <c r="AP17" s="13" t="s">
        <v>746</v>
      </c>
      <c r="AQ17" s="13" t="s">
        <v>747</v>
      </c>
      <c r="AR17" s="18" t="s">
        <v>748</v>
      </c>
      <c r="AS17" s="13"/>
      <c r="AT17" s="13" t="s">
        <v>810</v>
      </c>
      <c r="AU17" s="13"/>
      <c r="AV17" s="13"/>
      <c r="AW17" s="13"/>
      <c r="AX17" s="13"/>
      <c r="AY17" s="13" t="s">
        <v>811</v>
      </c>
      <c r="AZ17" s="13"/>
      <c r="BA17" s="13"/>
      <c r="BB17" s="13"/>
      <c r="BC17" s="13"/>
      <c r="BD17" s="13" t="s">
        <v>751</v>
      </c>
      <c r="BE17" s="13"/>
      <c r="BF17" s="13"/>
      <c r="BG17" s="13"/>
      <c r="BH17" s="16" t="s">
        <v>752</v>
      </c>
      <c r="BI17" s="13"/>
      <c r="BJ17" s="13"/>
      <c r="BK17" s="13"/>
      <c r="BL17" s="13"/>
      <c r="BM17" s="13"/>
      <c r="BN17" s="1" t="s">
        <v>1120</v>
      </c>
    </row>
    <row r="18" spans="1:66" ht="12" customHeight="1">
      <c r="A18" s="10" t="s">
        <v>438</v>
      </c>
      <c r="B18" s="10" t="s">
        <v>230</v>
      </c>
      <c r="C18" s="11" t="s">
        <v>290</v>
      </c>
      <c r="D18" s="11"/>
      <c r="E18" s="11" t="s">
        <v>290</v>
      </c>
      <c r="F18" s="11"/>
      <c r="G18" s="11" t="s">
        <v>290</v>
      </c>
      <c r="H18" s="12" t="s">
        <v>424</v>
      </c>
      <c r="I18" s="11"/>
      <c r="J18" s="11"/>
      <c r="K18" s="11"/>
      <c r="L18" s="11"/>
      <c r="M18" s="11"/>
      <c r="N18" s="11"/>
      <c r="O18" s="11"/>
      <c r="P18" s="11"/>
      <c r="Q18" s="11"/>
      <c r="R18" s="11">
        <v>69</v>
      </c>
      <c r="S18" s="11" t="s">
        <v>394</v>
      </c>
      <c r="T18" s="13" t="s">
        <v>475</v>
      </c>
      <c r="U18" s="11" t="s">
        <v>229</v>
      </c>
      <c r="V18" s="13">
        <v>96000</v>
      </c>
      <c r="W18" s="13" t="s">
        <v>511</v>
      </c>
      <c r="X18" s="13">
        <v>96000</v>
      </c>
      <c r="Y18" s="14" t="s">
        <v>512</v>
      </c>
      <c r="Z18" s="13" t="s">
        <v>513</v>
      </c>
      <c r="AA18" s="11" t="s">
        <v>205</v>
      </c>
      <c r="AB18" s="11"/>
      <c r="AC18" s="11"/>
      <c r="AD18" s="11" t="s">
        <v>291</v>
      </c>
      <c r="AE18" s="11" t="s">
        <v>291</v>
      </c>
      <c r="AF18" s="11" t="s">
        <v>291</v>
      </c>
      <c r="AG18" s="11" t="s">
        <v>291</v>
      </c>
      <c r="AH18" s="15" t="s">
        <v>543</v>
      </c>
      <c r="AI18" s="13"/>
      <c r="AJ18" s="13"/>
      <c r="AK18" s="13" t="s">
        <v>625</v>
      </c>
      <c r="AL18" s="13" t="s">
        <v>626</v>
      </c>
      <c r="AM18" s="13" t="s">
        <v>626</v>
      </c>
      <c r="AN18" s="13">
        <f>LEN(SUBSTITUTE(AM18, ", ",","))</f>
        <v>143</v>
      </c>
      <c r="AO18" s="13" t="s">
        <v>812</v>
      </c>
      <c r="AP18" s="13" t="s">
        <v>813</v>
      </c>
      <c r="AQ18" s="13"/>
      <c r="AR18" s="13"/>
      <c r="AS18" s="13"/>
      <c r="AT18" s="13"/>
      <c r="AU18" s="13"/>
      <c r="AV18" s="13"/>
      <c r="AW18" s="13"/>
      <c r="AX18" s="13"/>
      <c r="AY18" s="13" t="s">
        <v>814</v>
      </c>
      <c r="AZ18" s="13"/>
      <c r="BA18" s="13"/>
      <c r="BB18" s="13"/>
      <c r="BC18" s="13" t="s">
        <v>759</v>
      </c>
      <c r="BD18" s="13" t="s">
        <v>815</v>
      </c>
      <c r="BE18" s="13" t="s">
        <v>816</v>
      </c>
      <c r="BF18" s="13" t="s">
        <v>761</v>
      </c>
      <c r="BG18" s="13" t="s">
        <v>817</v>
      </c>
      <c r="BH18" s="16" t="s">
        <v>818</v>
      </c>
      <c r="BI18" s="13"/>
      <c r="BJ18" s="13"/>
      <c r="BK18" s="13"/>
      <c r="BL18" s="13"/>
      <c r="BM18" s="13"/>
      <c r="BN18" s="1" t="s">
        <v>1120</v>
      </c>
    </row>
    <row r="19" spans="1:66" ht="12" customHeight="1">
      <c r="A19" s="10" t="s">
        <v>438</v>
      </c>
      <c r="B19" s="10" t="s">
        <v>230</v>
      </c>
      <c r="C19" s="11" t="s">
        <v>290</v>
      </c>
      <c r="D19" s="11"/>
      <c r="E19" s="11" t="s">
        <v>290</v>
      </c>
      <c r="F19" s="11"/>
      <c r="G19" s="11" t="s">
        <v>290</v>
      </c>
      <c r="H19" s="12" t="s">
        <v>424</v>
      </c>
      <c r="I19" s="11"/>
      <c r="J19" s="11"/>
      <c r="K19" s="11"/>
      <c r="L19" s="11"/>
      <c r="M19" s="11"/>
      <c r="N19" s="11"/>
      <c r="O19" s="11"/>
      <c r="P19" s="11"/>
      <c r="Q19" s="11"/>
      <c r="R19" s="11">
        <v>70</v>
      </c>
      <c r="S19" s="11" t="s">
        <v>158</v>
      </c>
      <c r="T19" s="13" t="s">
        <v>476</v>
      </c>
      <c r="U19" s="11" t="s">
        <v>220</v>
      </c>
      <c r="V19" s="13" t="s">
        <v>220</v>
      </c>
      <c r="W19" s="13" t="s">
        <v>450</v>
      </c>
      <c r="X19" s="13" t="s">
        <v>220</v>
      </c>
      <c r="Y19" s="14" t="s">
        <v>220</v>
      </c>
      <c r="Z19" s="13" t="s">
        <v>255</v>
      </c>
      <c r="AA19" s="11" t="s">
        <v>165</v>
      </c>
      <c r="AB19" s="11"/>
      <c r="AC19" s="11"/>
      <c r="AD19" s="11" t="s">
        <v>291</v>
      </c>
      <c r="AE19" s="11" t="s">
        <v>291</v>
      </c>
      <c r="AF19" s="11" t="s">
        <v>291</v>
      </c>
      <c r="AG19" s="11" t="s">
        <v>291</v>
      </c>
      <c r="AH19" s="15" t="s">
        <v>544</v>
      </c>
      <c r="AI19" s="13"/>
      <c r="AJ19" s="13"/>
      <c r="AK19" s="13" t="s">
        <v>627</v>
      </c>
      <c r="AL19" s="13" t="s">
        <v>628</v>
      </c>
      <c r="AM19" s="13" t="s">
        <v>628</v>
      </c>
      <c r="AN19" s="13">
        <f>LEN(SUBSTITUTE(AM19, ", ",","))</f>
        <v>43</v>
      </c>
      <c r="AO19" s="13" t="s">
        <v>819</v>
      </c>
      <c r="AP19" s="13" t="s">
        <v>820</v>
      </c>
      <c r="AQ19" s="13" t="s">
        <v>821</v>
      </c>
      <c r="AR19" s="13" t="s">
        <v>822</v>
      </c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 t="s">
        <v>761</v>
      </c>
      <c r="BG19" s="13"/>
      <c r="BH19" s="16" t="s">
        <v>823</v>
      </c>
      <c r="BI19" s="13"/>
      <c r="BJ19" s="13"/>
      <c r="BK19" s="13"/>
      <c r="BL19" s="13"/>
      <c r="BM19" s="13"/>
      <c r="BN19" s="1" t="s">
        <v>1120</v>
      </c>
    </row>
    <row r="20" spans="1:66" ht="12" customHeight="1">
      <c r="A20" s="10" t="s">
        <v>438</v>
      </c>
      <c r="B20" s="10" t="s">
        <v>230</v>
      </c>
      <c r="C20" s="11" t="s">
        <v>290</v>
      </c>
      <c r="D20" s="11"/>
      <c r="E20" s="11" t="s">
        <v>290</v>
      </c>
      <c r="F20" s="11"/>
      <c r="G20" s="11" t="s">
        <v>290</v>
      </c>
      <c r="H20" s="12" t="s">
        <v>424</v>
      </c>
      <c r="I20" s="11"/>
      <c r="J20" s="11"/>
      <c r="K20" s="11"/>
      <c r="L20" s="11"/>
      <c r="M20" s="11"/>
      <c r="N20" s="11"/>
      <c r="O20" s="11"/>
      <c r="P20" s="11"/>
      <c r="Q20" s="11"/>
      <c r="R20" s="11">
        <v>71</v>
      </c>
      <c r="S20" s="11" t="s">
        <v>329</v>
      </c>
      <c r="T20" s="13" t="s">
        <v>477</v>
      </c>
      <c r="U20" s="11" t="s">
        <v>51</v>
      </c>
      <c r="V20" s="13" t="s">
        <v>51</v>
      </c>
      <c r="W20" s="13" t="s">
        <v>155</v>
      </c>
      <c r="X20" s="13" t="s">
        <v>51</v>
      </c>
      <c r="Y20" s="14" t="s">
        <v>51</v>
      </c>
      <c r="Z20" s="13" t="s">
        <v>357</v>
      </c>
      <c r="AA20" s="11" t="s">
        <v>10</v>
      </c>
      <c r="AB20" s="11"/>
      <c r="AC20" s="11"/>
      <c r="AD20" s="11" t="s">
        <v>291</v>
      </c>
      <c r="AE20" s="11" t="s">
        <v>291</v>
      </c>
      <c r="AF20" s="11" t="s">
        <v>291</v>
      </c>
      <c r="AG20" s="11" t="s">
        <v>291</v>
      </c>
      <c r="AH20" s="15" t="s">
        <v>545</v>
      </c>
      <c r="AI20" s="13"/>
      <c r="AJ20" s="13"/>
      <c r="AK20" s="13" t="s">
        <v>629</v>
      </c>
      <c r="AL20" s="15" t="s">
        <v>630</v>
      </c>
      <c r="AM20" s="15" t="s">
        <v>630</v>
      </c>
      <c r="AN20" s="13">
        <f>LEN(SUBSTITUTE(AM20, ", ",","))</f>
        <v>62</v>
      </c>
      <c r="AO20" s="15" t="s">
        <v>824</v>
      </c>
      <c r="AP20" s="15" t="s">
        <v>825</v>
      </c>
      <c r="AQ20" s="13" t="s">
        <v>826</v>
      </c>
      <c r="AR20" s="13"/>
      <c r="AS20" s="13"/>
      <c r="AT20" s="13" t="s">
        <v>827</v>
      </c>
      <c r="AU20" s="13"/>
      <c r="AV20" s="13"/>
      <c r="AW20" s="13"/>
      <c r="AX20" s="13"/>
      <c r="AY20" s="13" t="s">
        <v>828</v>
      </c>
      <c r="AZ20" s="13"/>
      <c r="BA20" s="13"/>
      <c r="BB20" s="13"/>
      <c r="BC20" s="13"/>
      <c r="BD20" s="13" t="s">
        <v>829</v>
      </c>
      <c r="BE20" s="13"/>
      <c r="BF20" s="13"/>
      <c r="BG20" s="13"/>
      <c r="BH20" s="16" t="s">
        <v>830</v>
      </c>
      <c r="BI20" s="13"/>
      <c r="BJ20" s="13"/>
      <c r="BK20" s="13"/>
      <c r="BL20" s="13"/>
      <c r="BM20" s="13"/>
      <c r="BN20" s="1" t="s">
        <v>1120</v>
      </c>
    </row>
    <row r="21" spans="1:66" ht="12" customHeight="1">
      <c r="A21" s="10" t="s">
        <v>438</v>
      </c>
      <c r="B21" s="10" t="s">
        <v>230</v>
      </c>
      <c r="C21" s="11" t="s">
        <v>290</v>
      </c>
      <c r="D21" s="11"/>
      <c r="E21" s="11" t="s">
        <v>290</v>
      </c>
      <c r="F21" s="11"/>
      <c r="G21" s="11" t="s">
        <v>290</v>
      </c>
      <c r="H21" s="12" t="s">
        <v>424</v>
      </c>
      <c r="I21" s="11"/>
      <c r="J21" s="11"/>
      <c r="K21" s="11"/>
      <c r="L21" s="11"/>
      <c r="M21" s="11"/>
      <c r="N21" s="11"/>
      <c r="O21" s="11"/>
      <c r="P21" s="11"/>
      <c r="Q21" s="11"/>
      <c r="R21" s="11">
        <v>75</v>
      </c>
      <c r="S21" s="11" t="s">
        <v>74</v>
      </c>
      <c r="T21" s="13" t="s">
        <v>478</v>
      </c>
      <c r="U21" s="11" t="s">
        <v>63</v>
      </c>
      <c r="V21" s="13" t="s">
        <v>63</v>
      </c>
      <c r="W21" s="13" t="s">
        <v>276</v>
      </c>
      <c r="X21" s="13" t="s">
        <v>63</v>
      </c>
      <c r="Y21" s="14" t="s">
        <v>356</v>
      </c>
      <c r="Z21" s="13" t="s">
        <v>296</v>
      </c>
      <c r="AA21" s="11" t="s">
        <v>405</v>
      </c>
      <c r="AB21" s="11">
        <v>42321506</v>
      </c>
      <c r="AC21" s="11">
        <v>33609109</v>
      </c>
      <c r="AD21" s="11" t="s">
        <v>291</v>
      </c>
      <c r="AE21" s="11" t="s">
        <v>169</v>
      </c>
      <c r="AF21" s="11" t="s">
        <v>291</v>
      </c>
      <c r="AG21" s="11" t="s">
        <v>334</v>
      </c>
      <c r="AH21" s="15" t="s">
        <v>546</v>
      </c>
      <c r="AI21" s="13" t="s">
        <v>96</v>
      </c>
      <c r="AJ21" s="17" t="s">
        <v>587</v>
      </c>
      <c r="AK21" s="13" t="s">
        <v>631</v>
      </c>
      <c r="AL21" s="13" t="s">
        <v>632</v>
      </c>
      <c r="AM21" s="13" t="s">
        <v>632</v>
      </c>
      <c r="AN21" s="13">
        <f>LEN(SUBSTITUTE(AM21, ", ",","))</f>
        <v>134</v>
      </c>
      <c r="AO21" s="13" t="s">
        <v>831</v>
      </c>
      <c r="AP21" s="13" t="s">
        <v>832</v>
      </c>
      <c r="AQ21" s="13"/>
      <c r="AR21" s="13"/>
      <c r="AS21" s="13"/>
      <c r="AT21" s="13" t="s">
        <v>833</v>
      </c>
      <c r="AU21" s="13"/>
      <c r="AV21" s="13"/>
      <c r="AW21" s="13"/>
      <c r="AX21" s="13"/>
      <c r="AY21" s="13"/>
      <c r="AZ21" s="13"/>
      <c r="BA21" s="13" t="s">
        <v>834</v>
      </c>
      <c r="BB21" s="13" t="s">
        <v>835</v>
      </c>
      <c r="BC21" s="13" t="s">
        <v>759</v>
      </c>
      <c r="BD21" s="13" t="s">
        <v>836</v>
      </c>
      <c r="BE21" s="13" t="s">
        <v>742</v>
      </c>
      <c r="BF21" s="13"/>
      <c r="BG21" s="13"/>
      <c r="BH21" s="16" t="s">
        <v>837</v>
      </c>
      <c r="BI21" s="13"/>
      <c r="BJ21" s="13"/>
      <c r="BK21" s="13"/>
      <c r="BL21" s="13"/>
      <c r="BM21" s="13"/>
      <c r="BN21" s="1" t="s">
        <v>1120</v>
      </c>
    </row>
    <row r="22" spans="1:66" ht="12" customHeight="1">
      <c r="A22" s="10" t="s">
        <v>438</v>
      </c>
      <c r="B22" s="10" t="s">
        <v>230</v>
      </c>
      <c r="C22" s="11" t="s">
        <v>290</v>
      </c>
      <c r="D22" s="11"/>
      <c r="E22" s="11" t="s">
        <v>290</v>
      </c>
      <c r="F22" s="11"/>
      <c r="G22" s="11" t="s">
        <v>290</v>
      </c>
      <c r="H22" s="12" t="s">
        <v>424</v>
      </c>
      <c r="I22" s="11"/>
      <c r="J22" s="11"/>
      <c r="K22" s="11"/>
      <c r="L22" s="11"/>
      <c r="M22" s="11"/>
      <c r="N22" s="11"/>
      <c r="O22" s="11"/>
      <c r="P22" s="11"/>
      <c r="Q22" s="11"/>
      <c r="R22" s="11">
        <v>90</v>
      </c>
      <c r="S22" s="11" t="s">
        <v>432</v>
      </c>
      <c r="T22" s="13" t="s">
        <v>479</v>
      </c>
      <c r="U22" s="11" t="s">
        <v>122</v>
      </c>
      <c r="V22" s="13" t="s">
        <v>122</v>
      </c>
      <c r="W22" s="13" t="s">
        <v>514</v>
      </c>
      <c r="X22" s="13" t="s">
        <v>122</v>
      </c>
      <c r="Y22" s="14" t="s">
        <v>122</v>
      </c>
      <c r="Z22" s="13" t="s">
        <v>515</v>
      </c>
      <c r="AA22" s="11" t="s">
        <v>56</v>
      </c>
      <c r="AB22" s="11">
        <v>41122409</v>
      </c>
      <c r="AC22" s="11">
        <v>36234285</v>
      </c>
      <c r="AD22" s="11" t="s">
        <v>291</v>
      </c>
      <c r="AE22" s="11" t="s">
        <v>90</v>
      </c>
      <c r="AF22" s="11" t="s">
        <v>291</v>
      </c>
      <c r="AG22" s="11" t="s">
        <v>291</v>
      </c>
      <c r="AH22" s="15" t="s">
        <v>547</v>
      </c>
      <c r="AI22" s="13"/>
      <c r="AJ22" s="13"/>
      <c r="AK22" s="13" t="s">
        <v>90</v>
      </c>
      <c r="AL22" s="13" t="s">
        <v>633</v>
      </c>
      <c r="AM22" s="13" t="s">
        <v>633</v>
      </c>
      <c r="AN22" s="13">
        <f>LEN(SUBSTITUTE(AM22, ", ",","))</f>
        <v>108</v>
      </c>
      <c r="AO22" s="13" t="s">
        <v>838</v>
      </c>
      <c r="AP22" s="13" t="s">
        <v>839</v>
      </c>
      <c r="AQ22" s="13"/>
      <c r="AR22" s="13"/>
      <c r="AS22" s="13"/>
      <c r="AT22" s="13"/>
      <c r="AU22" s="13"/>
      <c r="AV22" s="13" t="s">
        <v>840</v>
      </c>
      <c r="AW22" s="13"/>
      <c r="AX22" s="13"/>
      <c r="AY22" s="13" t="s">
        <v>841</v>
      </c>
      <c r="AZ22" s="13" t="s">
        <v>842</v>
      </c>
      <c r="BA22" s="13"/>
      <c r="BB22" s="13" t="s">
        <v>843</v>
      </c>
      <c r="BC22" s="13" t="s">
        <v>759</v>
      </c>
      <c r="BD22" s="13"/>
      <c r="BE22" s="13"/>
      <c r="BF22" s="13"/>
      <c r="BG22" s="13" t="s">
        <v>844</v>
      </c>
      <c r="BH22" s="16" t="s">
        <v>845</v>
      </c>
      <c r="BI22" s="13"/>
      <c r="BJ22" s="13"/>
      <c r="BK22" s="13"/>
      <c r="BL22" s="13"/>
      <c r="BM22" s="13"/>
      <c r="BN22" s="1" t="s">
        <v>1120</v>
      </c>
    </row>
    <row r="23" spans="1:66" ht="12" customHeight="1">
      <c r="A23" s="10" t="s">
        <v>438</v>
      </c>
      <c r="B23" s="10" t="s">
        <v>230</v>
      </c>
      <c r="C23" s="11" t="s">
        <v>290</v>
      </c>
      <c r="D23" s="11"/>
      <c r="E23" s="11" t="s">
        <v>290</v>
      </c>
      <c r="F23" s="11"/>
      <c r="G23" s="11" t="s">
        <v>290</v>
      </c>
      <c r="H23" s="12" t="s">
        <v>424</v>
      </c>
      <c r="I23" s="11"/>
      <c r="J23" s="11"/>
      <c r="K23" s="11"/>
      <c r="L23" s="11"/>
      <c r="M23" s="11"/>
      <c r="N23" s="11"/>
      <c r="O23" s="11"/>
      <c r="P23" s="11"/>
      <c r="Q23" s="11"/>
      <c r="R23" s="11">
        <v>95</v>
      </c>
      <c r="S23" s="11" t="s">
        <v>158</v>
      </c>
      <c r="T23" s="13" t="s">
        <v>476</v>
      </c>
      <c r="U23" s="11" t="s">
        <v>37</v>
      </c>
      <c r="V23" s="13" t="s">
        <v>37</v>
      </c>
      <c r="W23" s="13" t="s">
        <v>450</v>
      </c>
      <c r="X23" s="13" t="s">
        <v>37</v>
      </c>
      <c r="Y23" s="14" t="s">
        <v>260</v>
      </c>
      <c r="Z23" s="13" t="s">
        <v>344</v>
      </c>
      <c r="AA23" s="11" t="s">
        <v>103</v>
      </c>
      <c r="AB23" s="11"/>
      <c r="AC23" s="11"/>
      <c r="AD23" s="11" t="s">
        <v>291</v>
      </c>
      <c r="AE23" s="11" t="s">
        <v>291</v>
      </c>
      <c r="AF23" s="11" t="s">
        <v>291</v>
      </c>
      <c r="AG23" s="11" t="s">
        <v>291</v>
      </c>
      <c r="AH23" s="15" t="s">
        <v>548</v>
      </c>
      <c r="AI23" s="13"/>
      <c r="AJ23" s="13"/>
      <c r="AK23" s="13" t="s">
        <v>634</v>
      </c>
      <c r="AL23" s="13" t="s">
        <v>635</v>
      </c>
      <c r="AM23" s="13" t="s">
        <v>635</v>
      </c>
      <c r="AN23" s="13">
        <f>LEN(SUBSTITUTE(AM23, ", ",","))</f>
        <v>34</v>
      </c>
      <c r="AO23" s="13" t="s">
        <v>846</v>
      </c>
      <c r="AP23" s="13" t="s">
        <v>847</v>
      </c>
      <c r="AQ23" s="13" t="s">
        <v>848</v>
      </c>
      <c r="AR23" s="13" t="s">
        <v>849</v>
      </c>
      <c r="AS23" s="13"/>
      <c r="AT23" s="13"/>
      <c r="AU23" s="13"/>
      <c r="AV23" s="13"/>
      <c r="AW23" s="13"/>
      <c r="AX23" s="13"/>
      <c r="AY23" s="13" t="s">
        <v>850</v>
      </c>
      <c r="AZ23" s="13"/>
      <c r="BA23" s="13"/>
      <c r="BB23" s="13"/>
      <c r="BC23" s="13"/>
      <c r="BD23" s="13"/>
      <c r="BE23" s="13"/>
      <c r="BF23" s="13"/>
      <c r="BG23" s="13"/>
      <c r="BH23" s="16" t="s">
        <v>823</v>
      </c>
      <c r="BI23" s="13"/>
      <c r="BJ23" s="13"/>
      <c r="BK23" s="13"/>
      <c r="BL23" s="13"/>
      <c r="BM23" s="13"/>
      <c r="BN23" s="1" t="s">
        <v>1120</v>
      </c>
    </row>
    <row r="24" spans="1:66" ht="12" customHeight="1">
      <c r="A24" s="10" t="s">
        <v>438</v>
      </c>
      <c r="B24" s="10" t="s">
        <v>230</v>
      </c>
      <c r="C24" s="11" t="s">
        <v>290</v>
      </c>
      <c r="D24" s="11"/>
      <c r="E24" s="11" t="s">
        <v>290</v>
      </c>
      <c r="F24" s="11"/>
      <c r="G24" s="11" t="s">
        <v>290</v>
      </c>
      <c r="H24" s="12" t="s">
        <v>424</v>
      </c>
      <c r="I24" s="11"/>
      <c r="J24" s="11"/>
      <c r="K24" s="11"/>
      <c r="L24" s="11"/>
      <c r="M24" s="11"/>
      <c r="N24" s="11"/>
      <c r="O24" s="11"/>
      <c r="P24" s="11"/>
      <c r="Q24" s="11"/>
      <c r="R24" s="11">
        <v>96</v>
      </c>
      <c r="S24" s="11" t="s">
        <v>192</v>
      </c>
      <c r="T24" s="13" t="s">
        <v>480</v>
      </c>
      <c r="U24" s="11" t="s">
        <v>239</v>
      </c>
      <c r="V24" s="13" t="s">
        <v>239</v>
      </c>
      <c r="W24" s="13" t="s">
        <v>217</v>
      </c>
      <c r="X24" s="13" t="s">
        <v>239</v>
      </c>
      <c r="Y24" s="14" t="s">
        <v>68</v>
      </c>
      <c r="Z24" s="13" t="s">
        <v>7</v>
      </c>
      <c r="AA24" s="11" t="s">
        <v>307</v>
      </c>
      <c r="AB24" s="11">
        <v>42322203</v>
      </c>
      <c r="AC24" s="11">
        <v>35492221</v>
      </c>
      <c r="AD24" s="11" t="s">
        <v>291</v>
      </c>
      <c r="AE24" s="11" t="s">
        <v>272</v>
      </c>
      <c r="AF24" s="11" t="s">
        <v>291</v>
      </c>
      <c r="AG24" s="11" t="s">
        <v>217</v>
      </c>
      <c r="AH24" s="15" t="s">
        <v>546</v>
      </c>
      <c r="AI24" s="13" t="s">
        <v>96</v>
      </c>
      <c r="AJ24" s="17" t="s">
        <v>587</v>
      </c>
      <c r="AK24" s="13" t="s">
        <v>636</v>
      </c>
      <c r="AL24" s="13" t="s">
        <v>637</v>
      </c>
      <c r="AM24" s="13" t="s">
        <v>637</v>
      </c>
      <c r="AN24" s="13">
        <f>LEN(SUBSTITUTE(AM24, ", ",","))</f>
        <v>151</v>
      </c>
      <c r="AO24" s="13" t="s">
        <v>831</v>
      </c>
      <c r="AP24" s="13" t="s">
        <v>851</v>
      </c>
      <c r="AQ24" s="13"/>
      <c r="AR24" s="13"/>
      <c r="AS24" s="13"/>
      <c r="AT24" s="13" t="s">
        <v>852</v>
      </c>
      <c r="AU24" s="13"/>
      <c r="AV24" s="13"/>
      <c r="AW24" s="13"/>
      <c r="AX24" s="13"/>
      <c r="AY24" s="13" t="s">
        <v>853</v>
      </c>
      <c r="AZ24" s="13"/>
      <c r="BA24" s="13"/>
      <c r="BB24" s="13"/>
      <c r="BC24" s="13" t="s">
        <v>759</v>
      </c>
      <c r="BD24" s="13" t="s">
        <v>854</v>
      </c>
      <c r="BE24" s="13" t="s">
        <v>742</v>
      </c>
      <c r="BF24" s="13"/>
      <c r="BG24" s="13"/>
      <c r="BH24" s="16" t="s">
        <v>855</v>
      </c>
      <c r="BI24" s="13"/>
      <c r="BJ24" s="13"/>
      <c r="BK24" s="13"/>
      <c r="BL24" s="13"/>
      <c r="BM24" s="13"/>
      <c r="BN24" s="1" t="s">
        <v>1120</v>
      </c>
    </row>
    <row r="25" spans="1:66" ht="12" customHeight="1">
      <c r="A25" s="10" t="s">
        <v>438</v>
      </c>
      <c r="B25" s="10" t="s">
        <v>230</v>
      </c>
      <c r="C25" s="11" t="s">
        <v>290</v>
      </c>
      <c r="D25" s="11"/>
      <c r="E25" s="11" t="s">
        <v>290</v>
      </c>
      <c r="F25" s="11"/>
      <c r="G25" s="11" t="s">
        <v>290</v>
      </c>
      <c r="H25" s="12" t="s">
        <v>424</v>
      </c>
      <c r="I25" s="11"/>
      <c r="J25" s="11"/>
      <c r="K25" s="11"/>
      <c r="L25" s="11"/>
      <c r="M25" s="11"/>
      <c r="N25" s="11"/>
      <c r="O25" s="11"/>
      <c r="P25" s="11"/>
      <c r="Q25" s="11"/>
      <c r="R25" s="11">
        <v>98</v>
      </c>
      <c r="S25" s="11" t="s">
        <v>102</v>
      </c>
      <c r="T25" s="13" t="s">
        <v>481</v>
      </c>
      <c r="U25" s="11" t="s">
        <v>32</v>
      </c>
      <c r="V25" s="13" t="s">
        <v>32</v>
      </c>
      <c r="W25" s="13" t="s">
        <v>481</v>
      </c>
      <c r="X25" s="13" t="s">
        <v>32</v>
      </c>
      <c r="Y25" s="14" t="s">
        <v>75</v>
      </c>
      <c r="Z25" s="13" t="s">
        <v>516</v>
      </c>
      <c r="AA25" s="11" t="s">
        <v>441</v>
      </c>
      <c r="AB25" s="11">
        <v>42321611</v>
      </c>
      <c r="AC25" s="11">
        <v>34097994</v>
      </c>
      <c r="AD25" s="11" t="s">
        <v>291</v>
      </c>
      <c r="AE25" s="11" t="s">
        <v>59</v>
      </c>
      <c r="AF25" s="11" t="s">
        <v>291</v>
      </c>
      <c r="AG25" s="11" t="s">
        <v>341</v>
      </c>
      <c r="AH25" s="16" t="s">
        <v>542</v>
      </c>
      <c r="AI25" s="13" t="s">
        <v>96</v>
      </c>
      <c r="AJ25" s="17" t="s">
        <v>587</v>
      </c>
      <c r="AK25" s="13" t="s">
        <v>638</v>
      </c>
      <c r="AL25" s="13" t="s">
        <v>639</v>
      </c>
      <c r="AM25" s="13" t="s">
        <v>639</v>
      </c>
      <c r="AN25" s="13">
        <f>LEN(SUBSTITUTE(AM25, ", ",","))</f>
        <v>65</v>
      </c>
      <c r="AO25" s="13" t="s">
        <v>780</v>
      </c>
      <c r="AP25" s="13" t="s">
        <v>781</v>
      </c>
      <c r="AQ25" s="13" t="s">
        <v>856</v>
      </c>
      <c r="AR25" s="13"/>
      <c r="AS25" s="13"/>
      <c r="AT25" s="13" t="s">
        <v>857</v>
      </c>
      <c r="AU25" s="13"/>
      <c r="AV25" s="13"/>
      <c r="AW25" s="13"/>
      <c r="AX25" s="13" t="s">
        <v>858</v>
      </c>
      <c r="AY25" s="13" t="s">
        <v>859</v>
      </c>
      <c r="AZ25" s="13"/>
      <c r="BA25" s="13"/>
      <c r="BB25" s="13"/>
      <c r="BC25" s="13" t="s">
        <v>786</v>
      </c>
      <c r="BD25" s="13" t="s">
        <v>216</v>
      </c>
      <c r="BE25" s="13" t="s">
        <v>787</v>
      </c>
      <c r="BF25" s="13"/>
      <c r="BG25" s="13"/>
      <c r="BH25" s="16" t="s">
        <v>860</v>
      </c>
      <c r="BI25" s="13"/>
      <c r="BJ25" s="13"/>
      <c r="BK25" s="13"/>
      <c r="BL25" s="13"/>
      <c r="BM25" s="13"/>
      <c r="BN25" s="1" t="s">
        <v>1120</v>
      </c>
    </row>
    <row r="26" spans="1:66" ht="12" customHeight="1">
      <c r="A26" s="10" t="s">
        <v>438</v>
      </c>
      <c r="B26" s="10" t="s">
        <v>230</v>
      </c>
      <c r="C26" s="11" t="s">
        <v>290</v>
      </c>
      <c r="D26" s="11"/>
      <c r="E26" s="11" t="s">
        <v>290</v>
      </c>
      <c r="F26" s="11"/>
      <c r="G26" s="11" t="s">
        <v>290</v>
      </c>
      <c r="H26" s="12" t="s">
        <v>424</v>
      </c>
      <c r="I26" s="11"/>
      <c r="J26" s="11"/>
      <c r="K26" s="11"/>
      <c r="L26" s="11"/>
      <c r="M26" s="11"/>
      <c r="N26" s="11"/>
      <c r="O26" s="11"/>
      <c r="P26" s="11"/>
      <c r="Q26" s="11"/>
      <c r="R26" s="11">
        <v>100</v>
      </c>
      <c r="S26" s="11" t="s">
        <v>11</v>
      </c>
      <c r="T26" s="13" t="s">
        <v>473</v>
      </c>
      <c r="U26" s="11" t="s">
        <v>289</v>
      </c>
      <c r="V26" s="13" t="s">
        <v>289</v>
      </c>
      <c r="W26" s="13" t="s">
        <v>208</v>
      </c>
      <c r="X26" s="13" t="s">
        <v>289</v>
      </c>
      <c r="Y26" s="14" t="s">
        <v>83</v>
      </c>
      <c r="Z26" s="13" t="s">
        <v>287</v>
      </c>
      <c r="AA26" s="11" t="s">
        <v>171</v>
      </c>
      <c r="AB26" s="11">
        <v>41116126</v>
      </c>
      <c r="AC26" s="11">
        <v>11799968</v>
      </c>
      <c r="AD26" s="11" t="s">
        <v>291</v>
      </c>
      <c r="AE26" s="11" t="s">
        <v>330</v>
      </c>
      <c r="AF26" s="11" t="s">
        <v>291</v>
      </c>
      <c r="AG26" s="11" t="s">
        <v>364</v>
      </c>
      <c r="AH26" s="15" t="s">
        <v>549</v>
      </c>
      <c r="AI26" s="13"/>
      <c r="AJ26" s="13"/>
      <c r="AK26" s="13" t="s">
        <v>640</v>
      </c>
      <c r="AL26" s="13" t="s">
        <v>641</v>
      </c>
      <c r="AM26" s="13" t="s">
        <v>641</v>
      </c>
      <c r="AN26" s="13">
        <f>LEN(SUBSTITUTE(AM26, ", ",","))</f>
        <v>164</v>
      </c>
      <c r="AO26" s="13" t="s">
        <v>861</v>
      </c>
      <c r="AP26" s="13"/>
      <c r="AQ26" s="13" t="s">
        <v>862</v>
      </c>
      <c r="AR26" s="13"/>
      <c r="AS26" s="13"/>
      <c r="AT26" s="13"/>
      <c r="AU26" s="13"/>
      <c r="AV26" s="13"/>
      <c r="AW26" s="13"/>
      <c r="AX26" s="13"/>
      <c r="AY26" s="13" t="s">
        <v>863</v>
      </c>
      <c r="AZ26" s="13" t="s">
        <v>864</v>
      </c>
      <c r="BA26" s="13"/>
      <c r="BB26" s="13"/>
      <c r="BC26" s="13" t="s">
        <v>786</v>
      </c>
      <c r="BD26" s="13"/>
      <c r="BE26" s="13" t="s">
        <v>787</v>
      </c>
      <c r="BF26" s="13"/>
      <c r="BG26" s="13" t="s">
        <v>865</v>
      </c>
      <c r="BH26" s="16" t="s">
        <v>866</v>
      </c>
      <c r="BI26" s="13"/>
      <c r="BJ26" s="13"/>
      <c r="BK26" s="13"/>
      <c r="BL26" s="13"/>
      <c r="BM26" s="13"/>
      <c r="BN26" s="1" t="s">
        <v>1120</v>
      </c>
    </row>
    <row r="27" spans="1:66" ht="12" customHeight="1">
      <c r="A27" s="10" t="s">
        <v>438</v>
      </c>
      <c r="B27" s="10" t="s">
        <v>230</v>
      </c>
      <c r="C27" s="11" t="s">
        <v>290</v>
      </c>
      <c r="D27" s="11"/>
      <c r="E27" s="11" t="s">
        <v>290</v>
      </c>
      <c r="F27" s="11"/>
      <c r="G27" s="11" t="s">
        <v>290</v>
      </c>
      <c r="H27" s="12" t="s">
        <v>424</v>
      </c>
      <c r="I27" s="11"/>
      <c r="J27" s="11"/>
      <c r="K27" s="11"/>
      <c r="L27" s="11"/>
      <c r="M27" s="11"/>
      <c r="N27" s="11"/>
      <c r="O27" s="11"/>
      <c r="P27" s="11"/>
      <c r="Q27" s="11"/>
      <c r="R27" s="11">
        <v>104</v>
      </c>
      <c r="S27" s="11" t="s">
        <v>444</v>
      </c>
      <c r="T27" s="13" t="s">
        <v>482</v>
      </c>
      <c r="U27" s="11" t="s">
        <v>181</v>
      </c>
      <c r="V27" s="13" t="s">
        <v>181</v>
      </c>
      <c r="W27" s="13" t="s">
        <v>346</v>
      </c>
      <c r="X27" s="13" t="s">
        <v>181</v>
      </c>
      <c r="Y27" s="14" t="s">
        <v>365</v>
      </c>
      <c r="Z27" s="13" t="s">
        <v>369</v>
      </c>
      <c r="AA27" s="11" t="s">
        <v>238</v>
      </c>
      <c r="AB27" s="11"/>
      <c r="AC27" s="11"/>
      <c r="AD27" s="11" t="s">
        <v>291</v>
      </c>
      <c r="AE27" s="11" t="s">
        <v>291</v>
      </c>
      <c r="AF27" s="11" t="s">
        <v>291</v>
      </c>
      <c r="AG27" s="11" t="s">
        <v>291</v>
      </c>
      <c r="AH27" s="15" t="s">
        <v>550</v>
      </c>
      <c r="AI27" s="13"/>
      <c r="AJ27" s="13"/>
      <c r="AK27" s="13" t="s">
        <v>642</v>
      </c>
      <c r="AL27" s="13" t="s">
        <v>643</v>
      </c>
      <c r="AM27" s="13" t="s">
        <v>643</v>
      </c>
      <c r="AN27" s="13">
        <f>LEN(SUBSTITUTE(AM27, ", ",","))</f>
        <v>68</v>
      </c>
      <c r="AO27" s="13" t="s">
        <v>867</v>
      </c>
      <c r="AP27" s="13" t="s">
        <v>868</v>
      </c>
      <c r="AQ27" s="13"/>
      <c r="AR27" s="13"/>
      <c r="AS27" s="13" t="s">
        <v>869</v>
      </c>
      <c r="AT27" s="13" t="s">
        <v>870</v>
      </c>
      <c r="AU27" s="13"/>
      <c r="AV27" s="13"/>
      <c r="AW27" s="13"/>
      <c r="AX27" s="13"/>
      <c r="AY27" s="13" t="s">
        <v>871</v>
      </c>
      <c r="AZ27" s="13"/>
      <c r="BA27" s="13"/>
      <c r="BB27" s="13"/>
      <c r="BC27" s="13"/>
      <c r="BD27" s="13"/>
      <c r="BE27" s="13"/>
      <c r="BF27" s="13"/>
      <c r="BG27" s="13"/>
      <c r="BH27" s="16" t="s">
        <v>872</v>
      </c>
      <c r="BI27" s="13"/>
      <c r="BJ27" s="13"/>
      <c r="BK27" s="13"/>
      <c r="BL27" s="13"/>
      <c r="BM27" s="13"/>
      <c r="BN27" s="1" t="s">
        <v>1120</v>
      </c>
    </row>
    <row r="28" spans="1:66" ht="12" customHeight="1">
      <c r="A28" s="10" t="s">
        <v>438</v>
      </c>
      <c r="B28" s="10" t="s">
        <v>230</v>
      </c>
      <c r="C28" s="11" t="s">
        <v>290</v>
      </c>
      <c r="D28" s="11"/>
      <c r="E28" s="11" t="s">
        <v>290</v>
      </c>
      <c r="F28" s="11"/>
      <c r="G28" s="11" t="s">
        <v>290</v>
      </c>
      <c r="H28" s="12" t="s">
        <v>424</v>
      </c>
      <c r="I28" s="11"/>
      <c r="J28" s="11"/>
      <c r="K28" s="11"/>
      <c r="L28" s="11"/>
      <c r="M28" s="11"/>
      <c r="N28" s="11"/>
      <c r="O28" s="11"/>
      <c r="P28" s="11"/>
      <c r="Q28" s="11"/>
      <c r="R28" s="11">
        <v>105</v>
      </c>
      <c r="S28" s="11" t="s">
        <v>60</v>
      </c>
      <c r="T28" s="13" t="s">
        <v>48</v>
      </c>
      <c r="U28" s="11" t="s">
        <v>69</v>
      </c>
      <c r="V28" s="13" t="s">
        <v>69</v>
      </c>
      <c r="W28" s="13" t="s">
        <v>48</v>
      </c>
      <c r="X28" s="13" t="s">
        <v>69</v>
      </c>
      <c r="Y28" s="14" t="s">
        <v>69</v>
      </c>
      <c r="Z28" s="13" t="s">
        <v>258</v>
      </c>
      <c r="AA28" s="11" t="s">
        <v>101</v>
      </c>
      <c r="AB28" s="11"/>
      <c r="AC28" s="11"/>
      <c r="AD28" s="11" t="s">
        <v>291</v>
      </c>
      <c r="AE28" s="11" t="s">
        <v>291</v>
      </c>
      <c r="AF28" s="11" t="s">
        <v>291</v>
      </c>
      <c r="AG28" s="11" t="s">
        <v>291</v>
      </c>
      <c r="AH28" s="13" t="s">
        <v>551</v>
      </c>
      <c r="AI28" s="13"/>
      <c r="AJ28" s="13"/>
      <c r="AK28" s="13" t="s">
        <v>644</v>
      </c>
      <c r="AL28" s="13" t="s">
        <v>645</v>
      </c>
      <c r="AM28" s="13" t="s">
        <v>645</v>
      </c>
      <c r="AN28" s="13">
        <f>LEN(SUBSTITUTE(AM28, ", ",","))</f>
        <v>58</v>
      </c>
      <c r="AO28" s="13" t="s">
        <v>755</v>
      </c>
      <c r="AP28" s="13" t="s">
        <v>873</v>
      </c>
      <c r="AQ28" s="13"/>
      <c r="AR28" s="13"/>
      <c r="AS28" s="13"/>
      <c r="AT28" s="13" t="s">
        <v>874</v>
      </c>
      <c r="AU28" s="13"/>
      <c r="AV28" s="13"/>
      <c r="AW28" s="13"/>
      <c r="AX28" s="13"/>
      <c r="AY28" s="13" t="s">
        <v>875</v>
      </c>
      <c r="AZ28" s="13"/>
      <c r="BA28" s="13"/>
      <c r="BB28" s="13"/>
      <c r="BC28" s="13" t="s">
        <v>759</v>
      </c>
      <c r="BD28" s="13" t="s">
        <v>876</v>
      </c>
      <c r="BE28" s="13" t="s">
        <v>816</v>
      </c>
      <c r="BF28" s="13"/>
      <c r="BG28" s="13"/>
      <c r="BH28" s="16" t="s">
        <v>877</v>
      </c>
      <c r="BI28" s="13"/>
      <c r="BJ28" s="13"/>
      <c r="BK28" s="13"/>
      <c r="BL28" s="13"/>
      <c r="BM28" s="13"/>
      <c r="BN28" s="1" t="s">
        <v>1120</v>
      </c>
    </row>
    <row r="29" spans="1:66" ht="12" customHeight="1">
      <c r="A29" s="10" t="s">
        <v>438</v>
      </c>
      <c r="B29" s="10" t="s">
        <v>230</v>
      </c>
      <c r="C29" s="11" t="s">
        <v>290</v>
      </c>
      <c r="D29" s="11"/>
      <c r="E29" s="11" t="s">
        <v>290</v>
      </c>
      <c r="F29" s="11"/>
      <c r="G29" s="11" t="s">
        <v>290</v>
      </c>
      <c r="H29" s="12" t="s">
        <v>424</v>
      </c>
      <c r="I29" s="11"/>
      <c r="J29" s="11"/>
      <c r="K29" s="11"/>
      <c r="L29" s="11"/>
      <c r="M29" s="11"/>
      <c r="N29" s="11"/>
      <c r="O29" s="11"/>
      <c r="P29" s="11"/>
      <c r="Q29" s="11"/>
      <c r="R29" s="11">
        <v>107</v>
      </c>
      <c r="S29" s="11" t="s">
        <v>465</v>
      </c>
      <c r="T29" s="13" t="s">
        <v>483</v>
      </c>
      <c r="U29" s="11" t="s">
        <v>194</v>
      </c>
      <c r="V29" s="13" t="s">
        <v>194</v>
      </c>
      <c r="W29" s="13" t="s">
        <v>222</v>
      </c>
      <c r="X29" s="13" t="s">
        <v>194</v>
      </c>
      <c r="Y29" s="14" t="s">
        <v>194</v>
      </c>
      <c r="Z29" s="13" t="s">
        <v>113</v>
      </c>
      <c r="AA29" s="11" t="s">
        <v>395</v>
      </c>
      <c r="AB29" s="11">
        <v>42292903</v>
      </c>
      <c r="AC29" s="11">
        <v>8555913</v>
      </c>
      <c r="AD29" s="11" t="s">
        <v>291</v>
      </c>
      <c r="AE29" s="11" t="s">
        <v>174</v>
      </c>
      <c r="AF29" s="11" t="s">
        <v>291</v>
      </c>
      <c r="AG29" s="11" t="s">
        <v>79</v>
      </c>
      <c r="AH29" s="15" t="s">
        <v>552</v>
      </c>
      <c r="AI29" s="13"/>
      <c r="AJ29" s="13"/>
      <c r="AK29" s="13" t="s">
        <v>395</v>
      </c>
      <c r="AL29" s="13" t="s">
        <v>646</v>
      </c>
      <c r="AM29" s="13" t="s">
        <v>646</v>
      </c>
      <c r="AN29" s="13">
        <f>LEN(SUBSTITUTE(AM29, ", ",","))</f>
        <v>156</v>
      </c>
      <c r="AO29" s="13" t="s">
        <v>878</v>
      </c>
      <c r="AP29" s="13" t="s">
        <v>745</v>
      </c>
      <c r="AQ29" s="13"/>
      <c r="AR29" s="13"/>
      <c r="AS29" s="13"/>
      <c r="AT29" s="13" t="s">
        <v>879</v>
      </c>
      <c r="AU29" s="13"/>
      <c r="AV29" s="13"/>
      <c r="AW29" s="13"/>
      <c r="AX29" s="13"/>
      <c r="AY29" s="13" t="s">
        <v>880</v>
      </c>
      <c r="AZ29" s="13" t="s">
        <v>881</v>
      </c>
      <c r="BA29" s="13"/>
      <c r="BB29" s="13"/>
      <c r="BC29" s="13" t="s">
        <v>786</v>
      </c>
      <c r="BD29" s="13" t="s">
        <v>882</v>
      </c>
      <c r="BE29" s="13" t="s">
        <v>742</v>
      </c>
      <c r="BF29" s="13"/>
      <c r="BG29" s="13"/>
      <c r="BH29" s="16" t="s">
        <v>883</v>
      </c>
      <c r="BI29" s="13"/>
      <c r="BJ29" s="13"/>
      <c r="BK29" s="13"/>
      <c r="BL29" s="13"/>
      <c r="BM29" s="13"/>
      <c r="BN29" s="1" t="s">
        <v>1120</v>
      </c>
    </row>
    <row r="30" spans="1:66" ht="12" customHeight="1">
      <c r="A30" s="10" t="s">
        <v>438</v>
      </c>
      <c r="B30" s="10" t="s">
        <v>230</v>
      </c>
      <c r="C30" s="11" t="s">
        <v>290</v>
      </c>
      <c r="D30" s="11"/>
      <c r="E30" s="11" t="s">
        <v>290</v>
      </c>
      <c r="F30" s="11"/>
      <c r="G30" s="11" t="s">
        <v>290</v>
      </c>
      <c r="H30" s="12" t="s">
        <v>424</v>
      </c>
      <c r="I30" s="11"/>
      <c r="J30" s="11"/>
      <c r="K30" s="11"/>
      <c r="L30" s="11"/>
      <c r="M30" s="11"/>
      <c r="N30" s="11"/>
      <c r="O30" s="11"/>
      <c r="P30" s="11"/>
      <c r="Q30" s="11"/>
      <c r="R30" s="11">
        <v>109</v>
      </c>
      <c r="S30" s="11" t="s">
        <v>192</v>
      </c>
      <c r="T30" s="13" t="s">
        <v>480</v>
      </c>
      <c r="U30" s="11" t="s">
        <v>431</v>
      </c>
      <c r="V30" s="13" t="s">
        <v>431</v>
      </c>
      <c r="W30" s="13" t="s">
        <v>217</v>
      </c>
      <c r="X30" s="13" t="s">
        <v>431</v>
      </c>
      <c r="Y30" s="14" t="s">
        <v>431</v>
      </c>
      <c r="Z30" s="13" t="s">
        <v>127</v>
      </c>
      <c r="AA30" s="11" t="s">
        <v>72</v>
      </c>
      <c r="AB30" s="11"/>
      <c r="AC30" s="11"/>
      <c r="AD30" s="11" t="s">
        <v>291</v>
      </c>
      <c r="AE30" s="11" t="s">
        <v>291</v>
      </c>
      <c r="AF30" s="11" t="s">
        <v>291</v>
      </c>
      <c r="AG30" s="11" t="s">
        <v>291</v>
      </c>
      <c r="AH30" s="13"/>
      <c r="AI30" s="13"/>
      <c r="AJ30" s="13"/>
      <c r="AK30" s="13" t="s">
        <v>72</v>
      </c>
      <c r="AL30" s="13"/>
      <c r="AM30" s="13"/>
      <c r="AN30" s="13">
        <f>LEN(SUBSTITUTE(AM30, ", ",","))</f>
        <v>0</v>
      </c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6" t="s">
        <v>884</v>
      </c>
      <c r="BI30" s="13"/>
      <c r="BJ30" s="13"/>
      <c r="BK30" s="13"/>
      <c r="BL30" s="13"/>
      <c r="BM30" s="13"/>
      <c r="BN30" s="1" t="s">
        <v>1120</v>
      </c>
    </row>
    <row r="31" spans="1:66" ht="12" customHeight="1">
      <c r="A31" s="10" t="s">
        <v>438</v>
      </c>
      <c r="B31" s="10" t="s">
        <v>230</v>
      </c>
      <c r="C31" s="11" t="s">
        <v>290</v>
      </c>
      <c r="D31" s="11"/>
      <c r="E31" s="11" t="s">
        <v>290</v>
      </c>
      <c r="F31" s="11"/>
      <c r="G31" s="11" t="s">
        <v>290</v>
      </c>
      <c r="H31" s="12" t="s">
        <v>424</v>
      </c>
      <c r="I31" s="11"/>
      <c r="J31" s="11"/>
      <c r="K31" s="11"/>
      <c r="L31" s="11"/>
      <c r="M31" s="11"/>
      <c r="N31" s="11"/>
      <c r="O31" s="11"/>
      <c r="P31" s="11"/>
      <c r="Q31" s="11"/>
      <c r="R31" s="11">
        <v>112</v>
      </c>
      <c r="S31" s="11" t="s">
        <v>77</v>
      </c>
      <c r="T31" s="13" t="s">
        <v>484</v>
      </c>
      <c r="U31" s="11" t="s">
        <v>19</v>
      </c>
      <c r="V31" s="13" t="s">
        <v>19</v>
      </c>
      <c r="W31" s="13" t="s">
        <v>44</v>
      </c>
      <c r="X31" s="13" t="s">
        <v>517</v>
      </c>
      <c r="Y31" s="14" t="s">
        <v>517</v>
      </c>
      <c r="Z31" s="13" t="s">
        <v>518</v>
      </c>
      <c r="AA31" s="11" t="s">
        <v>403</v>
      </c>
      <c r="AB31" s="11"/>
      <c r="AC31" s="11"/>
      <c r="AD31" s="11" t="s">
        <v>291</v>
      </c>
      <c r="AE31" s="11" t="s">
        <v>291</v>
      </c>
      <c r="AF31" s="11" t="s">
        <v>291</v>
      </c>
      <c r="AG31" s="11" t="s">
        <v>291</v>
      </c>
      <c r="AH31" s="15" t="s">
        <v>553</v>
      </c>
      <c r="AI31" s="13"/>
      <c r="AJ31" s="13"/>
      <c r="AK31" s="13" t="s">
        <v>403</v>
      </c>
      <c r="AL31" s="13" t="s">
        <v>647</v>
      </c>
      <c r="AM31" s="13" t="s">
        <v>647</v>
      </c>
      <c r="AN31" s="13">
        <f>LEN(SUBSTITUTE(AM31, ", ",","))</f>
        <v>61</v>
      </c>
      <c r="AO31" s="13" t="s">
        <v>885</v>
      </c>
      <c r="AP31" s="13" t="s">
        <v>886</v>
      </c>
      <c r="AQ31" s="13"/>
      <c r="AR31" s="13"/>
      <c r="AS31" s="13"/>
      <c r="AT31" s="13"/>
      <c r="AU31" s="13"/>
      <c r="AV31" s="13" t="s">
        <v>887</v>
      </c>
      <c r="AW31" s="13"/>
      <c r="AX31" s="13"/>
      <c r="AY31" s="13"/>
      <c r="AZ31" s="13" t="s">
        <v>888</v>
      </c>
      <c r="BA31" s="13"/>
      <c r="BB31" s="13"/>
      <c r="BC31" s="13"/>
      <c r="BD31" s="13" t="s">
        <v>889</v>
      </c>
      <c r="BE31" s="13"/>
      <c r="BF31" s="13"/>
      <c r="BG31" s="13" t="s">
        <v>890</v>
      </c>
      <c r="BH31" s="16" t="s">
        <v>884</v>
      </c>
      <c r="BI31" s="13"/>
      <c r="BJ31" s="13"/>
      <c r="BK31" s="13"/>
      <c r="BL31" s="13"/>
      <c r="BM31" s="13"/>
      <c r="BN31" s="1" t="s">
        <v>1120</v>
      </c>
    </row>
    <row r="32" spans="1:66" ht="12" customHeight="1">
      <c r="A32" s="10" t="s">
        <v>438</v>
      </c>
      <c r="B32" s="10" t="s">
        <v>230</v>
      </c>
      <c r="C32" s="11" t="s">
        <v>290</v>
      </c>
      <c r="D32" s="11"/>
      <c r="E32" s="11" t="s">
        <v>290</v>
      </c>
      <c r="F32" s="11"/>
      <c r="G32" s="11" t="s">
        <v>290</v>
      </c>
      <c r="H32" s="12" t="s">
        <v>424</v>
      </c>
      <c r="I32" s="11"/>
      <c r="J32" s="11"/>
      <c r="K32" s="11"/>
      <c r="L32" s="11"/>
      <c r="M32" s="11"/>
      <c r="N32" s="11"/>
      <c r="O32" s="11"/>
      <c r="P32" s="11"/>
      <c r="Q32" s="11"/>
      <c r="R32" s="11">
        <v>114</v>
      </c>
      <c r="S32" s="11" t="s">
        <v>432</v>
      </c>
      <c r="T32" s="13" t="s">
        <v>479</v>
      </c>
      <c r="U32" s="11" t="s">
        <v>467</v>
      </c>
      <c r="V32" s="13" t="s">
        <v>467</v>
      </c>
      <c r="W32" s="13" t="s">
        <v>514</v>
      </c>
      <c r="X32" s="13" t="s">
        <v>467</v>
      </c>
      <c r="Y32" s="14" t="s">
        <v>29</v>
      </c>
      <c r="Z32" s="13" t="s">
        <v>519</v>
      </c>
      <c r="AA32" s="11" t="s">
        <v>70</v>
      </c>
      <c r="AB32" s="11">
        <v>41116124</v>
      </c>
      <c r="AC32" s="11">
        <v>36234191</v>
      </c>
      <c r="AD32" s="11" t="s">
        <v>291</v>
      </c>
      <c r="AE32" s="11" t="s">
        <v>297</v>
      </c>
      <c r="AF32" s="11" t="s">
        <v>291</v>
      </c>
      <c r="AG32" s="11" t="s">
        <v>291</v>
      </c>
      <c r="AH32" s="15" t="s">
        <v>554</v>
      </c>
      <c r="AI32" s="13"/>
      <c r="AJ32" s="13"/>
      <c r="AK32" s="13" t="s">
        <v>648</v>
      </c>
      <c r="AL32" s="13" t="s">
        <v>649</v>
      </c>
      <c r="AM32" s="13" t="s">
        <v>649</v>
      </c>
      <c r="AN32" s="13">
        <f>LEN(SUBSTITUTE(AM32, ", ",","))</f>
        <v>39</v>
      </c>
      <c r="AO32" s="13" t="s">
        <v>891</v>
      </c>
      <c r="AP32" s="13" t="s">
        <v>892</v>
      </c>
      <c r="AQ32" s="13" t="s">
        <v>893</v>
      </c>
      <c r="AR32" s="13"/>
      <c r="AS32" s="13"/>
      <c r="AT32" s="13"/>
      <c r="AU32" s="13"/>
      <c r="AV32" s="13" t="s">
        <v>894</v>
      </c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6" t="s">
        <v>895</v>
      </c>
      <c r="BI32" s="13"/>
      <c r="BJ32" s="13"/>
      <c r="BK32" s="13"/>
      <c r="BL32" s="13"/>
      <c r="BM32" s="13"/>
      <c r="BN32" s="1" t="s">
        <v>1120</v>
      </c>
    </row>
    <row r="33" spans="1:66" ht="12" customHeight="1">
      <c r="A33" s="10" t="s">
        <v>438</v>
      </c>
      <c r="B33" s="10" t="s">
        <v>230</v>
      </c>
      <c r="C33" s="11" t="s">
        <v>290</v>
      </c>
      <c r="D33" s="11"/>
      <c r="E33" s="11" t="s">
        <v>290</v>
      </c>
      <c r="F33" s="11"/>
      <c r="G33" s="11" t="s">
        <v>290</v>
      </c>
      <c r="H33" s="12" t="s">
        <v>424</v>
      </c>
      <c r="I33" s="11"/>
      <c r="J33" s="11"/>
      <c r="K33" s="11"/>
      <c r="L33" s="11"/>
      <c r="M33" s="11"/>
      <c r="N33" s="11"/>
      <c r="O33" s="11"/>
      <c r="P33" s="11"/>
      <c r="Q33" s="11"/>
      <c r="R33" s="11">
        <v>117</v>
      </c>
      <c r="S33" s="11" t="s">
        <v>188</v>
      </c>
      <c r="T33" s="13" t="s">
        <v>485</v>
      </c>
      <c r="U33" s="11" t="s">
        <v>200</v>
      </c>
      <c r="V33" s="13" t="s">
        <v>200</v>
      </c>
      <c r="W33" s="13" t="s">
        <v>107</v>
      </c>
      <c r="X33" s="13" t="s">
        <v>200</v>
      </c>
      <c r="Y33" s="14" t="s">
        <v>97</v>
      </c>
      <c r="Z33" s="13" t="s">
        <v>393</v>
      </c>
      <c r="AA33" s="11" t="s">
        <v>459</v>
      </c>
      <c r="AB33" s="11">
        <v>42294930</v>
      </c>
      <c r="AC33" s="11">
        <v>34805522</v>
      </c>
      <c r="AD33" s="11" t="s">
        <v>291</v>
      </c>
      <c r="AE33" s="11" t="s">
        <v>121</v>
      </c>
      <c r="AF33" s="11" t="s">
        <v>291</v>
      </c>
      <c r="AG33" s="11" t="s">
        <v>374</v>
      </c>
      <c r="AH33" s="15" t="s">
        <v>555</v>
      </c>
      <c r="AI33" s="13"/>
      <c r="AJ33" s="13"/>
      <c r="AK33" s="13" t="s">
        <v>650</v>
      </c>
      <c r="AL33" s="13" t="s">
        <v>651</v>
      </c>
      <c r="AM33" s="13" t="s">
        <v>651</v>
      </c>
      <c r="AN33" s="13">
        <f>LEN(SUBSTITUTE(AM33, ", ",","))</f>
        <v>122</v>
      </c>
      <c r="AO33" s="13" t="s">
        <v>896</v>
      </c>
      <c r="AP33" s="13" t="s">
        <v>897</v>
      </c>
      <c r="AQ33" s="13" t="s">
        <v>898</v>
      </c>
      <c r="AR33" s="13" t="s">
        <v>899</v>
      </c>
      <c r="AS33" s="13"/>
      <c r="AT33" s="13" t="s">
        <v>900</v>
      </c>
      <c r="AU33" s="13"/>
      <c r="AV33" s="13"/>
      <c r="AW33" s="13"/>
      <c r="AX33" s="13"/>
      <c r="AY33" s="13" t="s">
        <v>901</v>
      </c>
      <c r="AZ33" s="13"/>
      <c r="BA33" s="13"/>
      <c r="BB33" s="13"/>
      <c r="BC33" s="13" t="s">
        <v>759</v>
      </c>
      <c r="BD33" s="13" t="s">
        <v>374</v>
      </c>
      <c r="BE33" s="13" t="s">
        <v>816</v>
      </c>
      <c r="BF33" s="13"/>
      <c r="BG33" s="13"/>
      <c r="BH33" s="19" t="s">
        <v>902</v>
      </c>
      <c r="BI33" s="13"/>
      <c r="BJ33" s="13"/>
      <c r="BK33" s="13"/>
      <c r="BL33" s="13"/>
      <c r="BM33" s="13"/>
      <c r="BN33" s="1" t="s">
        <v>1120</v>
      </c>
    </row>
    <row r="34" spans="1:66" ht="12" customHeight="1">
      <c r="A34" s="10" t="s">
        <v>438</v>
      </c>
      <c r="B34" s="10" t="s">
        <v>230</v>
      </c>
      <c r="C34" s="11" t="s">
        <v>290</v>
      </c>
      <c r="D34" s="11"/>
      <c r="E34" s="11" t="s">
        <v>290</v>
      </c>
      <c r="F34" s="11"/>
      <c r="G34" s="11" t="s">
        <v>290</v>
      </c>
      <c r="H34" s="12" t="s">
        <v>424</v>
      </c>
      <c r="I34" s="11"/>
      <c r="J34" s="11"/>
      <c r="K34" s="11"/>
      <c r="L34" s="11"/>
      <c r="M34" s="11"/>
      <c r="N34" s="11"/>
      <c r="O34" s="11"/>
      <c r="P34" s="11"/>
      <c r="Q34" s="11"/>
      <c r="R34" s="11">
        <v>118</v>
      </c>
      <c r="S34" s="11" t="s">
        <v>158</v>
      </c>
      <c r="T34" s="13" t="s">
        <v>476</v>
      </c>
      <c r="U34" s="11" t="s">
        <v>224</v>
      </c>
      <c r="V34" s="13" t="s">
        <v>224</v>
      </c>
      <c r="W34" s="13" t="s">
        <v>450</v>
      </c>
      <c r="X34" s="13" t="s">
        <v>224</v>
      </c>
      <c r="Y34" s="14" t="s">
        <v>401</v>
      </c>
      <c r="Z34" s="13" t="s">
        <v>210</v>
      </c>
      <c r="AA34" s="11" t="s">
        <v>218</v>
      </c>
      <c r="AB34" s="11"/>
      <c r="AC34" s="11"/>
      <c r="AD34" s="11" t="s">
        <v>291</v>
      </c>
      <c r="AE34" s="11" t="s">
        <v>291</v>
      </c>
      <c r="AF34" s="11" t="s">
        <v>291</v>
      </c>
      <c r="AG34" s="11" t="s">
        <v>291</v>
      </c>
      <c r="AH34" s="15" t="s">
        <v>548</v>
      </c>
      <c r="AI34" s="13"/>
      <c r="AJ34" s="13"/>
      <c r="AK34" s="13" t="s">
        <v>652</v>
      </c>
      <c r="AL34" s="13" t="s">
        <v>653</v>
      </c>
      <c r="AM34" s="13" t="s">
        <v>653</v>
      </c>
      <c r="AN34" s="13">
        <f>LEN(SUBSTITUTE(AM34, ", ",","))</f>
        <v>34</v>
      </c>
      <c r="AO34" s="13" t="s">
        <v>846</v>
      </c>
      <c r="AP34" s="13" t="s">
        <v>847</v>
      </c>
      <c r="AQ34" s="13" t="s">
        <v>848</v>
      </c>
      <c r="AR34" s="13" t="s">
        <v>903</v>
      </c>
      <c r="AS34" s="13"/>
      <c r="AT34" s="13"/>
      <c r="AU34" s="13"/>
      <c r="AV34" s="13"/>
      <c r="AW34" s="13"/>
      <c r="AX34" s="13"/>
      <c r="AY34" s="13" t="s">
        <v>850</v>
      </c>
      <c r="AZ34" s="13"/>
      <c r="BA34" s="13"/>
      <c r="BB34" s="13"/>
      <c r="BC34" s="13"/>
      <c r="BD34" s="13"/>
      <c r="BE34" s="13"/>
      <c r="BF34" s="13"/>
      <c r="BG34" s="13"/>
      <c r="BH34" s="16" t="s">
        <v>823</v>
      </c>
      <c r="BI34" s="13"/>
      <c r="BJ34" s="13"/>
      <c r="BK34" s="13"/>
      <c r="BL34" s="13"/>
      <c r="BM34" s="13"/>
      <c r="BN34" s="1" t="s">
        <v>1120</v>
      </c>
    </row>
    <row r="35" spans="1:66" ht="12" customHeight="1">
      <c r="A35" s="10" t="s">
        <v>438</v>
      </c>
      <c r="B35" s="10" t="s">
        <v>230</v>
      </c>
      <c r="C35" s="11" t="s">
        <v>290</v>
      </c>
      <c r="D35" s="11"/>
      <c r="E35" s="11" t="s">
        <v>290</v>
      </c>
      <c r="F35" s="11"/>
      <c r="G35" s="11" t="s">
        <v>290</v>
      </c>
      <c r="H35" s="12" t="s">
        <v>424</v>
      </c>
      <c r="I35" s="11"/>
      <c r="J35" s="11"/>
      <c r="K35" s="11"/>
      <c r="L35" s="11"/>
      <c r="M35" s="11"/>
      <c r="N35" s="11"/>
      <c r="O35" s="11"/>
      <c r="P35" s="11"/>
      <c r="Q35" s="11"/>
      <c r="R35" s="11">
        <v>122</v>
      </c>
      <c r="S35" s="11" t="s">
        <v>192</v>
      </c>
      <c r="T35" s="13" t="s">
        <v>480</v>
      </c>
      <c r="U35" s="11" t="s">
        <v>457</v>
      </c>
      <c r="V35" s="13" t="s">
        <v>457</v>
      </c>
      <c r="W35" s="13" t="s">
        <v>217</v>
      </c>
      <c r="X35" s="13" t="s">
        <v>457</v>
      </c>
      <c r="Y35" s="14" t="s">
        <v>448</v>
      </c>
      <c r="Z35" s="13" t="s">
        <v>123</v>
      </c>
      <c r="AA35" s="11" t="s">
        <v>179</v>
      </c>
      <c r="AB35" s="11">
        <v>42291608</v>
      </c>
      <c r="AC35" s="11">
        <v>33463871</v>
      </c>
      <c r="AD35" s="11" t="s">
        <v>291</v>
      </c>
      <c r="AE35" s="11" t="s">
        <v>314</v>
      </c>
      <c r="AF35" s="11" t="s">
        <v>291</v>
      </c>
      <c r="AG35" s="11" t="s">
        <v>217</v>
      </c>
      <c r="AH35" s="15" t="s">
        <v>556</v>
      </c>
      <c r="AI35" s="13"/>
      <c r="AJ35" s="13"/>
      <c r="AK35" s="13" t="s">
        <v>654</v>
      </c>
      <c r="AL35" s="13" t="s">
        <v>655</v>
      </c>
      <c r="AM35" s="13" t="s">
        <v>655</v>
      </c>
      <c r="AN35" s="13">
        <f>LEN(SUBSTITUTE(AM35, ", ",","))</f>
        <v>81</v>
      </c>
      <c r="AO35" s="13" t="s">
        <v>904</v>
      </c>
      <c r="AP35" s="13" t="s">
        <v>905</v>
      </c>
      <c r="AQ35" s="13"/>
      <c r="AR35" s="13"/>
      <c r="AS35" s="13"/>
      <c r="AT35" s="13"/>
      <c r="AU35" s="13"/>
      <c r="AV35" s="13"/>
      <c r="AW35" s="13"/>
      <c r="AX35" s="13" t="s">
        <v>906</v>
      </c>
      <c r="AY35" s="13" t="s">
        <v>907</v>
      </c>
      <c r="AZ35" s="13"/>
      <c r="BA35" s="13"/>
      <c r="BB35" s="13"/>
      <c r="BC35" s="13" t="s">
        <v>759</v>
      </c>
      <c r="BD35" s="13" t="s">
        <v>908</v>
      </c>
      <c r="BE35" s="13" t="s">
        <v>742</v>
      </c>
      <c r="BF35" s="13" t="s">
        <v>761</v>
      </c>
      <c r="BG35" s="13"/>
      <c r="BH35" s="16" t="s">
        <v>909</v>
      </c>
      <c r="BI35" s="13"/>
      <c r="BJ35" s="13"/>
      <c r="BK35" s="13"/>
      <c r="BL35" s="13"/>
      <c r="BM35" s="13"/>
      <c r="BN35" s="1" t="s">
        <v>1120</v>
      </c>
    </row>
    <row r="36" spans="1:66" ht="12" customHeight="1">
      <c r="A36" s="10" t="s">
        <v>438</v>
      </c>
      <c r="B36" s="10" t="s">
        <v>230</v>
      </c>
      <c r="C36" s="11" t="s">
        <v>290</v>
      </c>
      <c r="D36" s="11"/>
      <c r="E36" s="11" t="s">
        <v>290</v>
      </c>
      <c r="F36" s="11"/>
      <c r="G36" s="11" t="s">
        <v>290</v>
      </c>
      <c r="H36" s="12" t="s">
        <v>424</v>
      </c>
      <c r="I36" s="11"/>
      <c r="J36" s="11"/>
      <c r="K36" s="11"/>
      <c r="L36" s="11"/>
      <c r="M36" s="11"/>
      <c r="N36" s="11"/>
      <c r="O36" s="11"/>
      <c r="P36" s="11"/>
      <c r="Q36" s="11"/>
      <c r="R36" s="11">
        <v>124</v>
      </c>
      <c r="S36" s="11" t="s">
        <v>11</v>
      </c>
      <c r="T36" s="13" t="s">
        <v>473</v>
      </c>
      <c r="U36" s="11" t="s">
        <v>219</v>
      </c>
      <c r="V36" s="13" t="s">
        <v>219</v>
      </c>
      <c r="W36" s="13" t="s">
        <v>208</v>
      </c>
      <c r="X36" s="13" t="s">
        <v>219</v>
      </c>
      <c r="Y36" s="14" t="s">
        <v>219</v>
      </c>
      <c r="Z36" s="13" t="s">
        <v>315</v>
      </c>
      <c r="AA36" s="11" t="s">
        <v>400</v>
      </c>
      <c r="AB36" s="11"/>
      <c r="AC36" s="11"/>
      <c r="AD36" s="11" t="s">
        <v>291</v>
      </c>
      <c r="AE36" s="11" t="s">
        <v>291</v>
      </c>
      <c r="AF36" s="11" t="s">
        <v>291</v>
      </c>
      <c r="AG36" s="11" t="s">
        <v>291</v>
      </c>
      <c r="AH36" s="15" t="s">
        <v>557</v>
      </c>
      <c r="AI36" s="17" t="s">
        <v>588</v>
      </c>
      <c r="AJ36" s="17" t="s">
        <v>589</v>
      </c>
      <c r="AK36" s="13" t="s">
        <v>400</v>
      </c>
      <c r="AL36" s="13" t="s">
        <v>656</v>
      </c>
      <c r="AM36" s="13" t="s">
        <v>656</v>
      </c>
      <c r="AN36" s="13">
        <f>LEN(SUBSTITUTE(AM36, ", ",","))</f>
        <v>153</v>
      </c>
      <c r="AO36" s="13" t="s">
        <v>910</v>
      </c>
      <c r="AP36" s="13" t="s">
        <v>911</v>
      </c>
      <c r="AQ36" s="13" t="s">
        <v>912</v>
      </c>
      <c r="AR36" s="13" t="s">
        <v>913</v>
      </c>
      <c r="AS36" s="13"/>
      <c r="AT36" s="13"/>
      <c r="AU36" s="13"/>
      <c r="AV36" s="13"/>
      <c r="AW36" s="13"/>
      <c r="AX36" s="13" t="s">
        <v>914</v>
      </c>
      <c r="AY36" s="13" t="s">
        <v>915</v>
      </c>
      <c r="AZ36" s="13"/>
      <c r="BA36" s="13"/>
      <c r="BB36" s="13" t="s">
        <v>916</v>
      </c>
      <c r="BC36" s="13"/>
      <c r="BD36" s="13" t="s">
        <v>917</v>
      </c>
      <c r="BE36" s="13" t="s">
        <v>816</v>
      </c>
      <c r="BF36" s="13"/>
      <c r="BG36" s="13"/>
      <c r="BH36" s="16" t="s">
        <v>884</v>
      </c>
      <c r="BI36" s="13"/>
      <c r="BJ36" s="13"/>
      <c r="BK36" s="13"/>
      <c r="BL36" s="13"/>
      <c r="BM36" s="13"/>
      <c r="BN36" s="1" t="s">
        <v>1120</v>
      </c>
    </row>
    <row r="37" spans="1:66" ht="12" customHeight="1">
      <c r="A37" s="10" t="s">
        <v>438</v>
      </c>
      <c r="B37" s="10" t="s">
        <v>230</v>
      </c>
      <c r="C37" s="11" t="s">
        <v>290</v>
      </c>
      <c r="D37" s="11"/>
      <c r="E37" s="11" t="s">
        <v>290</v>
      </c>
      <c r="F37" s="11"/>
      <c r="G37" s="11" t="s">
        <v>290</v>
      </c>
      <c r="H37" s="12" t="s">
        <v>424</v>
      </c>
      <c r="I37" s="11"/>
      <c r="J37" s="11"/>
      <c r="K37" s="11"/>
      <c r="L37" s="11"/>
      <c r="M37" s="11"/>
      <c r="N37" s="11"/>
      <c r="O37" s="11"/>
      <c r="P37" s="11"/>
      <c r="Q37" s="11"/>
      <c r="R37" s="11">
        <v>126</v>
      </c>
      <c r="S37" s="11" t="s">
        <v>173</v>
      </c>
      <c r="T37" s="13" t="s">
        <v>486</v>
      </c>
      <c r="U37" s="11" t="s">
        <v>351</v>
      </c>
      <c r="V37" s="13" t="s">
        <v>351</v>
      </c>
      <c r="W37" s="13" t="s">
        <v>520</v>
      </c>
      <c r="X37" s="13" t="s">
        <v>351</v>
      </c>
      <c r="Y37" s="14" t="s">
        <v>41</v>
      </c>
      <c r="Z37" s="13" t="s">
        <v>463</v>
      </c>
      <c r="AA37" s="11" t="s">
        <v>31</v>
      </c>
      <c r="AB37" s="11">
        <v>42321505</v>
      </c>
      <c r="AC37" s="11">
        <v>37254411</v>
      </c>
      <c r="AD37" s="11" t="s">
        <v>291</v>
      </c>
      <c r="AE37" s="11" t="s">
        <v>91</v>
      </c>
      <c r="AF37" s="11" t="s">
        <v>291</v>
      </c>
      <c r="AG37" s="11" t="s">
        <v>383</v>
      </c>
      <c r="AH37" s="16" t="s">
        <v>542</v>
      </c>
      <c r="AI37" s="13" t="s">
        <v>96</v>
      </c>
      <c r="AJ37" s="17" t="s">
        <v>587</v>
      </c>
      <c r="AK37" s="13" t="s">
        <v>31</v>
      </c>
      <c r="AL37" s="13" t="s">
        <v>657</v>
      </c>
      <c r="AM37" s="13" t="s">
        <v>657</v>
      </c>
      <c r="AN37" s="13">
        <f>LEN(SUBSTITUTE(AM37, ", ",","))</f>
        <v>68</v>
      </c>
      <c r="AO37" s="13" t="s">
        <v>780</v>
      </c>
      <c r="AP37" s="13" t="s">
        <v>781</v>
      </c>
      <c r="AQ37" s="13" t="s">
        <v>782</v>
      </c>
      <c r="AR37" s="13"/>
      <c r="AS37" s="13"/>
      <c r="AT37" s="13"/>
      <c r="AU37" s="13"/>
      <c r="AV37" s="13"/>
      <c r="AW37" s="13"/>
      <c r="AX37" s="13" t="s">
        <v>918</v>
      </c>
      <c r="AY37" s="13" t="s">
        <v>919</v>
      </c>
      <c r="AZ37" s="13"/>
      <c r="BA37" s="13"/>
      <c r="BB37" s="13"/>
      <c r="BC37" s="13" t="s">
        <v>786</v>
      </c>
      <c r="BD37" s="13" t="s">
        <v>920</v>
      </c>
      <c r="BE37" s="13" t="s">
        <v>787</v>
      </c>
      <c r="BF37" s="13"/>
      <c r="BG37" s="13"/>
      <c r="BH37" s="16" t="s">
        <v>921</v>
      </c>
      <c r="BI37" s="13"/>
      <c r="BJ37" s="13"/>
      <c r="BK37" s="13"/>
      <c r="BL37" s="13"/>
      <c r="BM37" s="13"/>
      <c r="BN37" s="1" t="s">
        <v>1120</v>
      </c>
    </row>
    <row r="38" spans="1:66" ht="12" customHeight="1">
      <c r="A38" s="10" t="s">
        <v>438</v>
      </c>
      <c r="B38" s="10" t="s">
        <v>230</v>
      </c>
      <c r="C38" s="11" t="s">
        <v>290</v>
      </c>
      <c r="D38" s="11"/>
      <c r="E38" s="11" t="s">
        <v>290</v>
      </c>
      <c r="F38" s="11"/>
      <c r="G38" s="11" t="s">
        <v>290</v>
      </c>
      <c r="H38" s="12" t="s">
        <v>424</v>
      </c>
      <c r="I38" s="11"/>
      <c r="J38" s="11"/>
      <c r="K38" s="11"/>
      <c r="L38" s="11"/>
      <c r="M38" s="11"/>
      <c r="N38" s="11"/>
      <c r="O38" s="11"/>
      <c r="P38" s="11"/>
      <c r="Q38" s="11"/>
      <c r="R38" s="11">
        <v>129</v>
      </c>
      <c r="S38" s="11" t="s">
        <v>435</v>
      </c>
      <c r="T38" s="13" t="s">
        <v>487</v>
      </c>
      <c r="U38" s="11" t="s">
        <v>138</v>
      </c>
      <c r="V38" s="13" t="s">
        <v>138</v>
      </c>
      <c r="W38" s="13" t="s">
        <v>360</v>
      </c>
      <c r="X38" s="13" t="s">
        <v>138</v>
      </c>
      <c r="Y38" s="14" t="s">
        <v>138</v>
      </c>
      <c r="Z38" s="13" t="s">
        <v>440</v>
      </c>
      <c r="AA38" s="11" t="s">
        <v>191</v>
      </c>
      <c r="AB38" s="11">
        <v>42294219</v>
      </c>
      <c r="AC38" s="11">
        <v>36080872</v>
      </c>
      <c r="AD38" s="11" t="s">
        <v>291</v>
      </c>
      <c r="AE38" s="11" t="s">
        <v>87</v>
      </c>
      <c r="AF38" s="11" t="s">
        <v>291</v>
      </c>
      <c r="AG38" s="11" t="s">
        <v>47</v>
      </c>
      <c r="AH38" s="15" t="s">
        <v>558</v>
      </c>
      <c r="AI38" s="13" t="s">
        <v>590</v>
      </c>
      <c r="AJ38" s="17" t="s">
        <v>591</v>
      </c>
      <c r="AK38" s="13" t="s">
        <v>658</v>
      </c>
      <c r="AL38" s="13" t="s">
        <v>659</v>
      </c>
      <c r="AM38" s="13" t="s">
        <v>659</v>
      </c>
      <c r="AN38" s="13">
        <f>LEN(SUBSTITUTE(AM38, ", ",","))</f>
        <v>69</v>
      </c>
      <c r="AO38" s="13" t="s">
        <v>922</v>
      </c>
      <c r="AP38" s="13" t="s">
        <v>923</v>
      </c>
      <c r="AQ38" s="13" t="s">
        <v>924</v>
      </c>
      <c r="AR38" s="13"/>
      <c r="AS38" s="13"/>
      <c r="AT38" s="13" t="s">
        <v>925</v>
      </c>
      <c r="AU38" s="13"/>
      <c r="AV38" s="13"/>
      <c r="AW38" s="13"/>
      <c r="AX38" s="13"/>
      <c r="AY38" s="13" t="s">
        <v>926</v>
      </c>
      <c r="AZ38" s="13"/>
      <c r="BA38" s="13"/>
      <c r="BB38" s="13"/>
      <c r="BC38" s="13" t="s">
        <v>759</v>
      </c>
      <c r="BD38" s="13" t="s">
        <v>927</v>
      </c>
      <c r="BE38" s="13" t="s">
        <v>742</v>
      </c>
      <c r="BF38" s="13"/>
      <c r="BG38" s="13"/>
      <c r="BH38" s="16" t="s">
        <v>928</v>
      </c>
      <c r="BI38" s="13"/>
      <c r="BJ38" s="13"/>
      <c r="BK38" s="13"/>
      <c r="BL38" s="13"/>
      <c r="BM38" s="13"/>
      <c r="BN38" s="1" t="s">
        <v>1120</v>
      </c>
    </row>
    <row r="39" spans="1:66" ht="12" customHeight="1">
      <c r="A39" s="10" t="s">
        <v>438</v>
      </c>
      <c r="B39" s="10" t="s">
        <v>230</v>
      </c>
      <c r="C39" s="11" t="s">
        <v>290</v>
      </c>
      <c r="D39" s="11"/>
      <c r="E39" s="11" t="s">
        <v>290</v>
      </c>
      <c r="F39" s="11"/>
      <c r="G39" s="11" t="s">
        <v>290</v>
      </c>
      <c r="H39" s="12" t="s">
        <v>424</v>
      </c>
      <c r="I39" s="11"/>
      <c r="J39" s="11"/>
      <c r="K39" s="11"/>
      <c r="L39" s="11"/>
      <c r="M39" s="11"/>
      <c r="N39" s="11"/>
      <c r="O39" s="11"/>
      <c r="P39" s="11"/>
      <c r="Q39" s="11"/>
      <c r="R39" s="11">
        <v>130</v>
      </c>
      <c r="S39" s="11" t="s">
        <v>173</v>
      </c>
      <c r="T39" s="13" t="s">
        <v>486</v>
      </c>
      <c r="U39" s="11" t="s">
        <v>151</v>
      </c>
      <c r="V39" s="13" t="s">
        <v>151</v>
      </c>
      <c r="W39" s="13" t="s">
        <v>520</v>
      </c>
      <c r="X39" s="13" t="s">
        <v>151</v>
      </c>
      <c r="Y39" s="14" t="s">
        <v>206</v>
      </c>
      <c r="Z39" s="13" t="s">
        <v>398</v>
      </c>
      <c r="AA39" s="11" t="s">
        <v>182</v>
      </c>
      <c r="AB39" s="11">
        <v>42321505</v>
      </c>
      <c r="AC39" s="11">
        <v>34070642</v>
      </c>
      <c r="AD39" s="11" t="s">
        <v>291</v>
      </c>
      <c r="AE39" s="11" t="s">
        <v>24</v>
      </c>
      <c r="AF39" s="11" t="s">
        <v>291</v>
      </c>
      <c r="AG39" s="11" t="s">
        <v>80</v>
      </c>
      <c r="AH39" s="16" t="s">
        <v>542</v>
      </c>
      <c r="AI39" s="13" t="s">
        <v>96</v>
      </c>
      <c r="AJ39" s="17" t="s">
        <v>587</v>
      </c>
      <c r="AK39" s="13" t="s">
        <v>660</v>
      </c>
      <c r="AL39" s="13" t="s">
        <v>661</v>
      </c>
      <c r="AM39" s="13" t="s">
        <v>661</v>
      </c>
      <c r="AN39" s="13">
        <f>LEN(SUBSTITUTE(AM39, ", ",","))</f>
        <v>77</v>
      </c>
      <c r="AO39" s="13" t="s">
        <v>780</v>
      </c>
      <c r="AP39" s="13" t="s">
        <v>781</v>
      </c>
      <c r="AQ39" s="13" t="s">
        <v>929</v>
      </c>
      <c r="AR39" s="13" t="s">
        <v>822</v>
      </c>
      <c r="AS39" s="13"/>
      <c r="AT39" s="13"/>
      <c r="AU39" s="13"/>
      <c r="AV39" s="13"/>
      <c r="AW39" s="13"/>
      <c r="AX39" s="13" t="s">
        <v>930</v>
      </c>
      <c r="AY39" s="13" t="s">
        <v>931</v>
      </c>
      <c r="AZ39" s="13"/>
      <c r="BA39" s="13"/>
      <c r="BB39" s="13"/>
      <c r="BC39" s="13" t="s">
        <v>786</v>
      </c>
      <c r="BD39" s="13" t="s">
        <v>920</v>
      </c>
      <c r="BE39" s="13" t="s">
        <v>787</v>
      </c>
      <c r="BF39" s="13"/>
      <c r="BG39" s="13"/>
      <c r="BH39" s="16" t="s">
        <v>932</v>
      </c>
      <c r="BI39" s="13"/>
      <c r="BJ39" s="13"/>
      <c r="BK39" s="13"/>
      <c r="BL39" s="13"/>
      <c r="BM39" s="13"/>
      <c r="BN39" s="1" t="s">
        <v>1120</v>
      </c>
    </row>
    <row r="40" spans="1:66" ht="12" customHeight="1">
      <c r="A40" s="10" t="s">
        <v>438</v>
      </c>
      <c r="B40" s="10" t="s">
        <v>230</v>
      </c>
      <c r="C40" s="11" t="s">
        <v>290</v>
      </c>
      <c r="D40" s="11"/>
      <c r="E40" s="11" t="s">
        <v>290</v>
      </c>
      <c r="F40" s="11"/>
      <c r="G40" s="11" t="s">
        <v>290</v>
      </c>
      <c r="H40" s="12" t="s">
        <v>424</v>
      </c>
      <c r="I40" s="11"/>
      <c r="J40" s="11"/>
      <c r="K40" s="11"/>
      <c r="L40" s="11"/>
      <c r="M40" s="11"/>
      <c r="N40" s="11"/>
      <c r="O40" s="11"/>
      <c r="P40" s="11"/>
      <c r="Q40" s="11"/>
      <c r="R40" s="11">
        <v>131</v>
      </c>
      <c r="S40" s="11" t="s">
        <v>173</v>
      </c>
      <c r="T40" s="13" t="s">
        <v>486</v>
      </c>
      <c r="U40" s="11" t="s">
        <v>271</v>
      </c>
      <c r="V40" s="13" t="s">
        <v>271</v>
      </c>
      <c r="W40" s="13" t="s">
        <v>520</v>
      </c>
      <c r="X40" s="13" t="s">
        <v>271</v>
      </c>
      <c r="Y40" s="14" t="s">
        <v>237</v>
      </c>
      <c r="Z40" s="13" t="s">
        <v>331</v>
      </c>
      <c r="AA40" s="11" t="s">
        <v>266</v>
      </c>
      <c r="AB40" s="11">
        <v>42321505</v>
      </c>
      <c r="AC40" s="11">
        <v>34406199</v>
      </c>
      <c r="AD40" s="11" t="s">
        <v>291</v>
      </c>
      <c r="AE40" s="11" t="s">
        <v>410</v>
      </c>
      <c r="AF40" s="11" t="s">
        <v>291</v>
      </c>
      <c r="AG40" s="11" t="s">
        <v>80</v>
      </c>
      <c r="AH40" s="16" t="s">
        <v>542</v>
      </c>
      <c r="AI40" s="13" t="s">
        <v>96</v>
      </c>
      <c r="AJ40" s="17" t="s">
        <v>587</v>
      </c>
      <c r="AK40" s="13" t="s">
        <v>662</v>
      </c>
      <c r="AL40" s="13" t="s">
        <v>663</v>
      </c>
      <c r="AM40" s="13" t="s">
        <v>663</v>
      </c>
      <c r="AN40" s="13">
        <f>LEN(SUBSTITUTE(AM40, ", ",","))</f>
        <v>74</v>
      </c>
      <c r="AO40" s="13" t="s">
        <v>780</v>
      </c>
      <c r="AP40" s="13" t="s">
        <v>781</v>
      </c>
      <c r="AQ40" s="13" t="s">
        <v>782</v>
      </c>
      <c r="AR40" s="13"/>
      <c r="AS40" s="13"/>
      <c r="AT40" s="13"/>
      <c r="AU40" s="13"/>
      <c r="AV40" s="13"/>
      <c r="AW40" s="13"/>
      <c r="AX40" s="13" t="s">
        <v>933</v>
      </c>
      <c r="AY40" s="13" t="s">
        <v>934</v>
      </c>
      <c r="AZ40" s="13"/>
      <c r="BA40" s="13"/>
      <c r="BB40" s="13"/>
      <c r="BC40" s="13" t="s">
        <v>786</v>
      </c>
      <c r="BD40" s="13" t="s">
        <v>920</v>
      </c>
      <c r="BE40" s="13" t="s">
        <v>787</v>
      </c>
      <c r="BF40" s="13"/>
      <c r="BG40" s="13" t="s">
        <v>935</v>
      </c>
      <c r="BH40" s="16" t="s">
        <v>936</v>
      </c>
      <c r="BI40" s="13"/>
      <c r="BJ40" s="13"/>
      <c r="BK40" s="13"/>
      <c r="BL40" s="13"/>
      <c r="BM40" s="13"/>
      <c r="BN40" s="1" t="s">
        <v>1120</v>
      </c>
    </row>
    <row r="41" spans="1:66" ht="12" customHeight="1">
      <c r="A41" s="10" t="s">
        <v>438</v>
      </c>
      <c r="B41" s="10" t="s">
        <v>230</v>
      </c>
      <c r="C41" s="11" t="s">
        <v>290</v>
      </c>
      <c r="D41" s="11"/>
      <c r="E41" s="11" t="s">
        <v>290</v>
      </c>
      <c r="F41" s="11"/>
      <c r="G41" s="11" t="s">
        <v>290</v>
      </c>
      <c r="H41" s="12" t="s">
        <v>424</v>
      </c>
      <c r="I41" s="11"/>
      <c r="J41" s="11"/>
      <c r="K41" s="11"/>
      <c r="L41" s="11"/>
      <c r="M41" s="11"/>
      <c r="N41" s="11"/>
      <c r="O41" s="11"/>
      <c r="P41" s="11"/>
      <c r="Q41" s="11"/>
      <c r="R41" s="11">
        <v>134</v>
      </c>
      <c r="S41" s="11" t="s">
        <v>66</v>
      </c>
      <c r="T41" s="13" t="s">
        <v>488</v>
      </c>
      <c r="U41" s="11" t="s">
        <v>434</v>
      </c>
      <c r="V41" s="13" t="s">
        <v>434</v>
      </c>
      <c r="W41" s="13" t="s">
        <v>190</v>
      </c>
      <c r="X41" s="13" t="s">
        <v>434</v>
      </c>
      <c r="Y41" s="14" t="s">
        <v>164</v>
      </c>
      <c r="Z41" s="13" t="s">
        <v>12</v>
      </c>
      <c r="AA41" s="11" t="s">
        <v>350</v>
      </c>
      <c r="AB41" s="11">
        <v>85161504</v>
      </c>
      <c r="AC41" s="11">
        <v>15058296</v>
      </c>
      <c r="AD41" s="11" t="s">
        <v>291</v>
      </c>
      <c r="AE41" s="11" t="s">
        <v>354</v>
      </c>
      <c r="AF41" s="11" t="s">
        <v>291</v>
      </c>
      <c r="AG41" s="11" t="s">
        <v>291</v>
      </c>
      <c r="AH41" s="15" t="s">
        <v>559</v>
      </c>
      <c r="AI41" s="13"/>
      <c r="AJ41" s="13"/>
      <c r="AK41" s="13" t="s">
        <v>350</v>
      </c>
      <c r="AL41" s="13" t="s">
        <v>664</v>
      </c>
      <c r="AM41" s="13" t="s">
        <v>664</v>
      </c>
      <c r="AN41" s="13">
        <f>LEN(SUBSTITUTE(AM41, ", ",","))</f>
        <v>81</v>
      </c>
      <c r="AO41" s="13" t="s">
        <v>937</v>
      </c>
      <c r="AP41" s="13" t="s">
        <v>938</v>
      </c>
      <c r="AQ41" s="13"/>
      <c r="AR41" s="13"/>
      <c r="AS41" s="13"/>
      <c r="AT41" s="13"/>
      <c r="AU41" s="13"/>
      <c r="AV41" s="13"/>
      <c r="AW41" s="13"/>
      <c r="AX41" s="13"/>
      <c r="AY41" s="13" t="s">
        <v>939</v>
      </c>
      <c r="AZ41" s="13"/>
      <c r="BA41" s="13"/>
      <c r="BB41" s="13"/>
      <c r="BC41" s="13"/>
      <c r="BD41" s="13" t="s">
        <v>940</v>
      </c>
      <c r="BE41" s="13"/>
      <c r="BF41" s="13"/>
      <c r="BG41" s="13"/>
      <c r="BH41" s="16" t="s">
        <v>884</v>
      </c>
      <c r="BI41" s="13"/>
      <c r="BJ41" s="13"/>
      <c r="BK41" s="13"/>
      <c r="BL41" s="13"/>
      <c r="BM41" s="13"/>
      <c r="BN41" s="1" t="s">
        <v>1120</v>
      </c>
    </row>
    <row r="42" spans="1:66" ht="12" customHeight="1">
      <c r="A42" s="10" t="s">
        <v>438</v>
      </c>
      <c r="B42" s="10" t="s">
        <v>230</v>
      </c>
      <c r="C42" s="11" t="s">
        <v>290</v>
      </c>
      <c r="D42" s="11"/>
      <c r="E42" s="11" t="s">
        <v>290</v>
      </c>
      <c r="F42" s="11"/>
      <c r="G42" s="11" t="s">
        <v>290</v>
      </c>
      <c r="H42" s="12" t="s">
        <v>424</v>
      </c>
      <c r="I42" s="11"/>
      <c r="J42" s="11"/>
      <c r="K42" s="11"/>
      <c r="L42" s="11"/>
      <c r="M42" s="11"/>
      <c r="N42" s="11"/>
      <c r="O42" s="11"/>
      <c r="P42" s="11"/>
      <c r="Q42" s="11"/>
      <c r="R42" s="11">
        <v>135</v>
      </c>
      <c r="S42" s="11" t="s">
        <v>327</v>
      </c>
      <c r="T42" s="13" t="s">
        <v>468</v>
      </c>
      <c r="U42" s="11" t="s">
        <v>170</v>
      </c>
      <c r="V42" s="13" t="s">
        <v>170</v>
      </c>
      <c r="W42" s="13" t="s">
        <v>212</v>
      </c>
      <c r="X42" s="13" t="s">
        <v>170</v>
      </c>
      <c r="Y42" s="14" t="s">
        <v>170</v>
      </c>
      <c r="Z42" s="13" t="s">
        <v>166</v>
      </c>
      <c r="AA42" s="11" t="s">
        <v>411</v>
      </c>
      <c r="AB42" s="11">
        <v>41116105</v>
      </c>
      <c r="AC42" s="11">
        <v>37091173</v>
      </c>
      <c r="AD42" s="11" t="s">
        <v>291</v>
      </c>
      <c r="AE42" s="11" t="s">
        <v>1</v>
      </c>
      <c r="AF42" s="11" t="s">
        <v>291</v>
      </c>
      <c r="AG42" s="11" t="s">
        <v>306</v>
      </c>
      <c r="AH42" s="15" t="s">
        <v>560</v>
      </c>
      <c r="AI42" s="13"/>
      <c r="AJ42" s="13"/>
      <c r="AK42" s="13" t="s">
        <v>1</v>
      </c>
      <c r="AL42" s="13" t="s">
        <v>665</v>
      </c>
      <c r="AM42" s="13" t="s">
        <v>665</v>
      </c>
      <c r="AN42" s="13">
        <f>LEN(SUBSTITUTE(AM42, ", ",","))</f>
        <v>64</v>
      </c>
      <c r="AO42" s="13" t="s">
        <v>941</v>
      </c>
      <c r="AP42" s="13" t="s">
        <v>942</v>
      </c>
      <c r="AQ42" s="13" t="s">
        <v>943</v>
      </c>
      <c r="AR42" s="13"/>
      <c r="AS42" s="13"/>
      <c r="AT42" s="13"/>
      <c r="AU42" s="13"/>
      <c r="AV42" s="13"/>
      <c r="AW42" s="13"/>
      <c r="AX42" s="13"/>
      <c r="AY42" s="13" t="s">
        <v>944</v>
      </c>
      <c r="AZ42" s="13"/>
      <c r="BA42" s="13"/>
      <c r="BB42" s="13"/>
      <c r="BC42" s="13" t="s">
        <v>786</v>
      </c>
      <c r="BD42" s="13" t="s">
        <v>945</v>
      </c>
      <c r="BE42" s="13" t="s">
        <v>742</v>
      </c>
      <c r="BF42" s="13"/>
      <c r="BG42" s="13"/>
      <c r="BH42" s="16" t="s">
        <v>946</v>
      </c>
      <c r="BI42" s="13"/>
      <c r="BJ42" s="13"/>
      <c r="BK42" s="13"/>
      <c r="BL42" s="13"/>
      <c r="BM42" s="13"/>
      <c r="BN42" s="1" t="s">
        <v>1120</v>
      </c>
    </row>
    <row r="43" spans="1:66" ht="12" customHeight="1">
      <c r="A43" s="10" t="s">
        <v>438</v>
      </c>
      <c r="B43" s="10" t="s">
        <v>230</v>
      </c>
      <c r="C43" s="11" t="s">
        <v>290</v>
      </c>
      <c r="D43" s="11"/>
      <c r="E43" s="11" t="s">
        <v>290</v>
      </c>
      <c r="F43" s="11"/>
      <c r="G43" s="11" t="s">
        <v>290</v>
      </c>
      <c r="H43" s="12" t="s">
        <v>424</v>
      </c>
      <c r="I43" s="11"/>
      <c r="J43" s="11"/>
      <c r="K43" s="11"/>
      <c r="L43" s="11"/>
      <c r="M43" s="11"/>
      <c r="N43" s="11"/>
      <c r="O43" s="11"/>
      <c r="P43" s="11"/>
      <c r="Q43" s="11"/>
      <c r="R43" s="11">
        <v>136</v>
      </c>
      <c r="S43" s="11" t="s">
        <v>327</v>
      </c>
      <c r="T43" s="13" t="s">
        <v>468</v>
      </c>
      <c r="U43" s="11" t="s">
        <v>363</v>
      </c>
      <c r="V43" s="13" t="s">
        <v>363</v>
      </c>
      <c r="W43" s="13" t="s">
        <v>212</v>
      </c>
      <c r="X43" s="13" t="s">
        <v>363</v>
      </c>
      <c r="Y43" s="14" t="s">
        <v>363</v>
      </c>
      <c r="Z43" s="13" t="s">
        <v>281</v>
      </c>
      <c r="AA43" s="11" t="s">
        <v>144</v>
      </c>
      <c r="AB43" s="11">
        <v>41116105</v>
      </c>
      <c r="AC43" s="11">
        <v>32457000</v>
      </c>
      <c r="AD43" s="11" t="s">
        <v>291</v>
      </c>
      <c r="AE43" s="11" t="s">
        <v>52</v>
      </c>
      <c r="AF43" s="11" t="s">
        <v>291</v>
      </c>
      <c r="AG43" s="11" t="s">
        <v>306</v>
      </c>
      <c r="AH43" s="15" t="s">
        <v>560</v>
      </c>
      <c r="AI43" s="13"/>
      <c r="AJ43" s="13"/>
      <c r="AK43" s="13" t="s">
        <v>666</v>
      </c>
      <c r="AL43" s="13" t="s">
        <v>667</v>
      </c>
      <c r="AM43" s="13" t="s">
        <v>667</v>
      </c>
      <c r="AN43" s="13">
        <f>LEN(SUBSTITUTE(AM43, ", ",","))</f>
        <v>71</v>
      </c>
      <c r="AO43" s="13" t="s">
        <v>941</v>
      </c>
      <c r="AP43" s="13" t="s">
        <v>942</v>
      </c>
      <c r="AQ43" s="13" t="s">
        <v>947</v>
      </c>
      <c r="AR43" s="13"/>
      <c r="AS43" s="13"/>
      <c r="AT43" s="13"/>
      <c r="AU43" s="13"/>
      <c r="AV43" s="13"/>
      <c r="AW43" s="13"/>
      <c r="AX43" s="13"/>
      <c r="AY43" s="13" t="s">
        <v>948</v>
      </c>
      <c r="AZ43" s="13"/>
      <c r="BA43" s="13"/>
      <c r="BB43" s="13"/>
      <c r="BC43" s="13" t="s">
        <v>786</v>
      </c>
      <c r="BD43" s="13" t="s">
        <v>945</v>
      </c>
      <c r="BE43" s="13" t="s">
        <v>742</v>
      </c>
      <c r="BF43" s="13"/>
      <c r="BG43" s="13" t="s">
        <v>949</v>
      </c>
      <c r="BH43" s="16" t="s">
        <v>950</v>
      </c>
      <c r="BI43" s="13"/>
      <c r="BJ43" s="13"/>
      <c r="BK43" s="13"/>
      <c r="BL43" s="13"/>
      <c r="BM43" s="13"/>
      <c r="BN43" s="1" t="s">
        <v>1120</v>
      </c>
    </row>
    <row r="44" spans="1:66" ht="12" customHeight="1">
      <c r="A44" s="10" t="s">
        <v>438</v>
      </c>
      <c r="B44" s="10" t="s">
        <v>230</v>
      </c>
      <c r="C44" s="11" t="s">
        <v>290</v>
      </c>
      <c r="D44" s="11"/>
      <c r="E44" s="11" t="s">
        <v>290</v>
      </c>
      <c r="F44" s="11"/>
      <c r="G44" s="11" t="s">
        <v>290</v>
      </c>
      <c r="H44" s="12" t="s">
        <v>424</v>
      </c>
      <c r="I44" s="11"/>
      <c r="J44" s="11"/>
      <c r="K44" s="11"/>
      <c r="L44" s="11"/>
      <c r="M44" s="11"/>
      <c r="N44" s="11"/>
      <c r="O44" s="11"/>
      <c r="P44" s="11"/>
      <c r="Q44" s="11"/>
      <c r="R44" s="11">
        <v>138</v>
      </c>
      <c r="S44" s="11" t="s">
        <v>102</v>
      </c>
      <c r="T44" s="13" t="s">
        <v>481</v>
      </c>
      <c r="U44" s="11" t="s">
        <v>236</v>
      </c>
      <c r="V44" s="13" t="s">
        <v>236</v>
      </c>
      <c r="W44" s="13" t="s">
        <v>481</v>
      </c>
      <c r="X44" s="13" t="s">
        <v>236</v>
      </c>
      <c r="Y44" s="14" t="s">
        <v>233</v>
      </c>
      <c r="Z44" s="13" t="s">
        <v>521</v>
      </c>
      <c r="AA44" s="11" t="s">
        <v>129</v>
      </c>
      <c r="AB44" s="11">
        <v>42321611</v>
      </c>
      <c r="AC44" s="11">
        <v>34457200</v>
      </c>
      <c r="AD44" s="11" t="s">
        <v>291</v>
      </c>
      <c r="AE44" s="11" t="s">
        <v>320</v>
      </c>
      <c r="AF44" s="11" t="s">
        <v>291</v>
      </c>
      <c r="AG44" s="11" t="s">
        <v>419</v>
      </c>
      <c r="AH44" s="16" t="s">
        <v>561</v>
      </c>
      <c r="AI44" s="13" t="s">
        <v>96</v>
      </c>
      <c r="AJ44" s="17" t="s">
        <v>587</v>
      </c>
      <c r="AK44" s="13" t="s">
        <v>668</v>
      </c>
      <c r="AL44" s="13" t="s">
        <v>669</v>
      </c>
      <c r="AM44" s="13" t="s">
        <v>669</v>
      </c>
      <c r="AN44" s="13">
        <f>LEN(SUBSTITUTE(AM44, ", ",","))</f>
        <v>53</v>
      </c>
      <c r="AO44" s="13" t="s">
        <v>780</v>
      </c>
      <c r="AP44" s="13" t="s">
        <v>951</v>
      </c>
      <c r="AQ44" s="13"/>
      <c r="AR44" s="13"/>
      <c r="AS44" s="13"/>
      <c r="AT44" s="13"/>
      <c r="AU44" s="13"/>
      <c r="AV44" s="13"/>
      <c r="AW44" s="13"/>
      <c r="AX44" s="13" t="s">
        <v>952</v>
      </c>
      <c r="AY44" s="13" t="s">
        <v>953</v>
      </c>
      <c r="AZ44" s="13"/>
      <c r="BA44" s="13"/>
      <c r="BB44" s="13"/>
      <c r="BC44" s="13" t="s">
        <v>786</v>
      </c>
      <c r="BD44" s="13" t="s">
        <v>216</v>
      </c>
      <c r="BE44" s="13" t="s">
        <v>787</v>
      </c>
      <c r="BF44" s="13"/>
      <c r="BG44" s="13"/>
      <c r="BH44" s="16" t="s">
        <v>954</v>
      </c>
      <c r="BI44" s="13"/>
      <c r="BJ44" s="13"/>
      <c r="BK44" s="13"/>
      <c r="BL44" s="13"/>
      <c r="BM44" s="13"/>
      <c r="BN44" s="1" t="s">
        <v>1120</v>
      </c>
    </row>
    <row r="45" spans="1:66" ht="12" customHeight="1">
      <c r="A45" s="10" t="s">
        <v>438</v>
      </c>
      <c r="B45" s="10" t="s">
        <v>230</v>
      </c>
      <c r="C45" s="11" t="s">
        <v>290</v>
      </c>
      <c r="D45" s="11"/>
      <c r="E45" s="11" t="s">
        <v>290</v>
      </c>
      <c r="F45" s="11"/>
      <c r="G45" s="11" t="s">
        <v>290</v>
      </c>
      <c r="H45" s="12" t="s">
        <v>424</v>
      </c>
      <c r="I45" s="11"/>
      <c r="J45" s="11"/>
      <c r="K45" s="11"/>
      <c r="L45" s="11"/>
      <c r="M45" s="11"/>
      <c r="N45" s="11"/>
      <c r="O45" s="11"/>
      <c r="P45" s="11"/>
      <c r="Q45" s="11"/>
      <c r="R45" s="11">
        <v>139</v>
      </c>
      <c r="S45" s="11" t="s">
        <v>465</v>
      </c>
      <c r="T45" s="13" t="s">
        <v>483</v>
      </c>
      <c r="U45" s="11" t="s">
        <v>382</v>
      </c>
      <c r="V45" s="13" t="s">
        <v>382</v>
      </c>
      <c r="W45" s="13" t="s">
        <v>222</v>
      </c>
      <c r="X45" s="13" t="s">
        <v>382</v>
      </c>
      <c r="Y45" s="14" t="s">
        <v>382</v>
      </c>
      <c r="Z45" s="13" t="s">
        <v>211</v>
      </c>
      <c r="AA45" s="11" t="s">
        <v>304</v>
      </c>
      <c r="AB45" s="11">
        <v>42291802</v>
      </c>
      <c r="AC45" s="11">
        <v>906293</v>
      </c>
      <c r="AD45" s="11" t="s">
        <v>291</v>
      </c>
      <c r="AE45" s="11" t="s">
        <v>304</v>
      </c>
      <c r="AF45" s="11" t="s">
        <v>291</v>
      </c>
      <c r="AG45" s="11" t="s">
        <v>114</v>
      </c>
      <c r="AH45" s="15" t="s">
        <v>562</v>
      </c>
      <c r="AI45" s="13"/>
      <c r="AJ45" s="13"/>
      <c r="AK45" s="13" t="s">
        <v>670</v>
      </c>
      <c r="AL45" s="13" t="s">
        <v>671</v>
      </c>
      <c r="AM45" s="13" t="s">
        <v>671</v>
      </c>
      <c r="AN45" s="13">
        <f>LEN(SUBSTITUTE(AM45, ", ",","))</f>
        <v>117</v>
      </c>
      <c r="AO45" s="13" t="s">
        <v>955</v>
      </c>
      <c r="AP45" s="13" t="s">
        <v>956</v>
      </c>
      <c r="AQ45" s="13" t="s">
        <v>957</v>
      </c>
      <c r="AR45" s="13">
        <v>1</v>
      </c>
      <c r="AS45" s="13"/>
      <c r="AT45" s="13" t="s">
        <v>958</v>
      </c>
      <c r="AU45" s="13"/>
      <c r="AV45" s="13"/>
      <c r="AW45" s="13"/>
      <c r="AX45" s="13"/>
      <c r="AY45" s="13" t="s">
        <v>959</v>
      </c>
      <c r="AZ45" s="13"/>
      <c r="BA45" s="13"/>
      <c r="BB45" s="13"/>
      <c r="BC45" s="13" t="s">
        <v>786</v>
      </c>
      <c r="BD45" s="13"/>
      <c r="BE45" s="13" t="s">
        <v>742</v>
      </c>
      <c r="BF45" s="13"/>
      <c r="BG45" s="13"/>
      <c r="BH45" s="16" t="s">
        <v>960</v>
      </c>
      <c r="BI45" s="13"/>
      <c r="BJ45" s="13"/>
      <c r="BK45" s="13"/>
      <c r="BL45" s="13"/>
      <c r="BM45" s="13"/>
      <c r="BN45" s="1" t="s">
        <v>1120</v>
      </c>
    </row>
    <row r="46" spans="1:66" ht="12" customHeight="1">
      <c r="A46" s="10" t="s">
        <v>438</v>
      </c>
      <c r="B46" s="10" t="s">
        <v>230</v>
      </c>
      <c r="C46" s="11" t="s">
        <v>290</v>
      </c>
      <c r="D46" s="11"/>
      <c r="E46" s="11" t="s">
        <v>290</v>
      </c>
      <c r="F46" s="11"/>
      <c r="G46" s="11" t="s">
        <v>290</v>
      </c>
      <c r="H46" s="12" t="s">
        <v>424</v>
      </c>
      <c r="I46" s="11"/>
      <c r="J46" s="11"/>
      <c r="K46" s="11"/>
      <c r="L46" s="11"/>
      <c r="M46" s="11"/>
      <c r="N46" s="11"/>
      <c r="O46" s="11"/>
      <c r="P46" s="11"/>
      <c r="Q46" s="11"/>
      <c r="R46" s="11">
        <v>142</v>
      </c>
      <c r="S46" s="11" t="s">
        <v>446</v>
      </c>
      <c r="T46" s="13" t="s">
        <v>489</v>
      </c>
      <c r="U46" s="11" t="s">
        <v>376</v>
      </c>
      <c r="V46" s="13" t="s">
        <v>376</v>
      </c>
      <c r="W46" s="13" t="s">
        <v>298</v>
      </c>
      <c r="X46" s="13" t="s">
        <v>376</v>
      </c>
      <c r="Y46" s="14" t="s">
        <v>436</v>
      </c>
      <c r="Z46" s="13" t="s">
        <v>22</v>
      </c>
      <c r="AA46" s="11" t="s">
        <v>38</v>
      </c>
      <c r="AB46" s="11"/>
      <c r="AC46" s="11"/>
      <c r="AD46" s="11" t="s">
        <v>291</v>
      </c>
      <c r="AE46" s="11" t="s">
        <v>291</v>
      </c>
      <c r="AF46" s="11" t="s">
        <v>291</v>
      </c>
      <c r="AG46" s="11" t="s">
        <v>291</v>
      </c>
      <c r="AH46" s="16" t="s">
        <v>561</v>
      </c>
      <c r="AI46" s="13" t="s">
        <v>96</v>
      </c>
      <c r="AJ46" s="17" t="s">
        <v>587</v>
      </c>
      <c r="AK46" s="13" t="s">
        <v>38</v>
      </c>
      <c r="AL46" s="13" t="s">
        <v>672</v>
      </c>
      <c r="AM46" s="13" t="s">
        <v>672</v>
      </c>
      <c r="AN46" s="13">
        <f>LEN(SUBSTITUTE(AM46, ", ",","))</f>
        <v>45</v>
      </c>
      <c r="AO46" s="13" t="s">
        <v>780</v>
      </c>
      <c r="AP46" s="13" t="s">
        <v>951</v>
      </c>
      <c r="AQ46" s="13" t="s">
        <v>961</v>
      </c>
      <c r="AR46" s="13"/>
      <c r="AS46" s="13"/>
      <c r="AT46" s="13"/>
      <c r="AU46" s="13"/>
      <c r="AV46" s="13"/>
      <c r="AW46" s="13"/>
      <c r="AX46" s="13" t="s">
        <v>962</v>
      </c>
      <c r="AY46" s="13"/>
      <c r="AZ46" s="13"/>
      <c r="BA46" s="13"/>
      <c r="BB46" s="13"/>
      <c r="BC46" s="13"/>
      <c r="BD46" s="13" t="s">
        <v>963</v>
      </c>
      <c r="BE46" s="13"/>
      <c r="BF46" s="13"/>
      <c r="BG46" s="13"/>
      <c r="BH46" s="16" t="s">
        <v>884</v>
      </c>
      <c r="BI46" s="13"/>
      <c r="BJ46" s="13"/>
      <c r="BK46" s="13"/>
      <c r="BL46" s="13"/>
      <c r="BM46" s="13"/>
      <c r="BN46" s="1" t="s">
        <v>1120</v>
      </c>
    </row>
    <row r="47" spans="1:66" ht="12" customHeight="1">
      <c r="A47" s="10" t="s">
        <v>438</v>
      </c>
      <c r="B47" s="10" t="s">
        <v>230</v>
      </c>
      <c r="C47" s="11" t="s">
        <v>290</v>
      </c>
      <c r="D47" s="11"/>
      <c r="E47" s="11" t="s">
        <v>290</v>
      </c>
      <c r="F47" s="11"/>
      <c r="G47" s="11" t="s">
        <v>290</v>
      </c>
      <c r="H47" s="12" t="s">
        <v>424</v>
      </c>
      <c r="I47" s="11"/>
      <c r="J47" s="11"/>
      <c r="K47" s="11"/>
      <c r="L47" s="11"/>
      <c r="M47" s="11"/>
      <c r="N47" s="11"/>
      <c r="O47" s="11"/>
      <c r="P47" s="11"/>
      <c r="Q47" s="11"/>
      <c r="R47" s="11">
        <v>146</v>
      </c>
      <c r="S47" s="11" t="s">
        <v>16</v>
      </c>
      <c r="T47" s="13" t="s">
        <v>490</v>
      </c>
      <c r="U47" s="11" t="s">
        <v>340</v>
      </c>
      <c r="V47" s="13" t="s">
        <v>340</v>
      </c>
      <c r="W47" s="13" t="s">
        <v>208</v>
      </c>
      <c r="X47" s="13" t="s">
        <v>340</v>
      </c>
      <c r="Y47" s="14" t="s">
        <v>340</v>
      </c>
      <c r="Z47" s="13" t="s">
        <v>338</v>
      </c>
      <c r="AA47" s="11" t="s">
        <v>126</v>
      </c>
      <c r="AB47" s="11">
        <v>42293107</v>
      </c>
      <c r="AC47" s="11">
        <v>7362381</v>
      </c>
      <c r="AD47" s="11" t="s">
        <v>291</v>
      </c>
      <c r="AE47" s="11" t="s">
        <v>422</v>
      </c>
      <c r="AF47" s="11" t="s">
        <v>291</v>
      </c>
      <c r="AG47" s="11" t="s">
        <v>143</v>
      </c>
      <c r="AH47" s="15" t="s">
        <v>563</v>
      </c>
      <c r="AI47" s="13"/>
      <c r="AJ47" s="13"/>
      <c r="AK47" s="13" t="s">
        <v>673</v>
      </c>
      <c r="AL47" s="13" t="s">
        <v>674</v>
      </c>
      <c r="AM47" s="13" t="s">
        <v>674</v>
      </c>
      <c r="AN47" s="13">
        <f>LEN(SUBSTITUTE(AM47, ", ",","))</f>
        <v>149</v>
      </c>
      <c r="AO47" s="13" t="s">
        <v>964</v>
      </c>
      <c r="AP47" s="13" t="s">
        <v>956</v>
      </c>
      <c r="AQ47" s="13" t="s">
        <v>965</v>
      </c>
      <c r="AR47" s="13"/>
      <c r="AS47" s="13"/>
      <c r="AT47" s="13" t="s">
        <v>966</v>
      </c>
      <c r="AU47" s="13" t="s">
        <v>967</v>
      </c>
      <c r="AV47" s="13"/>
      <c r="AW47" s="13"/>
      <c r="AX47" s="13"/>
      <c r="AY47" s="13" t="s">
        <v>968</v>
      </c>
      <c r="AZ47" s="13" t="s">
        <v>785</v>
      </c>
      <c r="BA47" s="13"/>
      <c r="BB47" s="13"/>
      <c r="BC47" s="13" t="s">
        <v>786</v>
      </c>
      <c r="BD47" s="13"/>
      <c r="BE47" s="13" t="s">
        <v>787</v>
      </c>
      <c r="BF47" s="13"/>
      <c r="BG47" s="13"/>
      <c r="BH47" s="16" t="s">
        <v>969</v>
      </c>
      <c r="BI47" s="13"/>
      <c r="BJ47" s="13"/>
      <c r="BK47" s="13"/>
      <c r="BL47" s="13"/>
      <c r="BM47" s="13"/>
      <c r="BN47" s="1" t="s">
        <v>1120</v>
      </c>
    </row>
    <row r="48" spans="1:66" ht="12" customHeight="1">
      <c r="A48" s="10" t="s">
        <v>438</v>
      </c>
      <c r="B48" s="10" t="s">
        <v>230</v>
      </c>
      <c r="C48" s="11" t="s">
        <v>290</v>
      </c>
      <c r="D48" s="11"/>
      <c r="E48" s="11" t="s">
        <v>290</v>
      </c>
      <c r="F48" s="11"/>
      <c r="G48" s="11" t="s">
        <v>290</v>
      </c>
      <c r="H48" s="12" t="s">
        <v>424</v>
      </c>
      <c r="I48" s="11"/>
      <c r="J48" s="11"/>
      <c r="K48" s="11"/>
      <c r="L48" s="11"/>
      <c r="M48" s="11"/>
      <c r="N48" s="11"/>
      <c r="O48" s="11"/>
      <c r="P48" s="11"/>
      <c r="Q48" s="11"/>
      <c r="R48" s="11">
        <v>147</v>
      </c>
      <c r="S48" s="11" t="s">
        <v>213</v>
      </c>
      <c r="T48" s="13" t="s">
        <v>491</v>
      </c>
      <c r="U48" s="11" t="s">
        <v>34</v>
      </c>
      <c r="V48" s="13" t="s">
        <v>509</v>
      </c>
      <c r="W48" s="13" t="s">
        <v>385</v>
      </c>
      <c r="X48" s="13" t="s">
        <v>509</v>
      </c>
      <c r="Y48" s="14" t="s">
        <v>522</v>
      </c>
      <c r="Z48" s="13" t="s">
        <v>523</v>
      </c>
      <c r="AA48" s="11" t="s">
        <v>226</v>
      </c>
      <c r="AB48" s="11"/>
      <c r="AC48" s="11"/>
      <c r="AD48" s="11" t="s">
        <v>291</v>
      </c>
      <c r="AE48" s="11" t="s">
        <v>291</v>
      </c>
      <c r="AF48" s="11" t="s">
        <v>291</v>
      </c>
      <c r="AG48" s="11" t="s">
        <v>291</v>
      </c>
      <c r="AH48" s="15" t="s">
        <v>564</v>
      </c>
      <c r="AI48" s="17" t="s">
        <v>592</v>
      </c>
      <c r="AJ48" s="17" t="s">
        <v>593</v>
      </c>
      <c r="AK48" s="13" t="s">
        <v>675</v>
      </c>
      <c r="AL48" s="13" t="s">
        <v>676</v>
      </c>
      <c r="AM48" s="13" t="s">
        <v>676</v>
      </c>
      <c r="AN48" s="13">
        <f>LEN(SUBSTITUTE(AM48, ", ",","))</f>
        <v>120</v>
      </c>
      <c r="AO48" s="13" t="s">
        <v>970</v>
      </c>
      <c r="AP48" s="13" t="s">
        <v>971</v>
      </c>
      <c r="AQ48" s="13"/>
      <c r="AR48" s="13" t="s">
        <v>972</v>
      </c>
      <c r="AS48" s="13" t="s">
        <v>869</v>
      </c>
      <c r="AT48" s="13"/>
      <c r="AU48" s="13"/>
      <c r="AV48" s="13"/>
      <c r="AW48" s="13"/>
      <c r="AX48" s="13"/>
      <c r="AY48" s="13" t="s">
        <v>973</v>
      </c>
      <c r="AZ48" s="13" t="s">
        <v>974</v>
      </c>
      <c r="BA48" s="13"/>
      <c r="BB48" s="13"/>
      <c r="BC48" s="13" t="s">
        <v>786</v>
      </c>
      <c r="BD48" s="13" t="s">
        <v>975</v>
      </c>
      <c r="BE48" s="13" t="s">
        <v>742</v>
      </c>
      <c r="BF48" s="13" t="s">
        <v>761</v>
      </c>
      <c r="BG48" s="13"/>
      <c r="BH48" s="16" t="s">
        <v>976</v>
      </c>
      <c r="BI48" s="13"/>
      <c r="BJ48" s="13"/>
      <c r="BK48" s="13"/>
      <c r="BL48" s="13"/>
      <c r="BM48" s="13"/>
      <c r="BN48" s="1" t="s">
        <v>1120</v>
      </c>
    </row>
    <row r="49" spans="1:66" ht="12" customHeight="1">
      <c r="A49" s="10" t="s">
        <v>438</v>
      </c>
      <c r="B49" s="10" t="s">
        <v>230</v>
      </c>
      <c r="C49" s="11" t="s">
        <v>290</v>
      </c>
      <c r="D49" s="11"/>
      <c r="E49" s="11" t="s">
        <v>290</v>
      </c>
      <c r="F49" s="11"/>
      <c r="G49" s="11" t="s">
        <v>290</v>
      </c>
      <c r="H49" s="12" t="s">
        <v>424</v>
      </c>
      <c r="I49" s="11"/>
      <c r="J49" s="11"/>
      <c r="K49" s="11"/>
      <c r="L49" s="11"/>
      <c r="M49" s="11"/>
      <c r="N49" s="11"/>
      <c r="O49" s="11"/>
      <c r="P49" s="11"/>
      <c r="Q49" s="11"/>
      <c r="R49" s="11">
        <v>148</v>
      </c>
      <c r="S49" s="11" t="s">
        <v>42</v>
      </c>
      <c r="T49" s="13" t="s">
        <v>492</v>
      </c>
      <c r="U49" s="11" t="s">
        <v>193</v>
      </c>
      <c r="V49" s="13" t="s">
        <v>510</v>
      </c>
      <c r="W49" s="13" t="s">
        <v>13</v>
      </c>
      <c r="X49" s="13" t="s">
        <v>510</v>
      </c>
      <c r="Y49" s="14" t="s">
        <v>510</v>
      </c>
      <c r="Z49" s="13" t="s">
        <v>524</v>
      </c>
      <c r="AA49" s="11" t="s">
        <v>176</v>
      </c>
      <c r="AB49" s="11"/>
      <c r="AC49" s="11"/>
      <c r="AD49" s="11" t="s">
        <v>291</v>
      </c>
      <c r="AE49" s="11" t="s">
        <v>291</v>
      </c>
      <c r="AF49" s="11" t="s">
        <v>291</v>
      </c>
      <c r="AG49" s="11" t="s">
        <v>291</v>
      </c>
      <c r="AH49" s="15" t="s">
        <v>565</v>
      </c>
      <c r="AI49" s="13"/>
      <c r="AJ49" s="13"/>
      <c r="AK49" s="13" t="s">
        <v>677</v>
      </c>
      <c r="AL49" s="13" t="s">
        <v>678</v>
      </c>
      <c r="AM49" s="13" t="s">
        <v>678</v>
      </c>
      <c r="AN49" s="13">
        <f>LEN(SUBSTITUTE(AM49, ", ",","))</f>
        <v>114</v>
      </c>
      <c r="AO49" s="13" t="s">
        <v>977</v>
      </c>
      <c r="AP49" s="13" t="s">
        <v>978</v>
      </c>
      <c r="AQ49" s="13"/>
      <c r="AR49" s="13"/>
      <c r="AS49" s="13"/>
      <c r="AT49" s="13" t="s">
        <v>979</v>
      </c>
      <c r="AU49" s="13"/>
      <c r="AV49" s="13"/>
      <c r="AW49" s="13"/>
      <c r="AX49" s="13"/>
      <c r="AY49" s="13" t="s">
        <v>980</v>
      </c>
      <c r="AZ49" s="13" t="s">
        <v>981</v>
      </c>
      <c r="BA49" s="13"/>
      <c r="BB49" s="13" t="s">
        <v>982</v>
      </c>
      <c r="BC49" s="13"/>
      <c r="BD49" s="13"/>
      <c r="BE49" s="13" t="s">
        <v>816</v>
      </c>
      <c r="BF49" s="13"/>
      <c r="BG49" s="13"/>
      <c r="BH49" s="16" t="s">
        <v>983</v>
      </c>
      <c r="BI49" s="13"/>
      <c r="BJ49" s="13"/>
      <c r="BK49" s="13"/>
      <c r="BL49" s="13"/>
      <c r="BM49" s="13"/>
      <c r="BN49" s="1" t="s">
        <v>1120</v>
      </c>
    </row>
    <row r="50" spans="1:66" ht="12" customHeight="1">
      <c r="A50" s="10" t="s">
        <v>438</v>
      </c>
      <c r="B50" s="10" t="s">
        <v>230</v>
      </c>
      <c r="C50" s="11" t="s">
        <v>290</v>
      </c>
      <c r="D50" s="11"/>
      <c r="E50" s="11" t="s">
        <v>290</v>
      </c>
      <c r="F50" s="11"/>
      <c r="G50" s="11" t="s">
        <v>290</v>
      </c>
      <c r="H50" s="12" t="s">
        <v>424</v>
      </c>
      <c r="I50" s="11"/>
      <c r="J50" s="11"/>
      <c r="K50" s="11"/>
      <c r="L50" s="11"/>
      <c r="M50" s="11"/>
      <c r="N50" s="11"/>
      <c r="O50" s="11"/>
      <c r="P50" s="11"/>
      <c r="Q50" s="11"/>
      <c r="R50" s="11">
        <v>149</v>
      </c>
      <c r="S50" s="11" t="s">
        <v>180</v>
      </c>
      <c r="T50" s="13" t="s">
        <v>493</v>
      </c>
      <c r="U50" s="11" t="s">
        <v>399</v>
      </c>
      <c r="V50" s="13" t="s">
        <v>399</v>
      </c>
      <c r="W50" s="13" t="s">
        <v>336</v>
      </c>
      <c r="X50" s="13" t="s">
        <v>399</v>
      </c>
      <c r="Y50" s="14" t="s">
        <v>343</v>
      </c>
      <c r="Z50" s="13" t="s">
        <v>111</v>
      </c>
      <c r="AA50" s="11" t="s">
        <v>324</v>
      </c>
      <c r="AB50" s="11"/>
      <c r="AC50" s="11"/>
      <c r="AD50" s="11" t="s">
        <v>291</v>
      </c>
      <c r="AE50" s="11" t="s">
        <v>291</v>
      </c>
      <c r="AF50" s="11" t="s">
        <v>291</v>
      </c>
      <c r="AG50" s="11" t="s">
        <v>291</v>
      </c>
      <c r="AH50" s="16" t="s">
        <v>542</v>
      </c>
      <c r="AI50" s="13" t="s">
        <v>96</v>
      </c>
      <c r="AJ50" s="17" t="s">
        <v>587</v>
      </c>
      <c r="AK50" s="13" t="s">
        <v>679</v>
      </c>
      <c r="AL50" s="13" t="s">
        <v>680</v>
      </c>
      <c r="AM50" s="13" t="s">
        <v>680</v>
      </c>
      <c r="AN50" s="13">
        <f>LEN(SUBSTITUTE(AM50, ", ",","))</f>
        <v>97</v>
      </c>
      <c r="AO50" s="13" t="s">
        <v>780</v>
      </c>
      <c r="AP50" s="13" t="s">
        <v>781</v>
      </c>
      <c r="AQ50" s="13" t="s">
        <v>984</v>
      </c>
      <c r="AR50" s="13" t="s">
        <v>985</v>
      </c>
      <c r="AS50" s="13"/>
      <c r="AT50" s="13" t="s">
        <v>986</v>
      </c>
      <c r="AU50" s="13"/>
      <c r="AV50" s="13"/>
      <c r="AW50" s="13"/>
      <c r="AX50" s="13" t="s">
        <v>987</v>
      </c>
      <c r="AY50" s="13" t="s">
        <v>988</v>
      </c>
      <c r="AZ50" s="13"/>
      <c r="BA50" s="13"/>
      <c r="BB50" s="13"/>
      <c r="BC50" s="13" t="s">
        <v>759</v>
      </c>
      <c r="BD50" s="13" t="s">
        <v>989</v>
      </c>
      <c r="BE50" s="13" t="s">
        <v>787</v>
      </c>
      <c r="BF50" s="13"/>
      <c r="BG50" s="13"/>
      <c r="BH50" s="16" t="s">
        <v>990</v>
      </c>
      <c r="BI50" s="13"/>
      <c r="BJ50" s="13"/>
      <c r="BK50" s="13"/>
      <c r="BL50" s="13"/>
      <c r="BM50" s="13"/>
      <c r="BN50" s="1" t="s">
        <v>1120</v>
      </c>
    </row>
    <row r="51" spans="1:66" ht="12" customHeight="1">
      <c r="A51" s="10" t="s">
        <v>438</v>
      </c>
      <c r="B51" s="10" t="s">
        <v>230</v>
      </c>
      <c r="C51" s="11" t="s">
        <v>290</v>
      </c>
      <c r="D51" s="11"/>
      <c r="E51" s="11" t="s">
        <v>290</v>
      </c>
      <c r="F51" s="11"/>
      <c r="G51" s="11" t="s">
        <v>290</v>
      </c>
      <c r="H51" s="12" t="s">
        <v>424</v>
      </c>
      <c r="I51" s="11"/>
      <c r="J51" s="11"/>
      <c r="K51" s="11"/>
      <c r="L51" s="11"/>
      <c r="M51" s="11"/>
      <c r="N51" s="11"/>
      <c r="O51" s="11"/>
      <c r="P51" s="11"/>
      <c r="Q51" s="11"/>
      <c r="R51" s="11">
        <v>150</v>
      </c>
      <c r="S51" s="11" t="s">
        <v>466</v>
      </c>
      <c r="T51" s="13" t="s">
        <v>494</v>
      </c>
      <c r="U51" s="11" t="s">
        <v>156</v>
      </c>
      <c r="V51" s="13" t="s">
        <v>156</v>
      </c>
      <c r="W51" s="13" t="s">
        <v>36</v>
      </c>
      <c r="X51" s="13" t="s">
        <v>156</v>
      </c>
      <c r="Y51" s="14" t="s">
        <v>156</v>
      </c>
      <c r="Z51" s="13" t="s">
        <v>172</v>
      </c>
      <c r="AA51" s="11" t="s">
        <v>162</v>
      </c>
      <c r="AB51" s="11"/>
      <c r="AC51" s="11"/>
      <c r="AD51" s="11" t="s">
        <v>291</v>
      </c>
      <c r="AE51" s="11" t="s">
        <v>291</v>
      </c>
      <c r="AF51" s="11" t="s">
        <v>291</v>
      </c>
      <c r="AG51" s="11" t="s">
        <v>291</v>
      </c>
      <c r="AH51" s="15" t="s">
        <v>566</v>
      </c>
      <c r="AI51" s="13"/>
      <c r="AJ51" s="13"/>
      <c r="AK51" s="13" t="s">
        <v>162</v>
      </c>
      <c r="AL51" s="13" t="s">
        <v>681</v>
      </c>
      <c r="AM51" s="13" t="s">
        <v>681</v>
      </c>
      <c r="AN51" s="13">
        <f>LEN(SUBSTITUTE(AM51, ", ",","))</f>
        <v>135</v>
      </c>
      <c r="AO51" s="13" t="s">
        <v>955</v>
      </c>
      <c r="AP51" s="13" t="s">
        <v>897</v>
      </c>
      <c r="AQ51" s="13" t="s">
        <v>991</v>
      </c>
      <c r="AR51" s="13" t="s">
        <v>992</v>
      </c>
      <c r="AS51" s="13"/>
      <c r="AT51" s="13" t="s">
        <v>993</v>
      </c>
      <c r="AU51" s="13" t="s">
        <v>994</v>
      </c>
      <c r="AV51" s="13"/>
      <c r="AW51" s="13"/>
      <c r="AX51" s="13"/>
      <c r="AY51" s="13" t="s">
        <v>995</v>
      </c>
      <c r="AZ51" s="13"/>
      <c r="BA51" s="13"/>
      <c r="BB51" s="13"/>
      <c r="BC51" s="13"/>
      <c r="BD51" s="13"/>
      <c r="BE51" s="13"/>
      <c r="BF51" s="13"/>
      <c r="BG51" s="13"/>
      <c r="BH51" s="16" t="s">
        <v>884</v>
      </c>
      <c r="BI51" s="13"/>
      <c r="BJ51" s="13"/>
      <c r="BK51" s="13"/>
      <c r="BL51" s="13"/>
      <c r="BM51" s="13"/>
      <c r="BN51" s="1" t="s">
        <v>1120</v>
      </c>
    </row>
    <row r="52" spans="1:66" ht="12" customHeight="1">
      <c r="A52" s="10" t="s">
        <v>438</v>
      </c>
      <c r="B52" s="10" t="s">
        <v>230</v>
      </c>
      <c r="C52" s="11" t="s">
        <v>290</v>
      </c>
      <c r="D52" s="11"/>
      <c r="E52" s="11" t="s">
        <v>290</v>
      </c>
      <c r="F52" s="11"/>
      <c r="G52" s="11" t="s">
        <v>290</v>
      </c>
      <c r="H52" s="12" t="s">
        <v>424</v>
      </c>
      <c r="I52" s="11"/>
      <c r="J52" s="11"/>
      <c r="K52" s="11"/>
      <c r="L52" s="11"/>
      <c r="M52" s="11"/>
      <c r="N52" s="11"/>
      <c r="O52" s="11"/>
      <c r="P52" s="11"/>
      <c r="Q52" s="11"/>
      <c r="R52" s="11">
        <v>151</v>
      </c>
      <c r="S52" s="11" t="s">
        <v>375</v>
      </c>
      <c r="T52" s="13" t="s">
        <v>495</v>
      </c>
      <c r="U52" s="11" t="s">
        <v>35</v>
      </c>
      <c r="V52" s="13" t="s">
        <v>35</v>
      </c>
      <c r="W52" s="13" t="s">
        <v>65</v>
      </c>
      <c r="X52" s="13" t="s">
        <v>35</v>
      </c>
      <c r="Y52" s="14" t="s">
        <v>39</v>
      </c>
      <c r="Z52" s="13" t="s">
        <v>254</v>
      </c>
      <c r="AA52" s="11" t="s">
        <v>404</v>
      </c>
      <c r="AB52" s="11">
        <v>42321506</v>
      </c>
      <c r="AC52" s="11">
        <v>38511552</v>
      </c>
      <c r="AD52" s="11" t="s">
        <v>291</v>
      </c>
      <c r="AE52" s="11" t="s">
        <v>377</v>
      </c>
      <c r="AF52" s="11" t="s">
        <v>291</v>
      </c>
      <c r="AG52" s="11" t="s">
        <v>65</v>
      </c>
      <c r="AH52" s="16" t="s">
        <v>542</v>
      </c>
      <c r="AI52" s="13" t="s">
        <v>96</v>
      </c>
      <c r="AJ52" s="17" t="s">
        <v>587</v>
      </c>
      <c r="AK52" s="13" t="s">
        <v>682</v>
      </c>
      <c r="AL52" s="13" t="s">
        <v>683</v>
      </c>
      <c r="AM52" s="13" t="s">
        <v>683</v>
      </c>
      <c r="AN52" s="13">
        <f>LEN(SUBSTITUTE(AM52, ", ",","))</f>
        <v>64</v>
      </c>
      <c r="AO52" s="13" t="s">
        <v>780</v>
      </c>
      <c r="AP52" s="13" t="s">
        <v>781</v>
      </c>
      <c r="AQ52" s="13" t="s">
        <v>996</v>
      </c>
      <c r="AR52" s="13"/>
      <c r="AS52" s="13"/>
      <c r="AT52" s="13" t="s">
        <v>997</v>
      </c>
      <c r="AU52" s="13" t="s">
        <v>998</v>
      </c>
      <c r="AV52" s="13"/>
      <c r="AW52" s="13"/>
      <c r="AX52" s="13" t="s">
        <v>987</v>
      </c>
      <c r="AY52" s="13"/>
      <c r="AZ52" s="13"/>
      <c r="BA52" s="13"/>
      <c r="BB52" s="13"/>
      <c r="BC52" s="13" t="s">
        <v>786</v>
      </c>
      <c r="BD52" s="13" t="s">
        <v>999</v>
      </c>
      <c r="BE52" s="13" t="s">
        <v>742</v>
      </c>
      <c r="BF52" s="13"/>
      <c r="BG52" s="13" t="s">
        <v>1000</v>
      </c>
      <c r="BH52" s="16" t="s">
        <v>1001</v>
      </c>
      <c r="BI52" s="13"/>
      <c r="BJ52" s="13"/>
      <c r="BK52" s="13"/>
      <c r="BL52" s="13"/>
      <c r="BM52" s="13"/>
      <c r="BN52" s="1" t="s">
        <v>1120</v>
      </c>
    </row>
    <row r="53" spans="1:66" ht="12" customHeight="1">
      <c r="A53" s="10" t="s">
        <v>438</v>
      </c>
      <c r="B53" s="10" t="s">
        <v>230</v>
      </c>
      <c r="C53" s="11" t="s">
        <v>290</v>
      </c>
      <c r="D53" s="11"/>
      <c r="E53" s="11" t="s">
        <v>290</v>
      </c>
      <c r="F53" s="11"/>
      <c r="G53" s="11" t="s">
        <v>290</v>
      </c>
      <c r="H53" s="12" t="s">
        <v>424</v>
      </c>
      <c r="I53" s="11"/>
      <c r="J53" s="11"/>
      <c r="K53" s="11"/>
      <c r="L53" s="11"/>
      <c r="M53" s="11"/>
      <c r="N53" s="11"/>
      <c r="O53" s="11"/>
      <c r="P53" s="11"/>
      <c r="Q53" s="11"/>
      <c r="R53" s="11">
        <v>156</v>
      </c>
      <c r="S53" s="11" t="s">
        <v>102</v>
      </c>
      <c r="T53" s="13" t="s">
        <v>481</v>
      </c>
      <c r="U53" s="11" t="s">
        <v>251</v>
      </c>
      <c r="V53" s="13" t="s">
        <v>251</v>
      </c>
      <c r="W53" s="13" t="s">
        <v>481</v>
      </c>
      <c r="X53" s="13" t="s">
        <v>251</v>
      </c>
      <c r="Y53" s="14" t="s">
        <v>55</v>
      </c>
      <c r="Z53" s="13" t="s">
        <v>525</v>
      </c>
      <c r="AA53" s="11" t="s">
        <v>135</v>
      </c>
      <c r="AB53" s="11">
        <v>42321600</v>
      </c>
      <c r="AC53" s="11">
        <v>34221929</v>
      </c>
      <c r="AD53" s="11" t="s">
        <v>291</v>
      </c>
      <c r="AE53" s="11" t="s">
        <v>30</v>
      </c>
      <c r="AF53" s="11" t="s">
        <v>291</v>
      </c>
      <c r="AG53" s="11" t="s">
        <v>419</v>
      </c>
      <c r="AH53" s="16" t="s">
        <v>561</v>
      </c>
      <c r="AI53" s="13" t="s">
        <v>96</v>
      </c>
      <c r="AJ53" s="17" t="s">
        <v>587</v>
      </c>
      <c r="AK53" s="13" t="s">
        <v>684</v>
      </c>
      <c r="AL53" s="13" t="s">
        <v>685</v>
      </c>
      <c r="AM53" s="13" t="s">
        <v>685</v>
      </c>
      <c r="AN53" s="13">
        <f>LEN(SUBSTITUTE(AM53, ", ",","))</f>
        <v>58</v>
      </c>
      <c r="AO53" s="13" t="s">
        <v>780</v>
      </c>
      <c r="AP53" s="13" t="s">
        <v>951</v>
      </c>
      <c r="AQ53" s="13" t="s">
        <v>856</v>
      </c>
      <c r="AR53" s="13"/>
      <c r="AS53" s="13"/>
      <c r="AT53" s="13" t="s">
        <v>1002</v>
      </c>
      <c r="AU53" s="13"/>
      <c r="AV53" s="13"/>
      <c r="AW53" s="13"/>
      <c r="AX53" s="13"/>
      <c r="AY53" s="13" t="s">
        <v>859</v>
      </c>
      <c r="AZ53" s="13"/>
      <c r="BA53" s="13"/>
      <c r="BB53" s="13"/>
      <c r="BC53" s="13" t="s">
        <v>786</v>
      </c>
      <c r="BD53" s="13" t="s">
        <v>216</v>
      </c>
      <c r="BE53" s="13" t="s">
        <v>787</v>
      </c>
      <c r="BF53" s="13"/>
      <c r="BG53" s="13"/>
      <c r="BH53" s="16" t="s">
        <v>1003</v>
      </c>
      <c r="BI53" s="13"/>
      <c r="BJ53" s="13"/>
      <c r="BK53" s="13"/>
      <c r="BL53" s="13"/>
      <c r="BM53" s="13"/>
      <c r="BN53" s="1" t="s">
        <v>1120</v>
      </c>
    </row>
    <row r="54" spans="1:66" ht="12" customHeight="1">
      <c r="A54" s="10" t="s">
        <v>438</v>
      </c>
      <c r="B54" s="10" t="s">
        <v>230</v>
      </c>
      <c r="C54" s="11" t="s">
        <v>290</v>
      </c>
      <c r="D54" s="11"/>
      <c r="E54" s="11" t="s">
        <v>290</v>
      </c>
      <c r="F54" s="11"/>
      <c r="G54" s="11" t="s">
        <v>290</v>
      </c>
      <c r="H54" s="12" t="s">
        <v>424</v>
      </c>
      <c r="I54" s="11"/>
      <c r="J54" s="11"/>
      <c r="K54" s="11"/>
      <c r="L54" s="11"/>
      <c r="M54" s="11"/>
      <c r="N54" s="11"/>
      <c r="O54" s="11"/>
      <c r="P54" s="11"/>
      <c r="Q54" s="11"/>
      <c r="R54" s="11">
        <v>162</v>
      </c>
      <c r="S54" s="11" t="s">
        <v>435</v>
      </c>
      <c r="T54" s="13" t="s">
        <v>487</v>
      </c>
      <c r="U54" s="11" t="s">
        <v>464</v>
      </c>
      <c r="V54" s="13" t="s">
        <v>464</v>
      </c>
      <c r="W54" s="13" t="s">
        <v>360</v>
      </c>
      <c r="X54" s="13" t="s">
        <v>464</v>
      </c>
      <c r="Y54" s="14" t="s">
        <v>464</v>
      </c>
      <c r="Z54" s="13" t="s">
        <v>366</v>
      </c>
      <c r="AA54" s="11" t="s">
        <v>53</v>
      </c>
      <c r="AB54" s="11">
        <v>42294219</v>
      </c>
      <c r="AC54" s="11">
        <v>33724777</v>
      </c>
      <c r="AD54" s="11" t="s">
        <v>291</v>
      </c>
      <c r="AE54" s="11" t="s">
        <v>408</v>
      </c>
      <c r="AF54" s="11" t="s">
        <v>291</v>
      </c>
      <c r="AG54" s="11" t="s">
        <v>317</v>
      </c>
      <c r="AH54" s="15" t="s">
        <v>567</v>
      </c>
      <c r="AI54" s="13" t="s">
        <v>590</v>
      </c>
      <c r="AJ54" s="17" t="s">
        <v>591</v>
      </c>
      <c r="AK54" s="13" t="s">
        <v>408</v>
      </c>
      <c r="AL54" s="13" t="s">
        <v>686</v>
      </c>
      <c r="AM54" s="13" t="s">
        <v>686</v>
      </c>
      <c r="AN54" s="13">
        <f>LEN(SUBSTITUTE(AM54, ", ",","))</f>
        <v>91</v>
      </c>
      <c r="AO54" s="13" t="s">
        <v>1004</v>
      </c>
      <c r="AP54" s="13" t="s">
        <v>1005</v>
      </c>
      <c r="AQ54" s="13"/>
      <c r="AR54" s="13">
        <v>6</v>
      </c>
      <c r="AS54" s="13"/>
      <c r="AT54" s="13"/>
      <c r="AU54" s="13"/>
      <c r="AV54" s="13"/>
      <c r="AW54" s="13"/>
      <c r="AX54" s="13" t="s">
        <v>1006</v>
      </c>
      <c r="AY54" s="13" t="s">
        <v>1007</v>
      </c>
      <c r="AZ54" s="13" t="s">
        <v>1008</v>
      </c>
      <c r="BA54" s="13"/>
      <c r="BB54" s="13"/>
      <c r="BC54" s="13" t="s">
        <v>759</v>
      </c>
      <c r="BD54" s="13" t="s">
        <v>1009</v>
      </c>
      <c r="BE54" s="13" t="s">
        <v>742</v>
      </c>
      <c r="BF54" s="13"/>
      <c r="BG54" s="13"/>
      <c r="BH54" s="16" t="s">
        <v>1010</v>
      </c>
      <c r="BI54" s="13"/>
      <c r="BJ54" s="13"/>
      <c r="BK54" s="13"/>
      <c r="BL54" s="13"/>
      <c r="BM54" s="13"/>
      <c r="BN54" s="1" t="s">
        <v>1120</v>
      </c>
    </row>
    <row r="55" spans="1:66" ht="12" customHeight="1">
      <c r="A55" s="10" t="s">
        <v>438</v>
      </c>
      <c r="B55" s="10" t="s">
        <v>230</v>
      </c>
      <c r="C55" s="11" t="s">
        <v>290</v>
      </c>
      <c r="D55" s="11"/>
      <c r="E55" s="11" t="s">
        <v>290</v>
      </c>
      <c r="F55" s="11"/>
      <c r="G55" s="11" t="s">
        <v>290</v>
      </c>
      <c r="H55" s="12" t="s">
        <v>424</v>
      </c>
      <c r="I55" s="11"/>
      <c r="J55" s="11"/>
      <c r="K55" s="11"/>
      <c r="L55" s="11"/>
      <c r="M55" s="11"/>
      <c r="N55" s="11"/>
      <c r="O55" s="11"/>
      <c r="P55" s="11"/>
      <c r="Q55" s="11"/>
      <c r="R55" s="11">
        <v>163</v>
      </c>
      <c r="S55" s="11" t="s">
        <v>278</v>
      </c>
      <c r="T55" s="13" t="s">
        <v>488</v>
      </c>
      <c r="U55" s="11" t="s">
        <v>333</v>
      </c>
      <c r="V55" s="13">
        <v>1797</v>
      </c>
      <c r="W55" s="13" t="s">
        <v>190</v>
      </c>
      <c r="X55" s="13">
        <v>1797</v>
      </c>
      <c r="Y55" s="14" t="s">
        <v>526</v>
      </c>
      <c r="Z55" s="13" t="s">
        <v>527</v>
      </c>
      <c r="AA55" s="11" t="s">
        <v>3</v>
      </c>
      <c r="AB55" s="11"/>
      <c r="AC55" s="11"/>
      <c r="AD55" s="11" t="s">
        <v>291</v>
      </c>
      <c r="AE55" s="11" t="s">
        <v>291</v>
      </c>
      <c r="AF55" s="11" t="s">
        <v>291</v>
      </c>
      <c r="AG55" s="11" t="s">
        <v>291</v>
      </c>
      <c r="AH55" s="15" t="s">
        <v>568</v>
      </c>
      <c r="AI55" s="13"/>
      <c r="AJ55" s="13"/>
      <c r="AK55" s="13" t="s">
        <v>687</v>
      </c>
      <c r="AL55" s="13" t="s">
        <v>688</v>
      </c>
      <c r="AM55" s="13" t="s">
        <v>688</v>
      </c>
      <c r="AN55" s="13">
        <f>LEN(SUBSTITUTE(AM55, ", ",","))</f>
        <v>82</v>
      </c>
      <c r="AO55" s="13" t="s">
        <v>1011</v>
      </c>
      <c r="AP55" s="13" t="s">
        <v>1012</v>
      </c>
      <c r="AQ55" s="13"/>
      <c r="AR55" s="13"/>
      <c r="AS55" s="13"/>
      <c r="AT55" s="13"/>
      <c r="AU55" s="13" t="s">
        <v>1013</v>
      </c>
      <c r="AV55" s="13"/>
      <c r="AW55" s="13"/>
      <c r="AX55" s="13"/>
      <c r="AY55" s="13" t="s">
        <v>1014</v>
      </c>
      <c r="AZ55" s="13"/>
      <c r="BA55" s="13"/>
      <c r="BB55" s="13"/>
      <c r="BC55" s="13"/>
      <c r="BD55" s="13" t="s">
        <v>1015</v>
      </c>
      <c r="BE55" s="13"/>
      <c r="BF55" s="13"/>
      <c r="BG55" s="13"/>
      <c r="BH55" s="20" t="s">
        <v>1016</v>
      </c>
      <c r="BI55" s="13"/>
      <c r="BJ55" s="13"/>
      <c r="BK55" s="13"/>
      <c r="BL55" s="13"/>
      <c r="BM55" s="13"/>
      <c r="BN55" s="1" t="s">
        <v>1120</v>
      </c>
    </row>
    <row r="56" spans="1:66" ht="12" customHeight="1">
      <c r="A56" s="10" t="s">
        <v>438</v>
      </c>
      <c r="B56" s="10" t="s">
        <v>230</v>
      </c>
      <c r="C56" s="11" t="s">
        <v>290</v>
      </c>
      <c r="D56" s="11"/>
      <c r="E56" s="11" t="s">
        <v>290</v>
      </c>
      <c r="F56" s="11"/>
      <c r="G56" s="11" t="s">
        <v>290</v>
      </c>
      <c r="H56" s="12" t="s">
        <v>424</v>
      </c>
      <c r="I56" s="11"/>
      <c r="J56" s="11"/>
      <c r="K56" s="11"/>
      <c r="L56" s="11"/>
      <c r="M56" s="11"/>
      <c r="N56" s="11"/>
      <c r="O56" s="11"/>
      <c r="P56" s="11"/>
      <c r="Q56" s="11"/>
      <c r="R56" s="11">
        <v>164</v>
      </c>
      <c r="S56" s="11" t="s">
        <v>244</v>
      </c>
      <c r="T56" s="13" t="s">
        <v>496</v>
      </c>
      <c r="U56" s="11" t="s">
        <v>104</v>
      </c>
      <c r="V56" s="13" t="s">
        <v>104</v>
      </c>
      <c r="W56" s="13" t="s">
        <v>109</v>
      </c>
      <c r="X56" s="13" t="s">
        <v>104</v>
      </c>
      <c r="Y56" s="14" t="s">
        <v>455</v>
      </c>
      <c r="Z56" s="13" t="s">
        <v>167</v>
      </c>
      <c r="AA56" s="11" t="s">
        <v>342</v>
      </c>
      <c r="AB56" s="11"/>
      <c r="AC56" s="11"/>
      <c r="AD56" s="11" t="s">
        <v>291</v>
      </c>
      <c r="AE56" s="11" t="s">
        <v>291</v>
      </c>
      <c r="AF56" s="11" t="s">
        <v>291</v>
      </c>
      <c r="AG56" s="11" t="s">
        <v>291</v>
      </c>
      <c r="AH56" s="13" t="s">
        <v>569</v>
      </c>
      <c r="AI56" s="13"/>
      <c r="AJ56" s="13"/>
      <c r="AK56" s="13" t="s">
        <v>342</v>
      </c>
      <c r="AL56" s="13" t="s">
        <v>689</v>
      </c>
      <c r="AM56" s="13" t="s">
        <v>689</v>
      </c>
      <c r="AN56" s="13">
        <f>LEN(SUBSTITUTE(AM56, ", ",","))</f>
        <v>46</v>
      </c>
      <c r="AO56" s="13" t="s">
        <v>1017</v>
      </c>
      <c r="AP56" s="13"/>
      <c r="AQ56" s="13"/>
      <c r="AR56" s="13"/>
      <c r="AS56" s="13"/>
      <c r="AT56" s="13"/>
      <c r="AU56" s="13"/>
      <c r="AV56" s="13"/>
      <c r="AW56" s="13"/>
      <c r="AX56" s="13"/>
      <c r="AY56" s="13" t="s">
        <v>1018</v>
      </c>
      <c r="AZ56" s="13"/>
      <c r="BA56" s="13"/>
      <c r="BB56" s="13"/>
      <c r="BC56" s="13"/>
      <c r="BD56" s="13" t="s">
        <v>1019</v>
      </c>
      <c r="BE56" s="13"/>
      <c r="BF56" s="13"/>
      <c r="BG56" s="13" t="s">
        <v>1020</v>
      </c>
      <c r="BH56" s="16" t="s">
        <v>884</v>
      </c>
      <c r="BI56" s="13"/>
      <c r="BJ56" s="13"/>
      <c r="BK56" s="13"/>
      <c r="BL56" s="13"/>
      <c r="BM56" s="13"/>
      <c r="BN56" s="1" t="s">
        <v>1120</v>
      </c>
    </row>
    <row r="57" spans="1:66" ht="12" customHeight="1">
      <c r="A57" s="10" t="s">
        <v>438</v>
      </c>
      <c r="B57" s="10" t="s">
        <v>230</v>
      </c>
      <c r="C57" s="11" t="s">
        <v>290</v>
      </c>
      <c r="D57" s="11"/>
      <c r="E57" s="11" t="s">
        <v>290</v>
      </c>
      <c r="F57" s="11"/>
      <c r="G57" s="11" t="s">
        <v>290</v>
      </c>
      <c r="H57" s="12" t="s">
        <v>424</v>
      </c>
      <c r="I57" s="11"/>
      <c r="J57" s="11"/>
      <c r="K57" s="11"/>
      <c r="L57" s="11"/>
      <c r="M57" s="11"/>
      <c r="N57" s="11"/>
      <c r="O57" s="11"/>
      <c r="P57" s="11"/>
      <c r="Q57" s="11"/>
      <c r="R57" s="11">
        <v>165</v>
      </c>
      <c r="S57" s="11" t="s">
        <v>192</v>
      </c>
      <c r="T57" s="13" t="s">
        <v>480</v>
      </c>
      <c r="U57" s="11" t="s">
        <v>380</v>
      </c>
      <c r="V57" s="13" t="s">
        <v>380</v>
      </c>
      <c r="W57" s="13" t="s">
        <v>217</v>
      </c>
      <c r="X57" s="13" t="s">
        <v>380</v>
      </c>
      <c r="Y57" s="14" t="s">
        <v>420</v>
      </c>
      <c r="Z57" s="13" t="s">
        <v>115</v>
      </c>
      <c r="AA57" s="11" t="s">
        <v>136</v>
      </c>
      <c r="AB57" s="11">
        <v>42294978</v>
      </c>
      <c r="AC57" s="11">
        <v>11785080</v>
      </c>
      <c r="AD57" s="11" t="s">
        <v>291</v>
      </c>
      <c r="AE57" s="11" t="s">
        <v>9</v>
      </c>
      <c r="AF57" s="11" t="s">
        <v>291</v>
      </c>
      <c r="AG57" s="11" t="s">
        <v>217</v>
      </c>
      <c r="AH57" s="15" t="s">
        <v>570</v>
      </c>
      <c r="AI57" s="13"/>
      <c r="AJ57" s="13"/>
      <c r="AK57" s="13" t="s">
        <v>9</v>
      </c>
      <c r="AL57" s="13" t="s">
        <v>690</v>
      </c>
      <c r="AM57" s="13" t="s">
        <v>690</v>
      </c>
      <c r="AN57" s="13">
        <f>LEN(SUBSTITUTE(AM57, ", ",","))</f>
        <v>83</v>
      </c>
      <c r="AO57" s="13" t="s">
        <v>1021</v>
      </c>
      <c r="AP57" s="13" t="s">
        <v>905</v>
      </c>
      <c r="AQ57" s="13" t="s">
        <v>1022</v>
      </c>
      <c r="AR57" s="13"/>
      <c r="AS57" s="13"/>
      <c r="AT57" s="13"/>
      <c r="AU57" s="13"/>
      <c r="AV57" s="13"/>
      <c r="AW57" s="13"/>
      <c r="AX57" s="13"/>
      <c r="AY57" s="13" t="s">
        <v>1023</v>
      </c>
      <c r="AZ57" s="13"/>
      <c r="BA57" s="13"/>
      <c r="BB57" s="13"/>
      <c r="BC57" s="13" t="s">
        <v>786</v>
      </c>
      <c r="BD57" s="13"/>
      <c r="BE57" s="13" t="s">
        <v>742</v>
      </c>
      <c r="BF57" s="13" t="s">
        <v>1024</v>
      </c>
      <c r="BG57" s="13"/>
      <c r="BH57" s="16" t="s">
        <v>1025</v>
      </c>
      <c r="BI57" s="13"/>
      <c r="BJ57" s="13"/>
      <c r="BK57" s="13"/>
      <c r="BL57" s="13"/>
      <c r="BM57" s="13"/>
      <c r="BN57" s="1" t="s">
        <v>1120</v>
      </c>
    </row>
    <row r="58" spans="1:66" ht="12" customHeight="1">
      <c r="A58" s="10" t="s">
        <v>438</v>
      </c>
      <c r="B58" s="10" t="s">
        <v>230</v>
      </c>
      <c r="C58" s="11" t="s">
        <v>290</v>
      </c>
      <c r="D58" s="11"/>
      <c r="E58" s="11" t="s">
        <v>290</v>
      </c>
      <c r="F58" s="11"/>
      <c r="G58" s="11" t="s">
        <v>290</v>
      </c>
      <c r="H58" s="12" t="s">
        <v>424</v>
      </c>
      <c r="I58" s="11"/>
      <c r="J58" s="11"/>
      <c r="K58" s="11"/>
      <c r="L58" s="11"/>
      <c r="M58" s="11"/>
      <c r="N58" s="11"/>
      <c r="O58" s="11"/>
      <c r="P58" s="11"/>
      <c r="Q58" s="11"/>
      <c r="R58" s="11">
        <v>167</v>
      </c>
      <c r="S58" s="11" t="s">
        <v>379</v>
      </c>
      <c r="T58" s="13" t="s">
        <v>497</v>
      </c>
      <c r="U58" s="11" t="s">
        <v>198</v>
      </c>
      <c r="V58" s="13" t="s">
        <v>198</v>
      </c>
      <c r="W58" s="13" t="s">
        <v>54</v>
      </c>
      <c r="X58" s="13" t="s">
        <v>198</v>
      </c>
      <c r="Y58" s="14" t="s">
        <v>433</v>
      </c>
      <c r="Z58" s="13" t="s">
        <v>195</v>
      </c>
      <c r="AA58" s="11" t="s">
        <v>28</v>
      </c>
      <c r="AB58" s="11"/>
      <c r="AC58" s="11"/>
      <c r="AD58" s="11" t="s">
        <v>291</v>
      </c>
      <c r="AE58" s="11" t="s">
        <v>291</v>
      </c>
      <c r="AF58" s="11" t="s">
        <v>291</v>
      </c>
      <c r="AG58" s="11" t="s">
        <v>291</v>
      </c>
      <c r="AH58" s="15" t="s">
        <v>571</v>
      </c>
      <c r="AI58" s="13"/>
      <c r="AJ58" s="13"/>
      <c r="AK58" s="13" t="s">
        <v>691</v>
      </c>
      <c r="AL58" s="13" t="s">
        <v>692</v>
      </c>
      <c r="AM58" s="13" t="s">
        <v>692</v>
      </c>
      <c r="AN58" s="13">
        <f>LEN(SUBSTITUTE(AM58, ", ",","))</f>
        <v>118</v>
      </c>
      <c r="AO58" s="13" t="s">
        <v>1026</v>
      </c>
      <c r="AP58" s="13" t="s">
        <v>971</v>
      </c>
      <c r="AQ58" s="13"/>
      <c r="AR58" s="13"/>
      <c r="AS58" s="13" t="s">
        <v>1027</v>
      </c>
      <c r="AT58" s="13" t="s">
        <v>1028</v>
      </c>
      <c r="AU58" s="13"/>
      <c r="AV58" s="13"/>
      <c r="AW58" s="13"/>
      <c r="AX58" s="13"/>
      <c r="AY58" s="13" t="s">
        <v>1029</v>
      </c>
      <c r="AZ58" s="13"/>
      <c r="BA58" s="13"/>
      <c r="BB58" s="13"/>
      <c r="BC58" s="13"/>
      <c r="BD58" s="13"/>
      <c r="BE58" s="13"/>
      <c r="BF58" s="13"/>
      <c r="BG58" s="13"/>
      <c r="BH58" s="16" t="s">
        <v>1030</v>
      </c>
      <c r="BI58" s="13"/>
      <c r="BJ58" s="13"/>
      <c r="BK58" s="13"/>
      <c r="BL58" s="13"/>
      <c r="BM58" s="13"/>
      <c r="BN58" s="1" t="s">
        <v>1120</v>
      </c>
    </row>
    <row r="59" spans="1:66" ht="12" customHeight="1">
      <c r="A59" s="10" t="s">
        <v>438</v>
      </c>
      <c r="B59" s="10" t="s">
        <v>230</v>
      </c>
      <c r="C59" s="11" t="s">
        <v>290</v>
      </c>
      <c r="D59" s="11"/>
      <c r="E59" s="11" t="s">
        <v>290</v>
      </c>
      <c r="F59" s="11"/>
      <c r="G59" s="11" t="s">
        <v>290</v>
      </c>
      <c r="H59" s="12" t="s">
        <v>424</v>
      </c>
      <c r="I59" s="11"/>
      <c r="J59" s="11"/>
      <c r="K59" s="11"/>
      <c r="L59" s="11"/>
      <c r="M59" s="11"/>
      <c r="N59" s="11"/>
      <c r="O59" s="11"/>
      <c r="P59" s="11"/>
      <c r="Q59" s="11"/>
      <c r="R59" s="11">
        <v>169</v>
      </c>
      <c r="S59" s="11" t="s">
        <v>163</v>
      </c>
      <c r="T59" s="13" t="s">
        <v>498</v>
      </c>
      <c r="U59" s="11" t="s">
        <v>147</v>
      </c>
      <c r="V59" s="13" t="s">
        <v>147</v>
      </c>
      <c r="W59" s="13" t="s">
        <v>99</v>
      </c>
      <c r="X59" s="13" t="s">
        <v>147</v>
      </c>
      <c r="Y59" s="14" t="s">
        <v>147</v>
      </c>
      <c r="Z59" s="13" t="s">
        <v>347</v>
      </c>
      <c r="AA59" s="11" t="s">
        <v>442</v>
      </c>
      <c r="AB59" s="11"/>
      <c r="AC59" s="11"/>
      <c r="AD59" s="11" t="s">
        <v>291</v>
      </c>
      <c r="AE59" s="11" t="s">
        <v>291</v>
      </c>
      <c r="AF59" s="11" t="s">
        <v>291</v>
      </c>
      <c r="AG59" s="11" t="s">
        <v>291</v>
      </c>
      <c r="AH59" s="15" t="s">
        <v>572</v>
      </c>
      <c r="AI59" s="13"/>
      <c r="AJ59" s="13"/>
      <c r="AK59" s="13" t="s">
        <v>442</v>
      </c>
      <c r="AL59" s="13" t="s">
        <v>693</v>
      </c>
      <c r="AM59" s="13" t="s">
        <v>693</v>
      </c>
      <c r="AN59" s="13">
        <f>LEN(SUBSTITUTE(AM59, ", ",","))</f>
        <v>179</v>
      </c>
      <c r="AO59" s="13" t="s">
        <v>1031</v>
      </c>
      <c r="AP59" s="13" t="s">
        <v>1032</v>
      </c>
      <c r="AQ59" s="13"/>
      <c r="AR59" s="13"/>
      <c r="AS59" s="13"/>
      <c r="AT59" s="13"/>
      <c r="AU59" s="13"/>
      <c r="AV59" s="13" t="s">
        <v>1033</v>
      </c>
      <c r="AW59" s="13"/>
      <c r="AX59" s="13"/>
      <c r="AY59" s="13" t="s">
        <v>1034</v>
      </c>
      <c r="AZ59" s="13"/>
      <c r="BA59" s="13"/>
      <c r="BB59" s="13" t="s">
        <v>1035</v>
      </c>
      <c r="BC59" s="13"/>
      <c r="BD59" s="13" t="s">
        <v>1036</v>
      </c>
      <c r="BE59" s="13"/>
      <c r="BF59" s="13"/>
      <c r="BG59" s="13" t="s">
        <v>1037</v>
      </c>
      <c r="BH59" s="16" t="s">
        <v>884</v>
      </c>
      <c r="BI59" s="13"/>
      <c r="BJ59" s="13"/>
      <c r="BK59" s="13"/>
      <c r="BL59" s="13"/>
      <c r="BM59" s="13"/>
      <c r="BN59" s="1" t="s">
        <v>1120</v>
      </c>
    </row>
    <row r="60" spans="1:66" ht="12" customHeight="1">
      <c r="A60" s="10" t="s">
        <v>438</v>
      </c>
      <c r="B60" s="10" t="s">
        <v>230</v>
      </c>
      <c r="C60" s="11" t="s">
        <v>290</v>
      </c>
      <c r="D60" s="11"/>
      <c r="E60" s="11" t="s">
        <v>290</v>
      </c>
      <c r="F60" s="11"/>
      <c r="G60" s="11" t="s">
        <v>290</v>
      </c>
      <c r="H60" s="12" t="s">
        <v>424</v>
      </c>
      <c r="I60" s="11"/>
      <c r="J60" s="11"/>
      <c r="K60" s="11"/>
      <c r="L60" s="11"/>
      <c r="M60" s="11"/>
      <c r="N60" s="11"/>
      <c r="O60" s="11"/>
      <c r="P60" s="11"/>
      <c r="Q60" s="11"/>
      <c r="R60" s="11">
        <v>171</v>
      </c>
      <c r="S60" s="11" t="s">
        <v>188</v>
      </c>
      <c r="T60" s="13" t="s">
        <v>485</v>
      </c>
      <c r="U60" s="11" t="s">
        <v>203</v>
      </c>
      <c r="V60" s="13" t="s">
        <v>203</v>
      </c>
      <c r="W60" s="13" t="s">
        <v>107</v>
      </c>
      <c r="X60" s="13" t="s">
        <v>203</v>
      </c>
      <c r="Y60" s="14" t="s">
        <v>286</v>
      </c>
      <c r="Z60" s="13" t="s">
        <v>202</v>
      </c>
      <c r="AA60" s="11" t="s">
        <v>2</v>
      </c>
      <c r="AB60" s="11">
        <v>42294930</v>
      </c>
      <c r="AC60" s="11">
        <v>12359844</v>
      </c>
      <c r="AD60" s="11" t="s">
        <v>291</v>
      </c>
      <c r="AE60" s="11" t="s">
        <v>175</v>
      </c>
      <c r="AF60" s="11" t="s">
        <v>291</v>
      </c>
      <c r="AG60" s="11" t="s">
        <v>374</v>
      </c>
      <c r="AH60" s="15" t="s">
        <v>555</v>
      </c>
      <c r="AI60" s="13"/>
      <c r="AJ60" s="13"/>
      <c r="AK60" s="13" t="s">
        <v>694</v>
      </c>
      <c r="AL60" s="13" t="s">
        <v>695</v>
      </c>
      <c r="AM60" s="13" t="s">
        <v>695</v>
      </c>
      <c r="AN60" s="13">
        <f>LEN(SUBSTITUTE(AM60, ", ",","))</f>
        <v>144</v>
      </c>
      <c r="AO60" s="13" t="s">
        <v>896</v>
      </c>
      <c r="AP60" s="13" t="s">
        <v>897</v>
      </c>
      <c r="AQ60" s="13" t="s">
        <v>898</v>
      </c>
      <c r="AR60" s="13" t="s">
        <v>1038</v>
      </c>
      <c r="AS60" s="13"/>
      <c r="AT60" s="13" t="s">
        <v>900</v>
      </c>
      <c r="AU60" s="13"/>
      <c r="AV60" s="13"/>
      <c r="AW60" s="13"/>
      <c r="AX60" s="13"/>
      <c r="AY60" s="13" t="s">
        <v>1039</v>
      </c>
      <c r="AZ60" s="13"/>
      <c r="BA60" s="13"/>
      <c r="BB60" s="13"/>
      <c r="BC60" s="13" t="s">
        <v>759</v>
      </c>
      <c r="BD60" s="13" t="s">
        <v>374</v>
      </c>
      <c r="BE60" s="13" t="s">
        <v>787</v>
      </c>
      <c r="BF60" s="13"/>
      <c r="BG60" s="13"/>
      <c r="BH60" s="16" t="s">
        <v>1040</v>
      </c>
      <c r="BI60" s="13"/>
      <c r="BJ60" s="13"/>
      <c r="BK60" s="13"/>
      <c r="BL60" s="13"/>
      <c r="BM60" s="13"/>
      <c r="BN60" s="1" t="s">
        <v>1120</v>
      </c>
    </row>
    <row r="61" spans="1:66" ht="12" customHeight="1">
      <c r="A61" s="10" t="s">
        <v>438</v>
      </c>
      <c r="B61" s="10" t="s">
        <v>230</v>
      </c>
      <c r="C61" s="11" t="s">
        <v>290</v>
      </c>
      <c r="D61" s="11"/>
      <c r="E61" s="11" t="s">
        <v>290</v>
      </c>
      <c r="F61" s="11"/>
      <c r="G61" s="11" t="s">
        <v>290</v>
      </c>
      <c r="H61" s="12" t="s">
        <v>424</v>
      </c>
      <c r="I61" s="11"/>
      <c r="J61" s="11"/>
      <c r="K61" s="11"/>
      <c r="L61" s="11"/>
      <c r="M61" s="11"/>
      <c r="N61" s="11"/>
      <c r="O61" s="11"/>
      <c r="P61" s="11"/>
      <c r="Q61" s="11"/>
      <c r="R61" s="11">
        <v>172</v>
      </c>
      <c r="S61" s="11" t="s">
        <v>192</v>
      </c>
      <c r="T61" s="13" t="s">
        <v>480</v>
      </c>
      <c r="U61" s="11" t="s">
        <v>108</v>
      </c>
      <c r="V61" s="13" t="s">
        <v>108</v>
      </c>
      <c r="W61" s="13" t="s">
        <v>217</v>
      </c>
      <c r="X61" s="13" t="s">
        <v>108</v>
      </c>
      <c r="Y61" s="14" t="s">
        <v>62</v>
      </c>
      <c r="Z61" s="13" t="s">
        <v>396</v>
      </c>
      <c r="AA61" s="11" t="s">
        <v>447</v>
      </c>
      <c r="AB61" s="11">
        <v>42312203</v>
      </c>
      <c r="AC61" s="11">
        <v>37110247</v>
      </c>
      <c r="AD61" s="11" t="s">
        <v>291</v>
      </c>
      <c r="AE61" s="11" t="s">
        <v>277</v>
      </c>
      <c r="AF61" s="11" t="s">
        <v>291</v>
      </c>
      <c r="AG61" s="11" t="s">
        <v>217</v>
      </c>
      <c r="AH61" s="13" t="s">
        <v>538</v>
      </c>
      <c r="AI61" s="13"/>
      <c r="AJ61" s="13"/>
      <c r="AK61" s="13" t="s">
        <v>696</v>
      </c>
      <c r="AL61" s="13" t="s">
        <v>697</v>
      </c>
      <c r="AM61" s="13" t="s">
        <v>697</v>
      </c>
      <c r="AN61" s="13">
        <f>LEN(SUBSTITUTE(AM61, ", ",","))</f>
        <v>47</v>
      </c>
      <c r="AO61" s="13" t="s">
        <v>755</v>
      </c>
      <c r="AP61" s="13" t="s">
        <v>1041</v>
      </c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 t="s">
        <v>759</v>
      </c>
      <c r="BD61" s="13" t="s">
        <v>1042</v>
      </c>
      <c r="BE61" s="13" t="s">
        <v>742</v>
      </c>
      <c r="BF61" s="13"/>
      <c r="BG61" s="13"/>
      <c r="BH61" s="16" t="s">
        <v>1043</v>
      </c>
      <c r="BI61" s="13"/>
      <c r="BJ61" s="13"/>
      <c r="BK61" s="13"/>
      <c r="BL61" s="13"/>
      <c r="BM61" s="13"/>
      <c r="BN61" s="1" t="s">
        <v>1120</v>
      </c>
    </row>
    <row r="62" spans="1:66" ht="12" customHeight="1">
      <c r="A62" s="10" t="s">
        <v>438</v>
      </c>
      <c r="B62" s="10" t="s">
        <v>230</v>
      </c>
      <c r="C62" s="11" t="s">
        <v>290</v>
      </c>
      <c r="D62" s="11"/>
      <c r="E62" s="11" t="s">
        <v>290</v>
      </c>
      <c r="F62" s="11"/>
      <c r="G62" s="11" t="s">
        <v>290</v>
      </c>
      <c r="H62" s="12" t="s">
        <v>424</v>
      </c>
      <c r="I62" s="11"/>
      <c r="J62" s="11"/>
      <c r="K62" s="11"/>
      <c r="L62" s="11"/>
      <c r="M62" s="11"/>
      <c r="N62" s="11"/>
      <c r="O62" s="11"/>
      <c r="P62" s="11"/>
      <c r="Q62" s="11"/>
      <c r="R62" s="11">
        <v>174</v>
      </c>
      <c r="S62" s="11" t="s">
        <v>249</v>
      </c>
      <c r="T62" s="13" t="s">
        <v>499</v>
      </c>
      <c r="U62" s="11" t="s">
        <v>413</v>
      </c>
      <c r="V62" s="13" t="s">
        <v>413</v>
      </c>
      <c r="W62" s="13" t="s">
        <v>386</v>
      </c>
      <c r="X62" s="13" t="s">
        <v>413</v>
      </c>
      <c r="Y62" s="14" t="s">
        <v>4</v>
      </c>
      <c r="Z62" s="13" t="s">
        <v>418</v>
      </c>
      <c r="AA62" s="11" t="s">
        <v>67</v>
      </c>
      <c r="AB62" s="11"/>
      <c r="AC62" s="11"/>
      <c r="AD62" s="11" t="s">
        <v>291</v>
      </c>
      <c r="AE62" s="11" t="s">
        <v>291</v>
      </c>
      <c r="AF62" s="11" t="s">
        <v>291</v>
      </c>
      <c r="AG62" s="11" t="s">
        <v>291</v>
      </c>
      <c r="AH62" s="15" t="s">
        <v>573</v>
      </c>
      <c r="AI62" s="13"/>
      <c r="AJ62" s="13"/>
      <c r="AK62" s="13" t="s">
        <v>698</v>
      </c>
      <c r="AL62" s="13" t="s">
        <v>699</v>
      </c>
      <c r="AM62" s="13" t="s">
        <v>699</v>
      </c>
      <c r="AN62" s="13">
        <f>LEN(SUBSTITUTE(AM62, ", ",","))</f>
        <v>103</v>
      </c>
      <c r="AO62" s="13" t="s">
        <v>1044</v>
      </c>
      <c r="AP62" s="13" t="s">
        <v>938</v>
      </c>
      <c r="AQ62" s="13" t="s">
        <v>1045</v>
      </c>
      <c r="AR62" s="13"/>
      <c r="AS62" s="13"/>
      <c r="AT62" s="13"/>
      <c r="AU62" s="13"/>
      <c r="AV62" s="13" t="s">
        <v>1046</v>
      </c>
      <c r="AW62" s="13"/>
      <c r="AX62" s="13"/>
      <c r="AY62" s="13" t="s">
        <v>1047</v>
      </c>
      <c r="AZ62" s="13"/>
      <c r="BA62" s="13"/>
      <c r="BB62" s="13"/>
      <c r="BC62" s="13" t="s">
        <v>786</v>
      </c>
      <c r="BD62" s="13"/>
      <c r="BE62" s="13" t="s">
        <v>787</v>
      </c>
      <c r="BF62" s="13"/>
      <c r="BG62" s="13"/>
      <c r="BH62" s="16" t="s">
        <v>1048</v>
      </c>
      <c r="BI62" s="13"/>
      <c r="BJ62" s="13"/>
      <c r="BK62" s="13"/>
      <c r="BL62" s="13"/>
      <c r="BM62" s="13"/>
      <c r="BN62" s="1" t="s">
        <v>1120</v>
      </c>
    </row>
    <row r="63" spans="1:66" ht="12" customHeight="1">
      <c r="A63" s="10" t="s">
        <v>438</v>
      </c>
      <c r="B63" s="10" t="s">
        <v>230</v>
      </c>
      <c r="C63" s="11" t="s">
        <v>290</v>
      </c>
      <c r="D63" s="11"/>
      <c r="E63" s="11" t="s">
        <v>290</v>
      </c>
      <c r="F63" s="11"/>
      <c r="G63" s="11" t="s">
        <v>290</v>
      </c>
      <c r="H63" s="12" t="s">
        <v>424</v>
      </c>
      <c r="I63" s="11"/>
      <c r="J63" s="11"/>
      <c r="K63" s="11"/>
      <c r="L63" s="11"/>
      <c r="M63" s="11"/>
      <c r="N63" s="11"/>
      <c r="O63" s="11"/>
      <c r="P63" s="11"/>
      <c r="Q63" s="11"/>
      <c r="R63" s="11">
        <v>177</v>
      </c>
      <c r="S63" s="11" t="s">
        <v>102</v>
      </c>
      <c r="T63" s="13" t="s">
        <v>481</v>
      </c>
      <c r="U63" s="11" t="s">
        <v>361</v>
      </c>
      <c r="V63" s="13" t="s">
        <v>361</v>
      </c>
      <c r="W63" s="13" t="s">
        <v>481</v>
      </c>
      <c r="X63" s="13" t="s">
        <v>361</v>
      </c>
      <c r="Y63" s="14" t="s">
        <v>128</v>
      </c>
      <c r="Z63" s="13" t="s">
        <v>528</v>
      </c>
      <c r="AA63" s="11" t="s">
        <v>100</v>
      </c>
      <c r="AB63" s="11"/>
      <c r="AC63" s="11"/>
      <c r="AD63" s="11" t="s">
        <v>291</v>
      </c>
      <c r="AE63" s="11" t="s">
        <v>291</v>
      </c>
      <c r="AF63" s="11" t="s">
        <v>291</v>
      </c>
      <c r="AG63" s="11" t="s">
        <v>291</v>
      </c>
      <c r="AH63" s="16" t="s">
        <v>542</v>
      </c>
      <c r="AI63" s="13" t="s">
        <v>96</v>
      </c>
      <c r="AJ63" s="17" t="s">
        <v>587</v>
      </c>
      <c r="AK63" s="13" t="s">
        <v>700</v>
      </c>
      <c r="AL63" s="13" t="s">
        <v>701</v>
      </c>
      <c r="AM63" s="13" t="s">
        <v>701</v>
      </c>
      <c r="AN63" s="13">
        <f>LEN(SUBSTITUTE(AM63, ", ",","))</f>
        <v>51</v>
      </c>
      <c r="AO63" s="13" t="s">
        <v>780</v>
      </c>
      <c r="AP63" s="13" t="s">
        <v>781</v>
      </c>
      <c r="AQ63" s="13" t="s">
        <v>858</v>
      </c>
      <c r="AR63" s="13"/>
      <c r="AS63" s="13"/>
      <c r="AT63" s="13" t="s">
        <v>857</v>
      </c>
      <c r="AU63" s="13"/>
      <c r="AV63" s="13"/>
      <c r="AW63" s="13"/>
      <c r="AX63" s="13"/>
      <c r="AY63" s="13"/>
      <c r="AZ63" s="13"/>
      <c r="BA63" s="13"/>
      <c r="BB63" s="13"/>
      <c r="BC63" s="13" t="s">
        <v>786</v>
      </c>
      <c r="BD63" s="13" t="s">
        <v>216</v>
      </c>
      <c r="BE63" s="13" t="s">
        <v>787</v>
      </c>
      <c r="BF63" s="13"/>
      <c r="BG63" s="13"/>
      <c r="BH63" s="16" t="s">
        <v>1049</v>
      </c>
      <c r="BI63" s="13"/>
      <c r="BJ63" s="13"/>
      <c r="BK63" s="13"/>
      <c r="BL63" s="13"/>
      <c r="BM63" s="13"/>
      <c r="BN63" s="1" t="s">
        <v>1120</v>
      </c>
    </row>
    <row r="64" spans="1:66" ht="12" customHeight="1">
      <c r="A64" s="10" t="s">
        <v>438</v>
      </c>
      <c r="B64" s="10" t="s">
        <v>230</v>
      </c>
      <c r="C64" s="11" t="s">
        <v>290</v>
      </c>
      <c r="D64" s="11"/>
      <c r="E64" s="11" t="s">
        <v>290</v>
      </c>
      <c r="F64" s="11"/>
      <c r="G64" s="11" t="s">
        <v>290</v>
      </c>
      <c r="H64" s="12" t="s">
        <v>424</v>
      </c>
      <c r="I64" s="11"/>
      <c r="J64" s="11"/>
      <c r="K64" s="11"/>
      <c r="L64" s="11"/>
      <c r="M64" s="11"/>
      <c r="N64" s="11"/>
      <c r="O64" s="11"/>
      <c r="P64" s="11"/>
      <c r="Q64" s="11"/>
      <c r="R64" s="11">
        <v>180</v>
      </c>
      <c r="S64" s="11" t="s">
        <v>452</v>
      </c>
      <c r="T64" s="13" t="s">
        <v>500</v>
      </c>
      <c r="U64" s="11" t="s">
        <v>88</v>
      </c>
      <c r="V64" s="13" t="s">
        <v>88</v>
      </c>
      <c r="W64" s="13" t="s">
        <v>529</v>
      </c>
      <c r="X64" s="13" t="s">
        <v>88</v>
      </c>
      <c r="Y64" s="14" t="s">
        <v>397</v>
      </c>
      <c r="Z64" s="13" t="s">
        <v>328</v>
      </c>
      <c r="AA64" s="11" t="s">
        <v>145</v>
      </c>
      <c r="AB64" s="11"/>
      <c r="AC64" s="11"/>
      <c r="AD64" s="11" t="s">
        <v>291</v>
      </c>
      <c r="AE64" s="11" t="s">
        <v>291</v>
      </c>
      <c r="AF64" s="11" t="s">
        <v>291</v>
      </c>
      <c r="AG64" s="11" t="s">
        <v>291</v>
      </c>
      <c r="AH64" s="15" t="s">
        <v>574</v>
      </c>
      <c r="AI64" s="13" t="s">
        <v>96</v>
      </c>
      <c r="AJ64" s="17" t="s">
        <v>587</v>
      </c>
      <c r="AK64" s="13" t="s">
        <v>702</v>
      </c>
      <c r="AL64" s="13" t="s">
        <v>703</v>
      </c>
      <c r="AM64" s="13" t="s">
        <v>703</v>
      </c>
      <c r="AN64" s="13">
        <f>LEN(SUBSTITUTE(AM64, ", ",","))</f>
        <v>35</v>
      </c>
      <c r="AO64" s="13" t="s">
        <v>1050</v>
      </c>
      <c r="AP64" s="15" t="s">
        <v>1051</v>
      </c>
      <c r="AQ64" s="13" t="s">
        <v>1052</v>
      </c>
      <c r="AR64" s="13"/>
      <c r="AS64" s="13"/>
      <c r="AT64" s="13" t="s">
        <v>1053</v>
      </c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6" t="s">
        <v>1054</v>
      </c>
      <c r="BI64" s="13"/>
      <c r="BJ64" s="13"/>
      <c r="BK64" s="13"/>
      <c r="BL64" s="13"/>
      <c r="BM64" s="13" t="s">
        <v>1055</v>
      </c>
      <c r="BN64" s="1" t="s">
        <v>1120</v>
      </c>
    </row>
    <row r="65" spans="1:66" ht="12" customHeight="1">
      <c r="A65" s="10" t="s">
        <v>438</v>
      </c>
      <c r="B65" s="10" t="s">
        <v>230</v>
      </c>
      <c r="C65" s="11" t="s">
        <v>290</v>
      </c>
      <c r="D65" s="11"/>
      <c r="E65" s="11" t="s">
        <v>290</v>
      </c>
      <c r="F65" s="11"/>
      <c r="G65" s="11" t="s">
        <v>290</v>
      </c>
      <c r="H65" s="12" t="s">
        <v>424</v>
      </c>
      <c r="I65" s="11"/>
      <c r="J65" s="11"/>
      <c r="K65" s="11"/>
      <c r="L65" s="11"/>
      <c r="M65" s="11"/>
      <c r="N65" s="11"/>
      <c r="O65" s="11"/>
      <c r="P65" s="11"/>
      <c r="Q65" s="11"/>
      <c r="R65" s="11">
        <v>181</v>
      </c>
      <c r="S65" s="11" t="s">
        <v>40</v>
      </c>
      <c r="T65" s="13" t="s">
        <v>501</v>
      </c>
      <c r="U65" s="11" t="s">
        <v>461</v>
      </c>
      <c r="V65" s="13" t="s">
        <v>461</v>
      </c>
      <c r="W65" s="13" t="s">
        <v>285</v>
      </c>
      <c r="X65" s="13" t="s">
        <v>461</v>
      </c>
      <c r="Y65" s="14" t="s">
        <v>416</v>
      </c>
      <c r="Z65" s="13" t="s">
        <v>246</v>
      </c>
      <c r="AA65" s="11" t="s">
        <v>390</v>
      </c>
      <c r="AB65" s="11">
        <v>42321611</v>
      </c>
      <c r="AC65" s="11">
        <v>37869464</v>
      </c>
      <c r="AD65" s="11" t="s">
        <v>291</v>
      </c>
      <c r="AE65" s="11" t="s">
        <v>61</v>
      </c>
      <c r="AF65" s="11" t="s">
        <v>291</v>
      </c>
      <c r="AG65" s="11" t="s">
        <v>310</v>
      </c>
      <c r="AH65" s="15" t="s">
        <v>561</v>
      </c>
      <c r="AI65" s="13" t="s">
        <v>96</v>
      </c>
      <c r="AJ65" s="17" t="s">
        <v>587</v>
      </c>
      <c r="AK65" s="13" t="s">
        <v>704</v>
      </c>
      <c r="AL65" s="13" t="s">
        <v>705</v>
      </c>
      <c r="AM65" s="13" t="s">
        <v>705</v>
      </c>
      <c r="AN65" s="13">
        <f>LEN(SUBSTITUTE(AM65, ", ",","))</f>
        <v>71</v>
      </c>
      <c r="AO65" s="13" t="s">
        <v>780</v>
      </c>
      <c r="AP65" s="13" t="s">
        <v>951</v>
      </c>
      <c r="AQ65" s="13" t="s">
        <v>1056</v>
      </c>
      <c r="AR65" s="13"/>
      <c r="AS65" s="13"/>
      <c r="AT65" s="13" t="s">
        <v>1057</v>
      </c>
      <c r="AU65" s="13"/>
      <c r="AV65" s="13"/>
      <c r="AW65" s="13"/>
      <c r="AX65" s="13" t="s">
        <v>1058</v>
      </c>
      <c r="AY65" s="13"/>
      <c r="AZ65" s="13"/>
      <c r="BA65" s="13"/>
      <c r="BB65" s="13"/>
      <c r="BC65" s="13" t="s">
        <v>786</v>
      </c>
      <c r="BD65" s="13" t="s">
        <v>310</v>
      </c>
      <c r="BE65" s="13" t="s">
        <v>742</v>
      </c>
      <c r="BF65" s="13"/>
      <c r="BG65" s="13"/>
      <c r="BH65" s="16" t="s">
        <v>1059</v>
      </c>
      <c r="BI65" s="13"/>
      <c r="BJ65" s="13"/>
      <c r="BK65" s="13"/>
      <c r="BL65" s="13"/>
      <c r="BM65" s="13"/>
      <c r="BN65" s="1" t="s">
        <v>1120</v>
      </c>
    </row>
    <row r="66" spans="1:66" ht="12" customHeight="1">
      <c r="A66" s="10" t="s">
        <v>438</v>
      </c>
      <c r="B66" s="10" t="s">
        <v>230</v>
      </c>
      <c r="C66" s="11" t="s">
        <v>290</v>
      </c>
      <c r="D66" s="11"/>
      <c r="E66" s="11" t="s">
        <v>290</v>
      </c>
      <c r="F66" s="11"/>
      <c r="G66" s="11" t="s">
        <v>290</v>
      </c>
      <c r="H66" s="12" t="s">
        <v>424</v>
      </c>
      <c r="I66" s="11"/>
      <c r="J66" s="11"/>
      <c r="K66" s="11"/>
      <c r="L66" s="11"/>
      <c r="M66" s="11"/>
      <c r="N66" s="11"/>
      <c r="O66" s="11"/>
      <c r="P66" s="11"/>
      <c r="Q66" s="11"/>
      <c r="R66" s="11">
        <v>182</v>
      </c>
      <c r="S66" s="11" t="s">
        <v>40</v>
      </c>
      <c r="T66" s="13" t="s">
        <v>501</v>
      </c>
      <c r="U66" s="11" t="s">
        <v>282</v>
      </c>
      <c r="V66" s="13" t="s">
        <v>282</v>
      </c>
      <c r="W66" s="13" t="s">
        <v>285</v>
      </c>
      <c r="X66" s="13" t="s">
        <v>282</v>
      </c>
      <c r="Y66" s="14" t="s">
        <v>33</v>
      </c>
      <c r="Z66" s="13" t="s">
        <v>453</v>
      </c>
      <c r="AA66" s="11" t="s">
        <v>445</v>
      </c>
      <c r="AB66" s="11">
        <v>42321611</v>
      </c>
      <c r="AC66" s="11">
        <v>37867826</v>
      </c>
      <c r="AD66" s="11" t="s">
        <v>291</v>
      </c>
      <c r="AE66" s="11" t="s">
        <v>425</v>
      </c>
      <c r="AF66" s="11" t="s">
        <v>291</v>
      </c>
      <c r="AG66" s="11" t="s">
        <v>310</v>
      </c>
      <c r="AH66" s="15" t="s">
        <v>561</v>
      </c>
      <c r="AI66" s="13" t="s">
        <v>96</v>
      </c>
      <c r="AJ66" s="17" t="s">
        <v>587</v>
      </c>
      <c r="AK66" s="13" t="s">
        <v>706</v>
      </c>
      <c r="AL66" s="13" t="s">
        <v>707</v>
      </c>
      <c r="AM66" s="13" t="s">
        <v>707</v>
      </c>
      <c r="AN66" s="13">
        <f>LEN(SUBSTITUTE(AM66, ", ",","))</f>
        <v>71</v>
      </c>
      <c r="AO66" s="13" t="s">
        <v>780</v>
      </c>
      <c r="AP66" s="13" t="s">
        <v>951</v>
      </c>
      <c r="AQ66" s="13" t="s">
        <v>1060</v>
      </c>
      <c r="AR66" s="13"/>
      <c r="AS66" s="13"/>
      <c r="AT66" s="13" t="s">
        <v>1061</v>
      </c>
      <c r="AU66" s="13"/>
      <c r="AV66" s="13"/>
      <c r="AW66" s="13"/>
      <c r="AX66" s="13" t="s">
        <v>1058</v>
      </c>
      <c r="AY66" s="13"/>
      <c r="AZ66" s="13"/>
      <c r="BA66" s="13"/>
      <c r="BB66" s="13"/>
      <c r="BC66" s="13" t="s">
        <v>786</v>
      </c>
      <c r="BD66" s="13" t="s">
        <v>310</v>
      </c>
      <c r="BE66" s="13" t="s">
        <v>742</v>
      </c>
      <c r="BF66" s="13"/>
      <c r="BG66" s="13"/>
      <c r="BH66" s="16" t="s">
        <v>1062</v>
      </c>
      <c r="BI66" s="13"/>
      <c r="BJ66" s="13"/>
      <c r="BK66" s="13"/>
      <c r="BL66" s="13"/>
      <c r="BM66" s="13"/>
      <c r="BN66" s="1" t="s">
        <v>1120</v>
      </c>
    </row>
    <row r="67" spans="1:66" ht="12" customHeight="1">
      <c r="A67" s="10" t="s">
        <v>438</v>
      </c>
      <c r="B67" s="10" t="s">
        <v>230</v>
      </c>
      <c r="C67" s="11" t="s">
        <v>290</v>
      </c>
      <c r="D67" s="11"/>
      <c r="E67" s="11" t="s">
        <v>290</v>
      </c>
      <c r="F67" s="11"/>
      <c r="G67" s="11" t="s">
        <v>290</v>
      </c>
      <c r="H67" s="12" t="s">
        <v>424</v>
      </c>
      <c r="I67" s="11"/>
      <c r="J67" s="11"/>
      <c r="K67" s="11"/>
      <c r="L67" s="11"/>
      <c r="M67" s="11"/>
      <c r="N67" s="11"/>
      <c r="O67" s="11"/>
      <c r="P67" s="11"/>
      <c r="Q67" s="11"/>
      <c r="R67" s="11">
        <v>184</v>
      </c>
      <c r="S67" s="11" t="s">
        <v>192</v>
      </c>
      <c r="T67" s="13" t="s">
        <v>480</v>
      </c>
      <c r="U67" s="11" t="s">
        <v>149</v>
      </c>
      <c r="V67" s="13" t="s">
        <v>149</v>
      </c>
      <c r="W67" s="13" t="s">
        <v>217</v>
      </c>
      <c r="X67" s="13" t="s">
        <v>149</v>
      </c>
      <c r="Y67" s="14" t="s">
        <v>280</v>
      </c>
      <c r="Z67" s="13" t="s">
        <v>86</v>
      </c>
      <c r="AA67" s="11" t="s">
        <v>183</v>
      </c>
      <c r="AB67" s="11">
        <v>42291708</v>
      </c>
      <c r="AC67" s="11">
        <v>32115094</v>
      </c>
      <c r="AD67" s="11" t="s">
        <v>291</v>
      </c>
      <c r="AE67" s="11" t="s">
        <v>152</v>
      </c>
      <c r="AF67" s="11" t="s">
        <v>291</v>
      </c>
      <c r="AG67" s="11" t="s">
        <v>291</v>
      </c>
      <c r="AH67" s="15" t="s">
        <v>575</v>
      </c>
      <c r="AI67" s="13"/>
      <c r="AJ67" s="13"/>
      <c r="AK67" s="13" t="s">
        <v>183</v>
      </c>
      <c r="AL67" s="13" t="s">
        <v>708</v>
      </c>
      <c r="AM67" s="13" t="s">
        <v>708</v>
      </c>
      <c r="AN67" s="13">
        <f>LEN(SUBSTITUTE(AM67, ", ",","))</f>
        <v>70</v>
      </c>
      <c r="AO67" s="13" t="s">
        <v>1063</v>
      </c>
      <c r="AP67" s="13" t="s">
        <v>1064</v>
      </c>
      <c r="AQ67" s="13" t="s">
        <v>1065</v>
      </c>
      <c r="AR67" s="13"/>
      <c r="AS67" s="13"/>
      <c r="AT67" s="13" t="s">
        <v>1066</v>
      </c>
      <c r="AU67" s="13" t="s">
        <v>1067</v>
      </c>
      <c r="AV67" s="13"/>
      <c r="AW67" s="13"/>
      <c r="AX67" s="13"/>
      <c r="AY67" s="13" t="s">
        <v>1068</v>
      </c>
      <c r="AZ67" s="13"/>
      <c r="BA67" s="13"/>
      <c r="BB67" s="13"/>
      <c r="BC67" s="13"/>
      <c r="BD67" s="13" t="s">
        <v>1069</v>
      </c>
      <c r="BE67" s="13"/>
      <c r="BF67" s="13"/>
      <c r="BG67" s="13"/>
      <c r="BH67" s="16" t="s">
        <v>884</v>
      </c>
      <c r="BI67" s="13"/>
      <c r="BJ67" s="13"/>
      <c r="BK67" s="13"/>
      <c r="BL67" s="13"/>
      <c r="BM67" s="13"/>
      <c r="BN67" s="1" t="s">
        <v>1120</v>
      </c>
    </row>
    <row r="68" spans="1:66" ht="12" customHeight="1">
      <c r="A68" s="10" t="s">
        <v>438</v>
      </c>
      <c r="B68" s="10" t="s">
        <v>230</v>
      </c>
      <c r="C68" s="11" t="s">
        <v>290</v>
      </c>
      <c r="D68" s="11"/>
      <c r="E68" s="11" t="s">
        <v>290</v>
      </c>
      <c r="F68" s="11"/>
      <c r="G68" s="11" t="s">
        <v>290</v>
      </c>
      <c r="H68" s="12" t="s">
        <v>424</v>
      </c>
      <c r="I68" s="11"/>
      <c r="J68" s="11"/>
      <c r="K68" s="11"/>
      <c r="L68" s="11"/>
      <c r="M68" s="11"/>
      <c r="N68" s="11"/>
      <c r="O68" s="11"/>
      <c r="P68" s="11"/>
      <c r="Q68" s="11"/>
      <c r="R68" s="11">
        <v>185</v>
      </c>
      <c r="S68" s="11" t="s">
        <v>327</v>
      </c>
      <c r="T68" s="13" t="s">
        <v>468</v>
      </c>
      <c r="U68" s="11" t="s">
        <v>268</v>
      </c>
      <c r="V68" s="13" t="s">
        <v>268</v>
      </c>
      <c r="W68" s="13" t="s">
        <v>212</v>
      </c>
      <c r="X68" s="13" t="s">
        <v>268</v>
      </c>
      <c r="Y68" s="14" t="s">
        <v>268</v>
      </c>
      <c r="Z68" s="13" t="s">
        <v>358</v>
      </c>
      <c r="AA68" s="11" t="s">
        <v>460</v>
      </c>
      <c r="AB68" s="11">
        <v>41116105</v>
      </c>
      <c r="AC68" s="11">
        <v>35206609</v>
      </c>
      <c r="AD68" s="11" t="s">
        <v>291</v>
      </c>
      <c r="AE68" s="11" t="s">
        <v>388</v>
      </c>
      <c r="AF68" s="11" t="s">
        <v>291</v>
      </c>
      <c r="AG68" s="11" t="s">
        <v>306</v>
      </c>
      <c r="AH68" s="15" t="s">
        <v>576</v>
      </c>
      <c r="AI68" s="13"/>
      <c r="AJ68" s="13"/>
      <c r="AK68" s="13" t="s">
        <v>709</v>
      </c>
      <c r="AL68" s="13" t="s">
        <v>710</v>
      </c>
      <c r="AM68" s="13" t="s">
        <v>710</v>
      </c>
      <c r="AN68" s="13">
        <f>LEN(SUBSTITUTE(AM68, ", ",","))</f>
        <v>66</v>
      </c>
      <c r="AO68" s="13" t="s">
        <v>941</v>
      </c>
      <c r="AP68" s="13" t="s">
        <v>942</v>
      </c>
      <c r="AQ68" s="13" t="s">
        <v>1070</v>
      </c>
      <c r="AR68" s="13"/>
      <c r="AS68" s="13"/>
      <c r="AT68" s="13"/>
      <c r="AU68" s="13"/>
      <c r="AV68" s="13"/>
      <c r="AW68" s="13"/>
      <c r="AX68" s="13"/>
      <c r="AY68" s="13" t="s">
        <v>1071</v>
      </c>
      <c r="AZ68" s="13"/>
      <c r="BA68" s="13"/>
      <c r="BB68" s="13"/>
      <c r="BC68" s="13" t="s">
        <v>786</v>
      </c>
      <c r="BD68" s="13" t="s">
        <v>945</v>
      </c>
      <c r="BE68" s="13" t="s">
        <v>742</v>
      </c>
      <c r="BF68" s="13"/>
      <c r="BG68" s="13"/>
      <c r="BH68" s="16" t="s">
        <v>1072</v>
      </c>
      <c r="BI68" s="13"/>
      <c r="BJ68" s="13"/>
      <c r="BK68" s="13"/>
      <c r="BL68" s="13"/>
      <c r="BM68" s="13"/>
      <c r="BN68" s="1" t="s">
        <v>1120</v>
      </c>
    </row>
    <row r="69" spans="1:66" ht="12" customHeight="1">
      <c r="A69" s="10" t="s">
        <v>438</v>
      </c>
      <c r="B69" s="10" t="s">
        <v>230</v>
      </c>
      <c r="C69" s="11" t="s">
        <v>290</v>
      </c>
      <c r="D69" s="11"/>
      <c r="E69" s="11" t="s">
        <v>290</v>
      </c>
      <c r="F69" s="11"/>
      <c r="G69" s="11" t="s">
        <v>290</v>
      </c>
      <c r="H69" s="12" t="s">
        <v>424</v>
      </c>
      <c r="I69" s="11"/>
      <c r="J69" s="11"/>
      <c r="K69" s="11"/>
      <c r="L69" s="11"/>
      <c r="M69" s="11"/>
      <c r="N69" s="11"/>
      <c r="O69" s="11"/>
      <c r="P69" s="11"/>
      <c r="Q69" s="11"/>
      <c r="R69" s="11">
        <v>190</v>
      </c>
      <c r="S69" s="11" t="s">
        <v>120</v>
      </c>
      <c r="T69" s="13" t="s">
        <v>502</v>
      </c>
      <c r="U69" s="11" t="s">
        <v>27</v>
      </c>
      <c r="V69" s="13" t="s">
        <v>27</v>
      </c>
      <c r="W69" s="13" t="s">
        <v>263</v>
      </c>
      <c r="X69" s="13" t="s">
        <v>27</v>
      </c>
      <c r="Y69" s="14" t="s">
        <v>43</v>
      </c>
      <c r="Z69" s="13" t="s">
        <v>15</v>
      </c>
      <c r="AA69" s="11" t="s">
        <v>437</v>
      </c>
      <c r="AB69" s="11">
        <v>42292903</v>
      </c>
      <c r="AC69" s="11">
        <v>37064788</v>
      </c>
      <c r="AD69" s="11" t="s">
        <v>291</v>
      </c>
      <c r="AE69" s="11" t="s">
        <v>318</v>
      </c>
      <c r="AF69" s="11" t="s">
        <v>291</v>
      </c>
      <c r="AG69" s="11" t="s">
        <v>291</v>
      </c>
      <c r="AH69" s="15" t="s">
        <v>552</v>
      </c>
      <c r="AI69" s="13"/>
      <c r="AJ69" s="13"/>
      <c r="AK69" s="13" t="s">
        <v>437</v>
      </c>
      <c r="AL69" s="13" t="s">
        <v>711</v>
      </c>
      <c r="AM69" s="13" t="s">
        <v>711</v>
      </c>
      <c r="AN69" s="13">
        <f>LEN(SUBSTITUTE(AM69, ", ",","))</f>
        <v>70</v>
      </c>
      <c r="AO69" s="13" t="s">
        <v>878</v>
      </c>
      <c r="AP69" s="13" t="s">
        <v>745</v>
      </c>
      <c r="AQ69" s="13"/>
      <c r="AR69" s="13"/>
      <c r="AS69" s="13"/>
      <c r="AT69" s="13"/>
      <c r="AU69" s="13"/>
      <c r="AV69" s="13"/>
      <c r="AW69" s="13"/>
      <c r="AX69" s="13"/>
      <c r="AY69" s="13" t="s">
        <v>1073</v>
      </c>
      <c r="AZ69" s="13"/>
      <c r="BA69" s="13"/>
      <c r="BB69" s="13"/>
      <c r="BC69" s="13"/>
      <c r="BD69" s="13"/>
      <c r="BE69" s="13"/>
      <c r="BF69" s="13"/>
      <c r="BG69" s="13"/>
      <c r="BH69" s="16" t="s">
        <v>884</v>
      </c>
      <c r="BI69" s="13"/>
      <c r="BJ69" s="13"/>
      <c r="BK69" s="13"/>
      <c r="BL69" s="13"/>
      <c r="BM69" s="13"/>
      <c r="BN69" s="1" t="s">
        <v>1120</v>
      </c>
    </row>
    <row r="70" spans="1:66" ht="12" customHeight="1">
      <c r="A70" s="10" t="s">
        <v>438</v>
      </c>
      <c r="B70" s="10" t="s">
        <v>230</v>
      </c>
      <c r="C70" s="11" t="s">
        <v>290</v>
      </c>
      <c r="D70" s="11"/>
      <c r="E70" s="11" t="s">
        <v>290</v>
      </c>
      <c r="F70" s="11"/>
      <c r="G70" s="11" t="s">
        <v>290</v>
      </c>
      <c r="H70" s="12" t="s">
        <v>424</v>
      </c>
      <c r="I70" s="11"/>
      <c r="J70" s="11"/>
      <c r="K70" s="11"/>
      <c r="L70" s="11"/>
      <c r="M70" s="11"/>
      <c r="N70" s="11"/>
      <c r="O70" s="11"/>
      <c r="P70" s="11"/>
      <c r="Q70" s="11"/>
      <c r="R70" s="11">
        <v>191</v>
      </c>
      <c r="S70" s="11" t="s">
        <v>278</v>
      </c>
      <c r="T70" s="13" t="s">
        <v>503</v>
      </c>
      <c r="U70" s="11" t="s">
        <v>381</v>
      </c>
      <c r="V70" s="13" t="s">
        <v>381</v>
      </c>
      <c r="W70" s="13" t="s">
        <v>242</v>
      </c>
      <c r="X70" s="13" t="s">
        <v>381</v>
      </c>
      <c r="Y70" s="14" t="s">
        <v>335</v>
      </c>
      <c r="Z70" s="13" t="s">
        <v>124</v>
      </c>
      <c r="AA70" s="11" t="s">
        <v>252</v>
      </c>
      <c r="AB70" s="11">
        <v>46171603</v>
      </c>
      <c r="AC70" s="11">
        <v>49744</v>
      </c>
      <c r="AD70" s="11" t="s">
        <v>291</v>
      </c>
      <c r="AE70" s="11" t="s">
        <v>313</v>
      </c>
      <c r="AF70" s="11" t="s">
        <v>291</v>
      </c>
      <c r="AG70" s="11" t="s">
        <v>291</v>
      </c>
      <c r="AH70" s="15" t="s">
        <v>577</v>
      </c>
      <c r="AI70" s="13"/>
      <c r="AJ70" s="13"/>
      <c r="AK70" s="13" t="s">
        <v>712</v>
      </c>
      <c r="AL70" s="13" t="s">
        <v>713</v>
      </c>
      <c r="AM70" s="13" t="s">
        <v>713</v>
      </c>
      <c r="AN70" s="13">
        <f>LEN(SUBSTITUTE(AM70, ", ",","))</f>
        <v>67</v>
      </c>
      <c r="AO70" s="13" t="s">
        <v>1074</v>
      </c>
      <c r="AP70" s="13" t="s">
        <v>938</v>
      </c>
      <c r="AQ70" s="13"/>
      <c r="AR70" s="13"/>
      <c r="AS70" s="13"/>
      <c r="AT70" s="13"/>
      <c r="AU70" s="13"/>
      <c r="AV70" s="13"/>
      <c r="AW70" s="13"/>
      <c r="AX70" s="13"/>
      <c r="AY70" s="13" t="s">
        <v>1075</v>
      </c>
      <c r="AZ70" s="13"/>
      <c r="BA70" s="13"/>
      <c r="BB70" s="13" t="s">
        <v>740</v>
      </c>
      <c r="BC70" s="13"/>
      <c r="BD70" s="13" t="s">
        <v>1076</v>
      </c>
      <c r="BE70" s="13"/>
      <c r="BF70" s="13"/>
      <c r="BG70" s="13"/>
      <c r="BH70" s="16" t="s">
        <v>1077</v>
      </c>
      <c r="BI70" s="13"/>
      <c r="BJ70" s="13"/>
      <c r="BK70" s="13"/>
      <c r="BL70" s="13"/>
      <c r="BM70" s="13"/>
      <c r="BN70" s="1" t="s">
        <v>1120</v>
      </c>
    </row>
    <row r="71" spans="1:66" ht="12" customHeight="1">
      <c r="A71" s="10" t="s">
        <v>438</v>
      </c>
      <c r="B71" s="10" t="s">
        <v>230</v>
      </c>
      <c r="C71" s="11" t="s">
        <v>290</v>
      </c>
      <c r="D71" s="11"/>
      <c r="E71" s="11" t="s">
        <v>290</v>
      </c>
      <c r="F71" s="11"/>
      <c r="G71" s="11" t="s">
        <v>290</v>
      </c>
      <c r="H71" s="12" t="s">
        <v>424</v>
      </c>
      <c r="I71" s="11"/>
      <c r="J71" s="11"/>
      <c r="K71" s="11"/>
      <c r="L71" s="11"/>
      <c r="M71" s="11"/>
      <c r="N71" s="11"/>
      <c r="O71" s="11"/>
      <c r="P71" s="11"/>
      <c r="Q71" s="11"/>
      <c r="R71" s="11">
        <v>196</v>
      </c>
      <c r="S71" s="11" t="s">
        <v>430</v>
      </c>
      <c r="T71" s="13" t="s">
        <v>504</v>
      </c>
      <c r="U71" s="11" t="s">
        <v>423</v>
      </c>
      <c r="V71" s="13" t="s">
        <v>423</v>
      </c>
      <c r="W71" s="13" t="s">
        <v>530</v>
      </c>
      <c r="X71" s="13" t="s">
        <v>423</v>
      </c>
      <c r="Y71" s="14" t="s">
        <v>301</v>
      </c>
      <c r="Z71" s="13" t="s">
        <v>387</v>
      </c>
      <c r="AA71" s="11" t="s">
        <v>187</v>
      </c>
      <c r="AB71" s="11"/>
      <c r="AC71" s="11"/>
      <c r="AD71" s="11" t="s">
        <v>291</v>
      </c>
      <c r="AE71" s="11" t="s">
        <v>291</v>
      </c>
      <c r="AF71" s="11" t="s">
        <v>291</v>
      </c>
      <c r="AG71" s="11" t="s">
        <v>291</v>
      </c>
      <c r="AH71" s="13" t="s">
        <v>578</v>
      </c>
      <c r="AI71" s="13"/>
      <c r="AJ71" s="13"/>
      <c r="AK71" s="13" t="s">
        <v>714</v>
      </c>
      <c r="AL71" s="13" t="s">
        <v>715</v>
      </c>
      <c r="AM71" s="13" t="s">
        <v>715</v>
      </c>
      <c r="AN71" s="13">
        <f>LEN(SUBSTITUTE(AM71, ", ",","))</f>
        <v>53</v>
      </c>
      <c r="AO71" s="13" t="s">
        <v>1078</v>
      </c>
      <c r="AP71" s="13" t="s">
        <v>1079</v>
      </c>
      <c r="AQ71" s="13" t="s">
        <v>1080</v>
      </c>
      <c r="AR71" s="13"/>
      <c r="AS71" s="13"/>
      <c r="AT71" s="13"/>
      <c r="AU71" s="13"/>
      <c r="AV71" s="13"/>
      <c r="AW71" s="13"/>
      <c r="AX71" s="13"/>
      <c r="AY71" s="13" t="s">
        <v>1081</v>
      </c>
      <c r="AZ71" s="13"/>
      <c r="BA71" s="13"/>
      <c r="BB71" s="13"/>
      <c r="BC71" s="13"/>
      <c r="BD71" s="13" t="s">
        <v>1082</v>
      </c>
      <c r="BE71" s="13"/>
      <c r="BF71" s="13"/>
      <c r="BG71" s="13" t="s">
        <v>1083</v>
      </c>
      <c r="BH71" s="16" t="s">
        <v>1084</v>
      </c>
      <c r="BI71" s="13"/>
      <c r="BJ71" s="13"/>
      <c r="BK71" s="13"/>
      <c r="BL71" s="13"/>
      <c r="BM71" s="13"/>
      <c r="BN71" s="1" t="s">
        <v>1120</v>
      </c>
    </row>
    <row r="72" spans="1:66" ht="12" customHeight="1">
      <c r="A72" s="10" t="s">
        <v>438</v>
      </c>
      <c r="B72" s="10" t="s">
        <v>230</v>
      </c>
      <c r="C72" s="11" t="s">
        <v>290</v>
      </c>
      <c r="D72" s="11"/>
      <c r="E72" s="11" t="s">
        <v>290</v>
      </c>
      <c r="F72" s="11"/>
      <c r="G72" s="11" t="s">
        <v>290</v>
      </c>
      <c r="H72" s="12" t="s">
        <v>424</v>
      </c>
      <c r="I72" s="11"/>
      <c r="J72" s="11"/>
      <c r="K72" s="11"/>
      <c r="L72" s="11"/>
      <c r="M72" s="11"/>
      <c r="N72" s="11"/>
      <c r="O72" s="11"/>
      <c r="P72" s="11"/>
      <c r="Q72" s="11"/>
      <c r="R72" s="11">
        <v>197</v>
      </c>
      <c r="S72" s="11" t="s">
        <v>197</v>
      </c>
      <c r="T72" s="13" t="s">
        <v>505</v>
      </c>
      <c r="U72" s="11" t="s">
        <v>308</v>
      </c>
      <c r="V72" s="13" t="s">
        <v>308</v>
      </c>
      <c r="W72" s="13" t="s">
        <v>49</v>
      </c>
      <c r="X72" s="13" t="s">
        <v>308</v>
      </c>
      <c r="Y72" s="14" t="s">
        <v>308</v>
      </c>
      <c r="Z72" s="13" t="s">
        <v>50</v>
      </c>
      <c r="AA72" s="11" t="s">
        <v>14</v>
      </c>
      <c r="AB72" s="11">
        <v>41104919</v>
      </c>
      <c r="AC72" s="11">
        <v>36378312</v>
      </c>
      <c r="AD72" s="11" t="s">
        <v>291</v>
      </c>
      <c r="AE72" s="11" t="s">
        <v>14</v>
      </c>
      <c r="AF72" s="11" t="s">
        <v>291</v>
      </c>
      <c r="AG72" s="11" t="s">
        <v>291</v>
      </c>
      <c r="AH72" s="15" t="s">
        <v>579</v>
      </c>
      <c r="AI72" s="13"/>
      <c r="AJ72" s="13"/>
      <c r="AK72" s="13" t="s">
        <v>716</v>
      </c>
      <c r="AL72" s="13" t="s">
        <v>717</v>
      </c>
      <c r="AM72" s="13" t="s">
        <v>717</v>
      </c>
      <c r="AN72" s="13">
        <f>LEN(SUBSTITUTE(AM72, ", ",","))</f>
        <v>24</v>
      </c>
      <c r="AO72" s="13" t="s">
        <v>1085</v>
      </c>
      <c r="AP72" s="13" t="s">
        <v>1086</v>
      </c>
      <c r="AQ72" s="13" t="s">
        <v>1087</v>
      </c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 t="s">
        <v>1088</v>
      </c>
      <c r="BH72" s="16" t="s">
        <v>1089</v>
      </c>
      <c r="BI72" s="13"/>
      <c r="BJ72" s="13"/>
      <c r="BK72" s="13"/>
      <c r="BL72" s="13"/>
      <c r="BM72" s="13"/>
      <c r="BN72" s="1" t="s">
        <v>1120</v>
      </c>
    </row>
    <row r="73" spans="1:66" ht="12" customHeight="1">
      <c r="A73" s="10" t="s">
        <v>438</v>
      </c>
      <c r="B73" s="10" t="s">
        <v>230</v>
      </c>
      <c r="C73" s="11" t="s">
        <v>290</v>
      </c>
      <c r="D73" s="11"/>
      <c r="E73" s="11" t="s">
        <v>290</v>
      </c>
      <c r="F73" s="11"/>
      <c r="G73" s="11" t="s">
        <v>290</v>
      </c>
      <c r="H73" s="12" t="s">
        <v>424</v>
      </c>
      <c r="I73" s="11"/>
      <c r="J73" s="11"/>
      <c r="K73" s="11"/>
      <c r="L73" s="11"/>
      <c r="M73" s="11"/>
      <c r="N73" s="11"/>
      <c r="O73" s="11"/>
      <c r="P73" s="11"/>
      <c r="Q73" s="11"/>
      <c r="R73" s="11">
        <v>203</v>
      </c>
      <c r="S73" s="11" t="s">
        <v>130</v>
      </c>
      <c r="T73" s="13" t="s">
        <v>506</v>
      </c>
      <c r="U73" s="11" t="s">
        <v>429</v>
      </c>
      <c r="V73" s="13" t="s">
        <v>429</v>
      </c>
      <c r="W73" s="13" t="s">
        <v>6</v>
      </c>
      <c r="X73" s="13" t="s">
        <v>429</v>
      </c>
      <c r="Y73" s="14" t="s">
        <v>279</v>
      </c>
      <c r="Z73" s="13" t="s">
        <v>98</v>
      </c>
      <c r="AA73" s="11" t="s">
        <v>154</v>
      </c>
      <c r="AB73" s="11"/>
      <c r="AC73" s="11"/>
      <c r="AD73" s="11" t="s">
        <v>291</v>
      </c>
      <c r="AE73" s="11" t="s">
        <v>291</v>
      </c>
      <c r="AF73" s="11" t="s">
        <v>291</v>
      </c>
      <c r="AG73" s="11" t="s">
        <v>291</v>
      </c>
      <c r="AH73" s="15" t="s">
        <v>580</v>
      </c>
      <c r="AI73" s="13"/>
      <c r="AJ73" s="13"/>
      <c r="AK73" s="13" t="s">
        <v>154</v>
      </c>
      <c r="AL73" s="13" t="s">
        <v>718</v>
      </c>
      <c r="AM73" s="13" t="s">
        <v>718</v>
      </c>
      <c r="AN73" s="13">
        <f>LEN(SUBSTITUTE(AM73, ", ",","))</f>
        <v>43</v>
      </c>
      <c r="AO73" s="13" t="s">
        <v>1090</v>
      </c>
      <c r="AP73" s="15" t="s">
        <v>1091</v>
      </c>
      <c r="AQ73" s="15" t="s">
        <v>1092</v>
      </c>
      <c r="AR73" s="15" t="s">
        <v>1093</v>
      </c>
      <c r="AS73" s="13"/>
      <c r="AT73" s="13"/>
      <c r="AU73" s="13"/>
      <c r="AV73" s="13"/>
      <c r="AW73" s="13"/>
      <c r="AX73" s="13"/>
      <c r="AY73" s="15" t="s">
        <v>1094</v>
      </c>
      <c r="AZ73" s="13"/>
      <c r="BA73" s="13"/>
      <c r="BB73" s="13"/>
      <c r="BC73" s="13"/>
      <c r="BD73" s="13"/>
      <c r="BE73" s="13"/>
      <c r="BF73" s="13"/>
      <c r="BG73" s="13"/>
      <c r="BH73" s="16" t="s">
        <v>884</v>
      </c>
      <c r="BI73" s="13"/>
      <c r="BJ73" s="13"/>
      <c r="BK73" s="13"/>
      <c r="BL73" s="13"/>
      <c r="BM73" s="13"/>
      <c r="BN73" s="1" t="s">
        <v>1120</v>
      </c>
    </row>
    <row r="74" spans="1:66" ht="12" customHeight="1">
      <c r="A74" s="10" t="s">
        <v>438</v>
      </c>
      <c r="B74" s="10" t="s">
        <v>230</v>
      </c>
      <c r="C74" s="11" t="s">
        <v>290</v>
      </c>
      <c r="D74" s="11"/>
      <c r="E74" s="11" t="s">
        <v>290</v>
      </c>
      <c r="F74" s="11"/>
      <c r="G74" s="11" t="s">
        <v>290</v>
      </c>
      <c r="H74" s="12" t="s">
        <v>424</v>
      </c>
      <c r="I74" s="11"/>
      <c r="J74" s="11"/>
      <c r="K74" s="11"/>
      <c r="L74" s="11"/>
      <c r="M74" s="11"/>
      <c r="N74" s="11"/>
      <c r="O74" s="11"/>
      <c r="P74" s="11"/>
      <c r="Q74" s="11"/>
      <c r="R74" s="11">
        <v>204</v>
      </c>
      <c r="S74" s="11" t="s">
        <v>150</v>
      </c>
      <c r="T74" s="13" t="s">
        <v>507</v>
      </c>
      <c r="U74" s="11" t="s">
        <v>421</v>
      </c>
      <c r="V74" s="13" t="s">
        <v>421</v>
      </c>
      <c r="W74" s="13" t="s">
        <v>531</v>
      </c>
      <c r="X74" s="13" t="s">
        <v>421</v>
      </c>
      <c r="Y74" s="14" t="s">
        <v>421</v>
      </c>
      <c r="Z74" s="13" t="s">
        <v>532</v>
      </c>
      <c r="AA74" s="11" t="s">
        <v>267</v>
      </c>
      <c r="AB74" s="11"/>
      <c r="AC74" s="11"/>
      <c r="AD74" s="11" t="s">
        <v>291</v>
      </c>
      <c r="AE74" s="11" t="s">
        <v>291</v>
      </c>
      <c r="AF74" s="11" t="s">
        <v>291</v>
      </c>
      <c r="AG74" s="11" t="s">
        <v>291</v>
      </c>
      <c r="AH74" s="16" t="s">
        <v>561</v>
      </c>
      <c r="AI74" s="13" t="s">
        <v>96</v>
      </c>
      <c r="AJ74" s="17" t="s">
        <v>587</v>
      </c>
      <c r="AK74" s="13" t="s">
        <v>267</v>
      </c>
      <c r="AL74" s="13" t="s">
        <v>719</v>
      </c>
      <c r="AM74" s="13" t="s">
        <v>719</v>
      </c>
      <c r="AN74" s="13">
        <f>LEN(SUBSTITUTE(AM74, ", ",","))</f>
        <v>60</v>
      </c>
      <c r="AO74" s="13" t="s">
        <v>780</v>
      </c>
      <c r="AP74" s="13" t="s">
        <v>951</v>
      </c>
      <c r="AQ74" s="13" t="s">
        <v>1095</v>
      </c>
      <c r="AR74" s="13"/>
      <c r="AS74" s="13"/>
      <c r="AT74" s="13" t="s">
        <v>1096</v>
      </c>
      <c r="AU74" s="13"/>
      <c r="AV74" s="13"/>
      <c r="AW74" s="13"/>
      <c r="AX74" s="13"/>
      <c r="AY74" s="13" t="s">
        <v>1097</v>
      </c>
      <c r="AZ74" s="13"/>
      <c r="BA74" s="13"/>
      <c r="BB74" s="13"/>
      <c r="BC74" s="13"/>
      <c r="BD74" s="13"/>
      <c r="BE74" s="13"/>
      <c r="BF74" s="13"/>
      <c r="BG74" s="13"/>
      <c r="BH74" s="16" t="s">
        <v>884</v>
      </c>
      <c r="BI74" s="13"/>
      <c r="BJ74" s="13"/>
      <c r="BK74" s="13"/>
      <c r="BL74" s="13"/>
      <c r="BM74" s="13"/>
      <c r="BN74" s="1" t="s">
        <v>1120</v>
      </c>
    </row>
    <row r="75" spans="1:66" ht="12" customHeight="1">
      <c r="A75" s="10" t="s">
        <v>438</v>
      </c>
      <c r="B75" s="10" t="s">
        <v>230</v>
      </c>
      <c r="C75" s="11" t="s">
        <v>290</v>
      </c>
      <c r="D75" s="11"/>
      <c r="E75" s="11" t="s">
        <v>290</v>
      </c>
      <c r="F75" s="11"/>
      <c r="G75" s="11" t="s">
        <v>290</v>
      </c>
      <c r="H75" s="12" t="s">
        <v>424</v>
      </c>
      <c r="I75" s="11"/>
      <c r="J75" s="11"/>
      <c r="K75" s="11"/>
      <c r="L75" s="11"/>
      <c r="M75" s="11"/>
      <c r="N75" s="11"/>
      <c r="O75" s="11"/>
      <c r="P75" s="11"/>
      <c r="Q75" s="11"/>
      <c r="R75" s="11">
        <v>206</v>
      </c>
      <c r="S75" s="11" t="s">
        <v>163</v>
      </c>
      <c r="T75" s="13" t="s">
        <v>498</v>
      </c>
      <c r="U75" s="11" t="s">
        <v>209</v>
      </c>
      <c r="V75" s="13" t="s">
        <v>209</v>
      </c>
      <c r="W75" s="13" t="s">
        <v>99</v>
      </c>
      <c r="X75" s="13" t="s">
        <v>209</v>
      </c>
      <c r="Y75" s="14" t="s">
        <v>209</v>
      </c>
      <c r="Z75" s="13" t="s">
        <v>78</v>
      </c>
      <c r="AA75" s="11" t="s">
        <v>235</v>
      </c>
      <c r="AB75" s="11"/>
      <c r="AC75" s="11"/>
      <c r="AD75" s="11" t="s">
        <v>291</v>
      </c>
      <c r="AE75" s="11" t="s">
        <v>291</v>
      </c>
      <c r="AF75" s="11" t="s">
        <v>291</v>
      </c>
      <c r="AG75" s="11" t="s">
        <v>291</v>
      </c>
      <c r="AH75" s="15" t="s">
        <v>581</v>
      </c>
      <c r="AI75" s="13"/>
      <c r="AJ75" s="13"/>
      <c r="AK75" s="13" t="s">
        <v>235</v>
      </c>
      <c r="AL75" s="13" t="s">
        <v>720</v>
      </c>
      <c r="AM75" s="13" t="s">
        <v>720</v>
      </c>
      <c r="AN75" s="13">
        <f>LEN(SUBSTITUTE(AM75, ", ",","))</f>
        <v>147</v>
      </c>
      <c r="AO75" s="13" t="s">
        <v>1098</v>
      </c>
      <c r="AP75" s="13" t="s">
        <v>1099</v>
      </c>
      <c r="AQ75" s="13"/>
      <c r="AR75" s="13"/>
      <c r="AS75" s="13"/>
      <c r="AT75" s="13"/>
      <c r="AU75" s="13"/>
      <c r="AV75" s="13" t="s">
        <v>1033</v>
      </c>
      <c r="AW75" s="13"/>
      <c r="AX75" s="13"/>
      <c r="AY75" s="13" t="s">
        <v>1100</v>
      </c>
      <c r="AZ75" s="13" t="s">
        <v>1101</v>
      </c>
      <c r="BA75" s="13"/>
      <c r="BB75" s="13" t="s">
        <v>835</v>
      </c>
      <c r="BC75" s="13"/>
      <c r="BD75" s="13" t="s">
        <v>1102</v>
      </c>
      <c r="BE75" s="13"/>
      <c r="BF75" s="13"/>
      <c r="BG75" s="13" t="s">
        <v>1037</v>
      </c>
      <c r="BH75" s="16" t="s">
        <v>884</v>
      </c>
      <c r="BI75" s="13"/>
      <c r="BJ75" s="13"/>
      <c r="BK75" s="13"/>
      <c r="BL75" s="13"/>
      <c r="BM75" s="13"/>
      <c r="BN75" s="1" t="s">
        <v>1120</v>
      </c>
    </row>
    <row r="76" spans="1:66" ht="12" customHeight="1">
      <c r="A76" s="10" t="s">
        <v>438</v>
      </c>
      <c r="B76" s="10" t="s">
        <v>230</v>
      </c>
      <c r="C76" s="11" t="s">
        <v>290</v>
      </c>
      <c r="D76" s="11"/>
      <c r="E76" s="11" t="s">
        <v>290</v>
      </c>
      <c r="F76" s="11"/>
      <c r="G76" s="11" t="s">
        <v>290</v>
      </c>
      <c r="H76" s="12" t="s">
        <v>424</v>
      </c>
      <c r="I76" s="11"/>
      <c r="J76" s="11"/>
      <c r="K76" s="11"/>
      <c r="L76" s="11"/>
      <c r="M76" s="11"/>
      <c r="N76" s="11"/>
      <c r="O76" s="11"/>
      <c r="P76" s="11"/>
      <c r="Q76" s="11"/>
      <c r="R76" s="11">
        <v>213</v>
      </c>
      <c r="S76" s="11" t="s">
        <v>432</v>
      </c>
      <c r="T76" s="13" t="s">
        <v>479</v>
      </c>
      <c r="U76" s="11" t="s">
        <v>223</v>
      </c>
      <c r="V76" s="13" t="s">
        <v>223</v>
      </c>
      <c r="W76" s="13" t="s">
        <v>514</v>
      </c>
      <c r="X76" s="13" t="s">
        <v>223</v>
      </c>
      <c r="Y76" s="14" t="s">
        <v>322</v>
      </c>
      <c r="Z76" s="13" t="s">
        <v>533</v>
      </c>
      <c r="AA76" s="11" t="s">
        <v>160</v>
      </c>
      <c r="AB76" s="11"/>
      <c r="AC76" s="11"/>
      <c r="AD76" s="11" t="s">
        <v>291</v>
      </c>
      <c r="AE76" s="11" t="s">
        <v>291</v>
      </c>
      <c r="AF76" s="11" t="s">
        <v>291</v>
      </c>
      <c r="AG76" s="11" t="s">
        <v>291</v>
      </c>
      <c r="AH76" s="15" t="s">
        <v>582</v>
      </c>
      <c r="AI76" s="13"/>
      <c r="AJ76" s="13"/>
      <c r="AK76" s="13" t="s">
        <v>721</v>
      </c>
      <c r="AL76" s="13" t="s">
        <v>722</v>
      </c>
      <c r="AM76" s="13" t="s">
        <v>722</v>
      </c>
      <c r="AN76" s="13">
        <f>LEN(SUBSTITUTE(AM76, ", ",","))</f>
        <v>116</v>
      </c>
      <c r="AO76" s="13" t="s">
        <v>1085</v>
      </c>
      <c r="AP76" s="13" t="s">
        <v>1103</v>
      </c>
      <c r="AQ76" s="13"/>
      <c r="AR76" s="13" t="s">
        <v>1104</v>
      </c>
      <c r="AS76" s="13"/>
      <c r="AT76" s="13"/>
      <c r="AU76" s="13"/>
      <c r="AV76" s="13"/>
      <c r="AW76" s="13"/>
      <c r="AX76" s="13"/>
      <c r="AY76" s="13" t="s">
        <v>1105</v>
      </c>
      <c r="AZ76" s="13" t="s">
        <v>1106</v>
      </c>
      <c r="BA76" s="13"/>
      <c r="BB76" s="13" t="s">
        <v>1107</v>
      </c>
      <c r="BC76" s="13"/>
      <c r="BD76" s="13" t="s">
        <v>1108</v>
      </c>
      <c r="BE76" s="13"/>
      <c r="BF76" s="13"/>
      <c r="BG76" s="13" t="s">
        <v>1109</v>
      </c>
      <c r="BH76" s="16" t="s">
        <v>1110</v>
      </c>
      <c r="BI76" s="13"/>
      <c r="BJ76" s="13"/>
      <c r="BK76" s="13"/>
      <c r="BL76" s="13"/>
      <c r="BM76" s="13"/>
      <c r="BN76" s="1" t="s">
        <v>1120</v>
      </c>
    </row>
    <row r="77" spans="1:66" ht="12" customHeight="1">
      <c r="A77" s="10" t="s">
        <v>438</v>
      </c>
      <c r="B77" s="10" t="s">
        <v>230</v>
      </c>
      <c r="C77" s="11" t="s">
        <v>290</v>
      </c>
      <c r="D77" s="11"/>
      <c r="E77" s="11" t="s">
        <v>290</v>
      </c>
      <c r="F77" s="11"/>
      <c r="G77" s="11" t="s">
        <v>290</v>
      </c>
      <c r="H77" s="12" t="s">
        <v>424</v>
      </c>
      <c r="I77" s="11"/>
      <c r="J77" s="11"/>
      <c r="K77" s="11"/>
      <c r="L77" s="11"/>
      <c r="M77" s="11"/>
      <c r="N77" s="11"/>
      <c r="O77" s="11"/>
      <c r="P77" s="11"/>
      <c r="Q77" s="11"/>
      <c r="R77" s="11">
        <v>214</v>
      </c>
      <c r="S77" s="11" t="s">
        <v>432</v>
      </c>
      <c r="T77" s="13" t="s">
        <v>479</v>
      </c>
      <c r="U77" s="11" t="s">
        <v>372</v>
      </c>
      <c r="V77" s="13" t="s">
        <v>372</v>
      </c>
      <c r="W77" s="13" t="s">
        <v>514</v>
      </c>
      <c r="X77" s="13" t="s">
        <v>372</v>
      </c>
      <c r="Y77" s="14" t="s">
        <v>8</v>
      </c>
      <c r="Z77" s="13" t="s">
        <v>534</v>
      </c>
      <c r="AA77" s="11" t="s">
        <v>257</v>
      </c>
      <c r="AB77" s="11"/>
      <c r="AC77" s="11"/>
      <c r="AD77" s="11" t="s">
        <v>291</v>
      </c>
      <c r="AE77" s="11" t="s">
        <v>291</v>
      </c>
      <c r="AF77" s="11" t="s">
        <v>291</v>
      </c>
      <c r="AG77" s="11" t="s">
        <v>291</v>
      </c>
      <c r="AH77" s="15" t="s">
        <v>583</v>
      </c>
      <c r="AI77" s="13"/>
      <c r="AJ77" s="13"/>
      <c r="AK77" s="13" t="s">
        <v>723</v>
      </c>
      <c r="AL77" s="13" t="s">
        <v>724</v>
      </c>
      <c r="AM77" s="13" t="s">
        <v>725</v>
      </c>
      <c r="AN77" s="13">
        <f>LEN(SUBSTITUTE(AM77, ", ",","))</f>
        <v>41</v>
      </c>
      <c r="AO77" s="13" t="s">
        <v>891</v>
      </c>
      <c r="AP77" s="13" t="s">
        <v>1103</v>
      </c>
      <c r="AQ77" s="13" t="s">
        <v>1111</v>
      </c>
      <c r="AR77" s="13"/>
      <c r="AS77" s="13"/>
      <c r="AT77" s="13"/>
      <c r="AU77" s="13"/>
      <c r="AV77" s="13" t="s">
        <v>1112</v>
      </c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 t="s">
        <v>1113</v>
      </c>
      <c r="BH77" s="16" t="s">
        <v>1114</v>
      </c>
      <c r="BI77" s="13"/>
      <c r="BJ77" s="13"/>
      <c r="BK77" s="13"/>
      <c r="BL77" s="13"/>
      <c r="BM77" s="13"/>
      <c r="BN77" s="1" t="s">
        <v>1120</v>
      </c>
    </row>
    <row r="78" spans="1:66" ht="12" customHeight="1">
      <c r="A78" s="10" t="s">
        <v>438</v>
      </c>
      <c r="B78" s="10" t="s">
        <v>230</v>
      </c>
      <c r="C78" s="11" t="s">
        <v>290</v>
      </c>
      <c r="D78" s="11"/>
      <c r="E78" s="11" t="s">
        <v>290</v>
      </c>
      <c r="F78" s="11"/>
      <c r="G78" s="11" t="s">
        <v>290</v>
      </c>
      <c r="H78" s="12" t="s">
        <v>424</v>
      </c>
      <c r="I78" s="11"/>
      <c r="J78" s="11"/>
      <c r="K78" s="11"/>
      <c r="L78" s="11"/>
      <c r="M78" s="11"/>
      <c r="N78" s="11"/>
      <c r="O78" s="11"/>
      <c r="P78" s="11"/>
      <c r="Q78" s="11"/>
      <c r="R78" s="11">
        <v>216</v>
      </c>
      <c r="S78" s="11" t="s">
        <v>157</v>
      </c>
      <c r="T78" s="13" t="s">
        <v>508</v>
      </c>
      <c r="U78" s="11" t="s">
        <v>105</v>
      </c>
      <c r="V78" s="13" t="s">
        <v>105</v>
      </c>
      <c r="W78" s="13" t="s">
        <v>417</v>
      </c>
      <c r="X78" s="13" t="s">
        <v>105</v>
      </c>
      <c r="Y78" s="14" t="s">
        <v>319</v>
      </c>
      <c r="Z78" s="13" t="s">
        <v>178</v>
      </c>
      <c r="AA78" s="11" t="s">
        <v>368</v>
      </c>
      <c r="AB78" s="11"/>
      <c r="AC78" s="11"/>
      <c r="AD78" s="11" t="s">
        <v>291</v>
      </c>
      <c r="AE78" s="11" t="s">
        <v>291</v>
      </c>
      <c r="AF78" s="11" t="s">
        <v>291</v>
      </c>
      <c r="AG78" s="11" t="s">
        <v>291</v>
      </c>
      <c r="AH78" s="15" t="s">
        <v>584</v>
      </c>
      <c r="AI78" s="13" t="s">
        <v>96</v>
      </c>
      <c r="AJ78" s="17" t="s">
        <v>587</v>
      </c>
      <c r="AK78" s="13" t="s">
        <v>368</v>
      </c>
      <c r="AL78" s="13" t="s">
        <v>726</v>
      </c>
      <c r="AM78" s="13" t="s">
        <v>726</v>
      </c>
      <c r="AN78" s="13">
        <f>LEN(SUBSTITUTE(AM78, ", ",","))</f>
        <v>49</v>
      </c>
      <c r="AO78" s="13" t="s">
        <v>1115</v>
      </c>
      <c r="AP78" s="13" t="s">
        <v>951</v>
      </c>
      <c r="AQ78" s="15" t="s">
        <v>1116</v>
      </c>
      <c r="AR78" s="13" t="s">
        <v>1117</v>
      </c>
      <c r="AS78" s="13"/>
      <c r="AT78" s="13" t="s">
        <v>1118</v>
      </c>
      <c r="AU78" s="13"/>
      <c r="AV78" s="13"/>
      <c r="AW78" s="13"/>
      <c r="AX78" s="13" t="s">
        <v>987</v>
      </c>
      <c r="AY78" s="13" t="s">
        <v>1119</v>
      </c>
      <c r="AZ78" s="13"/>
      <c r="BA78" s="13"/>
      <c r="BB78" s="13"/>
      <c r="BC78" s="13"/>
      <c r="BD78" s="13"/>
      <c r="BE78" s="13"/>
      <c r="BF78" s="13"/>
      <c r="BG78" s="13"/>
      <c r="BH78" s="16" t="s">
        <v>884</v>
      </c>
      <c r="BI78" s="13"/>
      <c r="BJ78" s="13"/>
      <c r="BK78" s="13"/>
      <c r="BL78" s="13"/>
      <c r="BM78" s="13"/>
      <c r="BN78" s="1" t="s">
        <v>1120</v>
      </c>
    </row>
  </sheetData>
  <sortState ref="A2:BO78">
    <sortCondition ref="R2:R78"/>
  </sortState>
  <hyperlinks>
    <hyperlink ref="BH33" r:id="rId1" display="https://diversatekhealthcare.com/lasso-polypectomy-snares/, v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2023-05-18T12:38:33Z</dcterms:modified>
  <cp:category/>
</cp:coreProperties>
</file>