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kshatha\Desktop\PDG_20TH JUNE\"/>
    </mc:Choice>
  </mc:AlternateContent>
  <bookViews>
    <workbookView xWindow="0" yWindow="0" windowWidth="19200" windowHeight="662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Sheet1!$A$1:$DG$42</definedName>
  </definedNames>
  <calcPr calcId="162913"/>
  <webPublishing codePage="0"/>
</workbook>
</file>

<file path=xl/calcChain.xml><?xml version="1.0" encoding="utf-8"?>
<calcChain xmlns="http://schemas.openxmlformats.org/spreadsheetml/2006/main">
  <c r="AW42" i="1" l="1"/>
  <c r="AW41" i="1"/>
  <c r="AW40" i="1"/>
  <c r="AW39" i="1"/>
  <c r="AW38" i="1"/>
  <c r="AW37" i="1"/>
  <c r="AW36" i="1"/>
  <c r="AW35" i="1"/>
  <c r="AW34" i="1"/>
  <c r="AW33" i="1"/>
  <c r="AW32" i="1"/>
  <c r="AW31" i="1"/>
  <c r="AW30" i="1"/>
  <c r="AW29" i="1"/>
  <c r="AW28" i="1"/>
  <c r="AW27" i="1"/>
  <c r="AW26" i="1"/>
  <c r="AW25" i="1"/>
  <c r="AW24" i="1"/>
  <c r="AW23" i="1"/>
  <c r="AW22" i="1"/>
  <c r="AW21" i="1"/>
  <c r="AW20" i="1"/>
  <c r="AW19" i="1"/>
  <c r="AW18" i="1"/>
  <c r="AW17" i="1"/>
  <c r="AW16" i="1"/>
  <c r="AW15" i="1"/>
  <c r="AW14" i="1"/>
  <c r="AW13" i="1"/>
  <c r="AW12" i="1"/>
  <c r="AW11" i="1"/>
  <c r="AW10" i="1"/>
  <c r="AW9" i="1"/>
  <c r="AW8" i="1"/>
  <c r="AW7" i="1"/>
  <c r="AW6" i="1"/>
  <c r="AW5" i="1"/>
  <c r="AW4" i="1"/>
  <c r="AW3" i="1"/>
  <c r="AW2" i="1"/>
</calcChain>
</file>

<file path=xl/sharedStrings.xml><?xml version="1.0" encoding="utf-8"?>
<sst xmlns="http://schemas.openxmlformats.org/spreadsheetml/2006/main" count="1501" uniqueCount="654">
  <si>
    <t>Item Description (Long Description 4000)1</t>
  </si>
  <si>
    <t>RefCat</t>
  </si>
  <si>
    <t>Power Cord Esg/Afu  Usa/Can For Bipolar Electrosurgical System</t>
  </si>
  <si>
    <t>UNSPC V24</t>
  </si>
  <si>
    <t>Attachment Endoscope L3mm Dia16.7mm Distal Soft Straight Side Hole For Draining Fluid To Support Endoscopic Submucosal Dissection Disposable</t>
  </si>
  <si>
    <t>81553005S</t>
  </si>
  <si>
    <t>PRODIGO1051563</t>
  </si>
  <si>
    <t>106450</t>
  </si>
  <si>
    <t>Miscellaneous1</t>
  </si>
  <si>
    <t>Packaging for drugs and solutions</t>
  </si>
  <si>
    <t>PDG</t>
  </si>
  <si>
    <t>Age</t>
  </si>
  <si>
    <t>FG220P</t>
  </si>
  <si>
    <t>PRODIGO1051400</t>
  </si>
  <si>
    <t>EPK230301</t>
  </si>
  <si>
    <t>Production Comments</t>
  </si>
  <si>
    <t>3M</t>
  </si>
  <si>
    <t>PRODIGO1051390</t>
  </si>
  <si>
    <t>Tab</t>
  </si>
  <si>
    <t>SWITCH CONTROL FOOT ROSI</t>
  </si>
  <si>
    <t>Location</t>
  </si>
  <si>
    <t>106410</t>
  </si>
  <si>
    <t>QA Code</t>
  </si>
  <si>
    <t>PRODIGO1051365</t>
  </si>
  <si>
    <t>Material</t>
  </si>
  <si>
    <t>PRODIGO1051355</t>
  </si>
  <si>
    <t>DE Code</t>
  </si>
  <si>
    <t>PRODIGO1051385</t>
  </si>
  <si>
    <t>PRODIGO1051395</t>
  </si>
  <si>
    <t>Validated MFR Num</t>
  </si>
  <si>
    <t>Job No</t>
  </si>
  <si>
    <t>ProTech Sm Distal Tip Eval Pack 25/Box</t>
  </si>
  <si>
    <t>PRODIGO1051565</t>
  </si>
  <si>
    <t>Short Description 60 Enriched1</t>
  </si>
  <si>
    <t>11kProdigoItemKey</t>
  </si>
  <si>
    <t>K402</t>
  </si>
  <si>
    <t>Sort Code</t>
  </si>
  <si>
    <t>PRODIGO1051401</t>
  </si>
  <si>
    <t>Kit Airway Sizing Endobronchial Disposable Device Spiration Valve System</t>
  </si>
  <si>
    <t>Description Duplicate</t>
  </si>
  <si>
    <t>Adjective</t>
  </si>
  <si>
    <t>PRODIGO1051392</t>
  </si>
  <si>
    <t>PRODIGO1051084</t>
  </si>
  <si>
    <t>64kProdigoItemKey</t>
  </si>
  <si>
    <t>PRODIGO1051381</t>
  </si>
  <si>
    <t>EZ Clip YELLOW 8.5mm 90 degree 40/bx</t>
  </si>
  <si>
    <t>Classification Remarks</t>
  </si>
  <si>
    <t>Prodigo Standard Short Description - 254</t>
  </si>
  <si>
    <t>PRODIGO0283600</t>
  </si>
  <si>
    <t>Brandname1</t>
  </si>
  <si>
    <t>Latex</t>
  </si>
  <si>
    <t>OLYMPUS</t>
  </si>
  <si>
    <t>URL</t>
  </si>
  <si>
    <t>ForGhria_Output_2023-06-23</t>
  </si>
  <si>
    <t>Data Enrichment | UNSPSC Classification</t>
  </si>
  <si>
    <t>CORD PWR HOSP GRADE ROSI</t>
  </si>
  <si>
    <t>PROTECHXL</t>
  </si>
  <si>
    <t>Source1</t>
  </si>
  <si>
    <t>D20111802</t>
  </si>
  <si>
    <t>Item Name (Short Description)</t>
  </si>
  <si>
    <t>FB19N1</t>
  </si>
  <si>
    <t>Quality A/R</t>
  </si>
  <si>
    <t>GLOBUS MEDICAL</t>
  </si>
  <si>
    <t>Accepted Date</t>
  </si>
  <si>
    <t>Mapped with 066</t>
  </si>
  <si>
    <t>200812</t>
  </si>
  <si>
    <t>VASCULAR TECHNOLOGIES INC</t>
  </si>
  <si>
    <t>Project2</t>
  </si>
  <si>
    <t>Production User</t>
  </si>
  <si>
    <t>EndoClot Applicators  5/BX</t>
  </si>
  <si>
    <t>Volume/Weight</t>
  </si>
  <si>
    <t>Remarks</t>
  </si>
  <si>
    <t>ASIS Item Description (Long Description 4000)</t>
  </si>
  <si>
    <t>3M HEALTHCARE</t>
  </si>
  <si>
    <t>PRODIGO1051397</t>
  </si>
  <si>
    <t>PrimaryDimension(IDXODXLXWXHXDXTHK)</t>
  </si>
  <si>
    <t>Gender</t>
  </si>
  <si>
    <t>Project1</t>
  </si>
  <si>
    <t>Forceps Endoscopic Grasping Disposable</t>
  </si>
  <si>
    <t>ProdigoItemKey</t>
  </si>
  <si>
    <t>Start Date</t>
  </si>
  <si>
    <t>SIGNIFY Gel InstaFill Cartridge 5cc</t>
  </si>
  <si>
    <t>PRODIGO0375360</t>
  </si>
  <si>
    <t>Ref#</t>
  </si>
  <si>
    <t>PRODIGO1051384</t>
  </si>
  <si>
    <t>PRODIGO1051394</t>
  </si>
  <si>
    <t>SlNo</t>
  </si>
  <si>
    <t>EA230</t>
  </si>
  <si>
    <t>QE Comments</t>
  </si>
  <si>
    <t>PDF</t>
  </si>
  <si>
    <t>Source</t>
  </si>
  <si>
    <t>347404U</t>
  </si>
  <si>
    <t>D20112402</t>
  </si>
  <si>
    <t>PRODIGO1051398</t>
  </si>
  <si>
    <t>PRODIGO1051389</t>
  </si>
  <si>
    <t>Short Description 60 Enriched</t>
  </si>
  <si>
    <t>Customer Code</t>
  </si>
  <si>
    <t>HX610090</t>
  </si>
  <si>
    <t>Attachment Endoscope L2mm Dia12.7mm Distal Soft Straight Side Hole For Draining Fluid To Support Endoscopic Submucosal Dissection Disposable</t>
  </si>
  <si>
    <t>Modifier</t>
  </si>
  <si>
    <t>TUBING IRRIG SUCT ROSI xT</t>
  </si>
  <si>
    <t>Corrected By</t>
  </si>
  <si>
    <t>PRODIGO1051085</t>
  </si>
  <si>
    <t>Attachment Endoscope Dia12.1mm Distal End 2mm Straight Soft Disposable For GIF-Q240Z</t>
  </si>
  <si>
    <t>Len</t>
  </si>
  <si>
    <t>61326005S</t>
  </si>
  <si>
    <t>Potential Duplicates1</t>
  </si>
  <si>
    <t>SE Code</t>
  </si>
  <si>
    <t>Mfg Name</t>
  </si>
  <si>
    <t>Standardized Manufacturer Name</t>
  </si>
  <si>
    <t>PRODIGO1051562</t>
  </si>
  <si>
    <t>Ref</t>
  </si>
  <si>
    <t>SLNo_Prod</t>
  </si>
  <si>
    <t>RR DONNELLEY</t>
  </si>
  <si>
    <t>EPK230301KITAC</t>
  </si>
  <si>
    <t>Long Description 254 Enriched1</t>
  </si>
  <si>
    <t>InstaFill Conical Tip</t>
  </si>
  <si>
    <t>Clip Ligation Arm L4mm 135deg Gray Cartridge Super Short For Upper Lower GI Endoscopy Hard Tissue And Bleeding Ulcer EZ Clip</t>
  </si>
  <si>
    <t>BF Single-Use Hot Biopsy Forceps 2.0mm</t>
  </si>
  <si>
    <t>FG232L</t>
  </si>
  <si>
    <t>Status</t>
  </si>
  <si>
    <t>PRODIGO1051564</t>
  </si>
  <si>
    <t>PROTECHLDEMO</t>
  </si>
  <si>
    <t>Disposable</t>
  </si>
  <si>
    <t>D20116403</t>
  </si>
  <si>
    <t>Sort Comment</t>
  </si>
  <si>
    <t>HCPCS Desc1</t>
  </si>
  <si>
    <t>Delivered Date</t>
  </si>
  <si>
    <t>NA201SX4021</t>
  </si>
  <si>
    <t>HCPCS code</t>
  </si>
  <si>
    <t>PROTECH XL Distal Tip Protector</t>
  </si>
  <si>
    <t>Mfg Item Number</t>
  </si>
  <si>
    <t>EPK230501</t>
  </si>
  <si>
    <t>016-235</t>
  </si>
  <si>
    <t>016-235-2</t>
  </si>
  <si>
    <t>Remarks1</t>
  </si>
  <si>
    <t>Guide Sheath Kit 2 - 1.91mm - wo Brush</t>
  </si>
  <si>
    <t>Project_Code</t>
  </si>
  <si>
    <t>PRODIGO1051391</t>
  </si>
  <si>
    <t>PRODIGO1051087</t>
  </si>
  <si>
    <t>Activities</t>
  </si>
  <si>
    <t>QE Code</t>
  </si>
  <si>
    <t>PRODIGO1051383</t>
  </si>
  <si>
    <t>PRODIGO1051382</t>
  </si>
  <si>
    <t>PRODIGO0388253</t>
  </si>
  <si>
    <t>OLYMPUS AMERICA INC</t>
  </si>
  <si>
    <t>TUBING IRRIG SUCT ROSI</t>
  </si>
  <si>
    <t>Conc</t>
  </si>
  <si>
    <t>EDGv4 - Detacher</t>
  </si>
  <si>
    <t>Project</t>
  </si>
  <si>
    <t>PRODIGO1051399</t>
  </si>
  <si>
    <t>Long Description</t>
  </si>
  <si>
    <t>EPK230501KIT35AC</t>
  </si>
  <si>
    <t>Size</t>
  </si>
  <si>
    <t>3M RANGER IRRIGATION FLUID WARMING UNIT 24700 120V-ENG-B 1 EACH</t>
  </si>
  <si>
    <t>HCPCS description</t>
  </si>
  <si>
    <t>Forceps Grasping Single Use W Shape 14.0 mm</t>
  </si>
  <si>
    <t>Potential Duplicates</t>
  </si>
  <si>
    <t>File Name</t>
  </si>
  <si>
    <t>PRODIGO1051560</t>
  </si>
  <si>
    <t>System Hemostatic L230cm Channel Dia2.8mm Polysaccharide 3gm AMP Powder And Delivery Applicator EndoClot</t>
  </si>
  <si>
    <t>LASER SH WH 2-5/8X1 250/PK-4/CT</t>
  </si>
  <si>
    <t>UNSPSC</t>
  </si>
  <si>
    <t>EMERGENCY LITHOTRIPTOR HANDLE  SU</t>
  </si>
  <si>
    <t>PRODIGO1051388</t>
  </si>
  <si>
    <t>UNSPSC1</t>
  </si>
  <si>
    <t>Sterile</t>
  </si>
  <si>
    <t>Batch</t>
  </si>
  <si>
    <t>Needle Aspiration 21ga L20-40mm Working L700mm Channel 2mm Distal End Adjustable Two Way Disposable EBUS-TBNA</t>
  </si>
  <si>
    <t>PRODIGO1051282</t>
  </si>
  <si>
    <t>InstaFill Cartridge 5cc</t>
  </si>
  <si>
    <t>System Hemostatic L230cm Channel Dia2.8mm Polysaccharide 5gm AMP Powder And Delivery Applicator EndoClot</t>
  </si>
  <si>
    <t>FG214P</t>
  </si>
  <si>
    <t>016-235-3</t>
  </si>
  <si>
    <t>Color</t>
  </si>
  <si>
    <t>016-235-1</t>
  </si>
  <si>
    <t>Disposable Surgical Scissors 2.8mm</t>
  </si>
  <si>
    <t>EPK2303-01-KIT3AC</t>
  </si>
  <si>
    <t>PRODIGO1051387</t>
  </si>
  <si>
    <t>Validated MFR Name</t>
  </si>
  <si>
    <t>Classification Remarks1</t>
  </si>
  <si>
    <t>PROTECHSDEMO</t>
  </si>
  <si>
    <t>UNSPSC Description1</t>
  </si>
  <si>
    <t>CONTROL UNIT ROSI</t>
  </si>
  <si>
    <t>Standardized UNSPSC</t>
  </si>
  <si>
    <t>SVSVSK06</t>
  </si>
  <si>
    <t>Irrigation Tubing With Air Disposable Hybrid</t>
  </si>
  <si>
    <t>QA Comments</t>
  </si>
  <si>
    <t>Short Description</t>
  </si>
  <si>
    <t>ProdigoItemKey1</t>
  </si>
  <si>
    <t>CUFF INFLATION ROSI</t>
  </si>
  <si>
    <t>PRODIGO0375987</t>
  </si>
  <si>
    <t>MAJ2209</t>
  </si>
  <si>
    <t>Long Description 254 Enriched</t>
  </si>
  <si>
    <t>108110US</t>
  </si>
  <si>
    <t>FG-220P RUBBER TIP RETRIEVAL FOR 2.0MM</t>
  </si>
  <si>
    <t>Forcep Grasping Single Use Rat Tooth 7.3 mm</t>
  </si>
  <si>
    <t>To Process</t>
  </si>
  <si>
    <t>BrandName</t>
  </si>
  <si>
    <t>UNSPSC Description</t>
  </si>
  <si>
    <t>KANEKA MEDICAL AMERICA</t>
  </si>
  <si>
    <t>Descr Status</t>
  </si>
  <si>
    <t>PRODIGO1051600</t>
  </si>
  <si>
    <t>FG804L</t>
  </si>
  <si>
    <t>Noun</t>
  </si>
  <si>
    <t>Standardized UNSPSC1</t>
  </si>
  <si>
    <t>81125105S</t>
  </si>
  <si>
    <t>Item Description (Long Description)</t>
  </si>
  <si>
    <t>PRODIGO1051561</t>
  </si>
  <si>
    <t>61325003S</t>
  </si>
  <si>
    <t>24700</t>
  </si>
  <si>
    <t>ProTech Lg Distal Tip Eval Pack 25/Box</t>
  </si>
  <si>
    <t>ULDP5030X</t>
  </si>
  <si>
    <t>HCPCS1</t>
  </si>
  <si>
    <t>RefName</t>
  </si>
  <si>
    <t>Delivered</t>
  </si>
  <si>
    <t>Miscellaneous</t>
  </si>
  <si>
    <t>Mfg Ref ID</t>
  </si>
  <si>
    <t>PRODIGO1051396</t>
  </si>
  <si>
    <t>106400</t>
  </si>
  <si>
    <t>HX610135XS</t>
  </si>
  <si>
    <t>Property</t>
  </si>
  <si>
    <t>Standardized Manufacturer Item Number</t>
  </si>
  <si>
    <t>VASCULAR TECHNOLOGY</t>
  </si>
  <si>
    <t>CE Comments</t>
  </si>
  <si>
    <t>FS200L</t>
  </si>
  <si>
    <t>Forceps Biopsy Adult L180cm Dia2mm Channel Standard GI Fenestrated Single Action Endoscopic Specimen Retrieval Reusable</t>
  </si>
  <si>
    <t>PRODIGO1051363</t>
  </si>
  <si>
    <t>SUPPLY PWR ROSI</t>
  </si>
  <si>
    <t>Job No1</t>
  </si>
  <si>
    <t>To_Process</t>
  </si>
  <si>
    <t>PRODIGO1051093</t>
  </si>
  <si>
    <t>201202</t>
  </si>
  <si>
    <t>DBM InstaFill Cartridge 5cc</t>
  </si>
  <si>
    <t>BML610A</t>
  </si>
  <si>
    <t>B125060A</t>
  </si>
  <si>
    <t>SE Comments</t>
  </si>
  <si>
    <t>URL1</t>
  </si>
  <si>
    <t>ADG</t>
  </si>
  <si>
    <t>200796</t>
  </si>
  <si>
    <t>EPK2305-01-KIT35AC</t>
  </si>
  <si>
    <t>PRODIGO1051559</t>
  </si>
  <si>
    <t>Count</t>
  </si>
  <si>
    <t>PRODIGO1051086</t>
  </si>
  <si>
    <t>Previous CE Code</t>
  </si>
  <si>
    <t>GLOBUS MEDICAL INC</t>
  </si>
  <si>
    <t>Secondary Dimension(IDXODXLXWXHXDXTHK)</t>
  </si>
  <si>
    <t>FD231C</t>
  </si>
  <si>
    <t>Potential / Desc Duplicate across Consolidated</t>
  </si>
  <si>
    <t>OK</t>
  </si>
  <si>
    <t>RR DONNELLEY &amp; SONS CO</t>
  </si>
  <si>
    <t>VASCULAR TECHNOLOGY INC</t>
  </si>
  <si>
    <t>KANEKA AMERICA LLC</t>
  </si>
  <si>
    <t>6132.5003S</t>
  </si>
  <si>
    <t>6132.6005S</t>
  </si>
  <si>
    <t>8112.5105S</t>
  </si>
  <si>
    <t>8155.3005S</t>
  </si>
  <si>
    <t>BML-610A</t>
  </si>
  <si>
    <t>D-201-11802</t>
  </si>
  <si>
    <t>D-201-12402</t>
  </si>
  <si>
    <t>D-201-16403</t>
  </si>
  <si>
    <t>EPK2303-01</t>
  </si>
  <si>
    <t>EPK2305-01</t>
  </si>
  <si>
    <t>FB-19N-1</t>
  </si>
  <si>
    <t>FD-231C</t>
  </si>
  <si>
    <t>FG-214P</t>
  </si>
  <si>
    <t>FG-220P</t>
  </si>
  <si>
    <t>FG-232L</t>
  </si>
  <si>
    <t>FG-804L</t>
  </si>
  <si>
    <t>FS-200L</t>
  </si>
  <si>
    <t>HX-610-090</t>
  </si>
  <si>
    <t>HX-610-135XS</t>
  </si>
  <si>
    <t>K-402</t>
  </si>
  <si>
    <t>MAJ-2209</t>
  </si>
  <si>
    <t>NA-201SX-4021</t>
  </si>
  <si>
    <t>PROTECH L</t>
  </si>
  <si>
    <t>PROTECH S</t>
  </si>
  <si>
    <t>PROTECH XL</t>
  </si>
  <si>
    <t>SVS-VSK-06</t>
  </si>
  <si>
    <t>108110-US</t>
  </si>
  <si>
    <t>347-404U</t>
  </si>
  <si>
    <t>GLOBUS MEDICAL_61325003S</t>
  </si>
  <si>
    <t>GLOBUS MEDICAL_61326005S</t>
  </si>
  <si>
    <t>GLOBUS MEDICAL_81125105S</t>
  </si>
  <si>
    <t>GLOBUS MEDICAL_81553005S</t>
  </si>
  <si>
    <t>3M_24700</t>
  </si>
  <si>
    <t>RR DONNELLEY &amp; SONS</t>
  </si>
  <si>
    <t>RR DONNELLEY &amp; SONS_ULDP5030X</t>
  </si>
  <si>
    <t>OLYMPUS_B125060A</t>
  </si>
  <si>
    <t>OLYMPUS_BML610A</t>
  </si>
  <si>
    <t>OLYMPUS_D20111802</t>
  </si>
  <si>
    <t>OLYMPUS_D20112402</t>
  </si>
  <si>
    <t>OLYMPUS_D20116403</t>
  </si>
  <si>
    <t>OLYMPUS_EA230</t>
  </si>
  <si>
    <t>OLYMPUS_EPK230301</t>
  </si>
  <si>
    <t>EPK230301KIT3AC</t>
  </si>
  <si>
    <t>OLYMPUS_EPK230301KIT3AC</t>
  </si>
  <si>
    <t>OLYMPUS_EPK230501</t>
  </si>
  <si>
    <t>OLYMPUS_EPK230501KIT35AC</t>
  </si>
  <si>
    <t>OLYMPUS_FB19N1</t>
  </si>
  <si>
    <t>OLYMPUS_FD231C</t>
  </si>
  <si>
    <t>OLYMPUS_FG214P</t>
  </si>
  <si>
    <t>OLYMPUS_FG220P</t>
  </si>
  <si>
    <t>OLYMPUS_FG232L</t>
  </si>
  <si>
    <t>OLYMPUS_FG804L</t>
  </si>
  <si>
    <t>OLYMPUS_FS200L</t>
  </si>
  <si>
    <t>OLYMPUS_HX610090</t>
  </si>
  <si>
    <t>OLYMPUS_HX610135XS</t>
  </si>
  <si>
    <t>OLYMPUS_K402</t>
  </si>
  <si>
    <t>OLYMPUS_MAJ2209</t>
  </si>
  <si>
    <t>OLYMPUS_NA201SX4021</t>
  </si>
  <si>
    <t>OLYMPUS_PROTECH L</t>
  </si>
  <si>
    <t>OLYMPUS_PROTECH S</t>
  </si>
  <si>
    <t>OLYMPUS_PROTECH XL</t>
  </si>
  <si>
    <t>OLYMPUS_SVSVSK06</t>
  </si>
  <si>
    <t>VASCULAR TECHNOLOGY_106400</t>
  </si>
  <si>
    <t>VASCULAR TECHNOLOGY_106410</t>
  </si>
  <si>
    <t>VASCULAR TECHNOLOGY_106450</t>
  </si>
  <si>
    <t>VASCULAR TECHNOLOGY_108110US</t>
  </si>
  <si>
    <t>VASCULAR TECHNOLOGY_200796</t>
  </si>
  <si>
    <t>VASCULAR TECHNOLOGY_200812</t>
  </si>
  <si>
    <t>VASCULAR TECHNOLOGY_201202</t>
  </si>
  <si>
    <t>KANEKA</t>
  </si>
  <si>
    <t>KANEKA_347404U</t>
  </si>
  <si>
    <t>42295545  Bone graft extender or void fillers or substitutes</t>
  </si>
  <si>
    <t>42221703  Intravenous or arterial fluid warmers</t>
  </si>
  <si>
    <t>55121612  Printer labels</t>
  </si>
  <si>
    <t>42295143  Electrosurgical or electrocautery accessories or attachments</t>
  </si>
  <si>
    <t>42295164  Surgical lithotripter accessories</t>
  </si>
  <si>
    <t>42296339  Endoscope accessories</t>
  </si>
  <si>
    <t>42294902  Endoscopic applicators or elevators</t>
  </si>
  <si>
    <t>42311607  Surgical hemostatic agents</t>
  </si>
  <si>
    <t>42294908  Endoscopic clamp or dissector or grasper or forceps</t>
  </si>
  <si>
    <t>42291614  Surgical scissors</t>
  </si>
  <si>
    <t>42312007  Medical clips for internal use</t>
  </si>
  <si>
    <t>42294927  Endoscopic instrument packs or trays or kits</t>
  </si>
  <si>
    <t>42293515  Medical or surgical suction tubings</t>
  </si>
  <si>
    <t>42294903  Endoscopic aspiration or biopsy needles</t>
  </si>
  <si>
    <t>42295013  Endoscope tip protector or covers</t>
  </si>
  <si>
    <t>42271913  Pharyngeal airways or airways kits</t>
  </si>
  <si>
    <t>42293523  Medical or surgical suction sets or kits</t>
  </si>
  <si>
    <t>42201724  Medical ultrasound or doppler or echocardiograph transducer accessories</t>
  </si>
  <si>
    <t>42296011  Vascular coils</t>
  </si>
  <si>
    <t>A4215</t>
  </si>
  <si>
    <t>NEEDLE, STERILE, ANY SIZE, EACH</t>
  </si>
  <si>
    <t>INSTAFILL SIGNIFY Gel Cartridge 5cc LATEX STERILE</t>
  </si>
  <si>
    <t>Ranger Irrigation Fluid Warming Unit 100-120 VAC/220-240 VAC 7.5X11.4 IN Model 247 120V-ENG-B LATEX NON STERILE</t>
  </si>
  <si>
    <t>Power Cord 3 m ESG/AFU USA/CAN For Bipolar Electrosurgical System</t>
  </si>
  <si>
    <t xml:space="preserve"> single-use Emergency Lithotriptor Handle LATEX STERILE</t>
  </si>
  <si>
    <t>Magnification endoscope dedicated type 12.1x2 mm Distal Attachment Straight Soft Disposable For GIF-Q240Z LF STERILE</t>
  </si>
  <si>
    <t>Magnification endoscope dedicated type 12.7x2 mm Distal Attachment Soft Straight Side Hole For Draining Fluid To Support Endoscopic Submucosal Dissection GIF-Q160Z / H260Z / FQ260Z Disposable LF STERILE</t>
  </si>
  <si>
    <t>Magnification endoscope dedicated type 16.7x3 mm Distal Attachment Soft Straight Side Hole For Draining Fluid To Support Endoscopic Submucosal Dissection CF-Q160Z / Q240Z / FH260AZ Disposable LF STERILE</t>
  </si>
  <si>
    <t>EndoClot Applicator Spare delivery for PHS/Adhesive 230cm 2.8 mm channel LATEX STERILE</t>
  </si>
  <si>
    <t>EndoClot Polysaccharide Hemostatic System 3g AMP powder &amp; a delivery applicator 230cm 2.8 mm channel LATEX STERILE</t>
  </si>
  <si>
    <t>EndoClot Polysaccharide Hemostatic System 5g AMP powder &amp; a delivery applicator 230cm 2.8 mm channel LATEX STERILE</t>
  </si>
  <si>
    <t>Biopsy Forceps Standard Fenestrated 4mmx180 cm 2mm channel Adult GI Single Action Endoscopic Specimen Retrieval Reusable</t>
  </si>
  <si>
    <t>Biopsy Forceps Oval fenestrated 1050 mm 2mm channel Black Disposable LATEX FREE STERILE</t>
  </si>
  <si>
    <t>Single Use Grasping Forceps Rat Tooth 3.8x1900 mm 2mm channel Latex Sterile</t>
  </si>
  <si>
    <t>Single Use Grasping Forceps Rubber Tip 4.8x1900 mm 2mm channel Latex Sterile</t>
  </si>
  <si>
    <t>Single Use Grasping Forceps Rat Tooth 7.3x1621 mm 2.8 mm channel Latex sterile</t>
  </si>
  <si>
    <t>Single Use Grasping Forceps W Shape 14x1650 mm 2mm channel  Latex sterile</t>
  </si>
  <si>
    <t>single-use scissors 2.8 mm channel 1619 mm Latex free sterile</t>
  </si>
  <si>
    <t>EZ Clip 90 degree jaw angle 8.5 mm Long arm yELLOW LF STERILE For healthy elastic mucosa  Mallory-Weiss syndrome  open vessels  small perforations  marking</t>
  </si>
  <si>
    <t>EZ Clip for Single-use Applicator Rotatable Sterile cartridge-housed clips Short tail MR conditional 4MM CLIP ARM GREY 135 DEGREE JAW ANGLE LF FOR HARD TISSUE AND BLEEDING ULCERS</t>
  </si>
  <si>
    <t xml:space="preserve"> Disposable Guide Sheath Kit with two clip-type stopper 1.91 MM WITHOUT BRUSH LF STERILE</t>
  </si>
  <si>
    <t>Irrigation Tubing with Air Disposable Hybrid</t>
  </si>
  <si>
    <t>EBUS-TBNA Needles 20–40 mm LEN 2.0 mm CHANNEL LF STERILE</t>
  </si>
  <si>
    <t>Protection device for distal tips on flexible endoscopes. Suitable for distal tip diameter range of 8.6–14.75 mm.</t>
  </si>
  <si>
    <t>Protection device for distal tips on flexible endoscopes. Suitable for distal tip diameter range of 2.9–8 mm</t>
  </si>
  <si>
    <t>Protection device for distal tips on flexible endoscopes. Suitable for a distal tip diameter of 10.7-17.9 mm</t>
  </si>
  <si>
    <t>Kit Airway Sizing Endobronchial Disposable Device Spiration Valve System LATEX STERILE</t>
  </si>
  <si>
    <t>ROSI CONTROL UNIT LATEX NON STERILE</t>
  </si>
  <si>
    <t>ROSI TUBING SET LATEX STERILE</t>
  </si>
  <si>
    <t>ROSI TUBING SET with EXCHANGEABLE TIPS LATEX STERILE</t>
  </si>
  <si>
    <t>POWER CORD  HOSPITAL US LATEX NON STERILE</t>
  </si>
  <si>
    <t>POWER SUPPLY  ASSEMBLY AC-DC LATEX NON STERILE</t>
  </si>
  <si>
    <t>ROSI INFLATION CUFF LATEX NON STERILE</t>
  </si>
  <si>
    <t>LATCHING FOOT SWITCH FOR USE WITH 106400</t>
  </si>
  <si>
    <t>Electro Detach Generator v4  Coil Detachment Device Disposable Type With return electrode adapter LATEX STERILE</t>
  </si>
  <si>
    <t>SYSTEM, GRAFT DELIVERY, CONICAL TIP, INSTAFILL</t>
  </si>
  <si>
    <t>SYSTEM, GRFT DEL, CONCL TIP, INSTAFILL</t>
  </si>
  <si>
    <t>CARTRIDGE, GRAFT DELIVERY, 5 CC, INSTAFILL</t>
  </si>
  <si>
    <t>CARTRIDGE, GRFT DEL, 5 CC, INSTAFILL</t>
  </si>
  <si>
    <t>CARTRIDGE, GRAFT DELIVERY, GEL, 5 CC, STERILE, INSTAFILL, SIGNIFY, LATEX</t>
  </si>
  <si>
    <t>CARTRIDGE, GRFT DEL, GEL, 5 CC, STRL, INSTAFILL, SIGNIFY, LTX</t>
  </si>
  <si>
    <t>CARTRIDGE, GRAFT DELIVERY, 5 CC, DEMINERALIZED BONE MATRIX, INSTAFILL</t>
  </si>
  <si>
    <t>CARTRIDGE, GRFT DEL, 5 CC, DBM, INSTAFILL</t>
  </si>
  <si>
    <t>UNIT, FLUID WARMING, IRRIGATION, 100-120 VAC, 220-240 VAC, 7.5X11.4 IN, MODEL 247, 120V-ENG-B, NON STERILE, RANGER, LATEX</t>
  </si>
  <si>
    <t>UNIT, FLUID WARMING, IRRIGATION, 100-120 VAC, 220-240 VAC, 7.5X11.4 IN, MODEL 247, 120V-ENG-B, NS, RANG, LTX</t>
  </si>
  <si>
    <t>UNIT, FLUID WARMING, IRRIGATION, 100-120 VAC, 7.5X11.4 IN, RANG</t>
  </si>
  <si>
    <t>LABEL, PRINTER, LASER, 2-5/8X1 IN, SHEET, WHITE</t>
  </si>
  <si>
    <t>LABEL, PRNT, LASER, 2-5/8X1 IN, SHT, WHT</t>
  </si>
  <si>
    <t>CORD, POWER, 3 M, ESG/AFU, USA/CAN, FOR BIPOLAR ELECTROSURGICAL SYSTEM</t>
  </si>
  <si>
    <t>CORD, PWR, 3 M, ESG/AFU, USA/CAN, FOR BPLR ELECSURG SYS</t>
  </si>
  <si>
    <t>HANDLE, LITHOTRIPTER, EMERGENCY, STERILE, LATEX, DISPOSABLE</t>
  </si>
  <si>
    <t>HANDLE, LITHO, EMGCY, STRL, LTX, DISP</t>
  </si>
  <si>
    <t>DEVICE, ENDOSCOPE, DISTAL ATTACHMENT, 12.1X2 MM, MAGNIFICATION, DEDICATED TYPE, SOFT, STRAIGHT, FOR GIF-Q240Z, STERILE, LATEX-FREE, DISPOSABLE</t>
  </si>
  <si>
    <t>DEVICE, ENDOSCP, DSTL ATTCH, 12.1X2 MM, MAG, DEDICATED TYP, SFT, STR, FOR GIF-Q240Z, STRL, LF, DISP</t>
  </si>
  <si>
    <t>DEVICE, ENDOSCP, DSTL ATTCH, 12.1X2 MM, MAG, SFT, FOR GIF-Q240Z</t>
  </si>
  <si>
    <t>DEVICE, ENDOSCOPE, DISTAL ATTACHMENT, 12.7X2 MM, MAGNIFICATION, DEDICATED TYPE, SOFT STRAIGHT SIDE HOLE FOR GIF-Q160Z / H260Z / FQ260Z, STERILE, LATEX-FREE, DISPOSABLE</t>
  </si>
  <si>
    <t>DEVICE, ENDOSCP, DSTL ATTCH, 12.7X2 MM, MAG, DEDICATED TYP, SFT STR SIDE HOLE FOR GIF-Q160Z / H260Z / FQ260Z, STRL, LF, DISP</t>
  </si>
  <si>
    <t>DEVICE, ENDOSCP, DSTL ATTCH, 12.7X2 MM, MAG, SFT STR SIDE HOLE</t>
  </si>
  <si>
    <t>DEVICE, ENDOSCOPE, DISTAL ATTACHMENT, 16.7X3 MM, MAGNIFICATION, DEDICATED TYPE, SOFT STRAIGHT SIDE HOLE FOR CF-Q160Z / Q240Z / FH260AZ, STERILE, LATEX-FREE, DISPOSABLE</t>
  </si>
  <si>
    <t>DEVICE, ENDOSCP, DSTL ATTCH, 16.7X3 MM, MAG, DEDICATED TYP, SFT STR SIDE HOLE FOR CF-Q160Z / Q240Z / FH260AZ, STRL, LF, DISP</t>
  </si>
  <si>
    <t>DEVICE, ENDOSCP, DSTL ATTCH, 16.7X3 MM, MAG, SFT STR SIDE HOLE</t>
  </si>
  <si>
    <t>APPLICATOR, ENDOSCOPE, SPARE DELIVERY, ENDOCLOT</t>
  </si>
  <si>
    <t>APPLICATOR, ENDOSCP, SPARE DEL, ENDOCLOT</t>
  </si>
  <si>
    <t>AGENT, HEMOSTATIC, POLYSACCHARIDE, 230 CM, 2.8 MM, 3 GM, WITH AMP POWDER, DELIVERY APPLICATOR, CHANNEL, STERILE, ENDOCLOT, LATEX</t>
  </si>
  <si>
    <t>AGENT, HEMOSTATIC, POLYSACCHARIDE, 230 CM, 2.8 MM, 3 GM, W/ AMP PWD, DEL APPL, CHANNEL, STRL, ENDOCLOT, LTX</t>
  </si>
  <si>
    <t>AGENT, HEMOSTATIC, POLYSACCHARIDE, 230 CM, 2.8 MM, 3 GM, ENDOCLOT</t>
  </si>
  <si>
    <t>HEMOSTATIC KIT, POLYSACCHARIDE, 230 CM, 2.8 MM, 3 GM, WITH AMP POWDER, DELIVERY APPLICATOR, CHANNEL, STERILE, ENDOCLOT, LATEX</t>
  </si>
  <si>
    <t>HEMOSTATIC KIT, POLYSACCHARIDE, 230 CM, 2.8 MM, 3 GM, W/ AMP PWD, DEL APPL, CHANNEL, STRL, ENDOCLOT, LTX</t>
  </si>
  <si>
    <t>HEMOSTATIC KIT, POLYSACCHARIDE, 230 CM, 2.8 MM, 3 GM, ENDOCLOT</t>
  </si>
  <si>
    <t>AGENT, HEMOSTATIC, POLYSACCHARIDE, 230 CM, 2.8 MM, 5 GM, WITH AMP POWDER, DELIVERY APPLICATOR, CHANNEL, STERILE, ENDOCLOT, LATEX</t>
  </si>
  <si>
    <t>AGENT, HEMOSTATIC, POLYSACCHARIDE, 230 CM, 2.8 MM, 5 GM, W/ AMP PWD, DEL APPL, CHANNEL, STRL, ENDOCLOT, LTX</t>
  </si>
  <si>
    <t>AGENT, HEMOSTATIC, POLYSACCHARIDE, 230 CM, 2.8 MM, 5 GM, ENDOCLOT</t>
  </si>
  <si>
    <t>HEMOSTATIC KIT, POLYSACCHARIDE, 230 CM, 2.8 MM, 5 GM, WITH AMP POWDER, DELIVERY APPLICATOR, CHANNEL, STERILE, ENDOCLOT, LATEX</t>
  </si>
  <si>
    <t>HEMOSTATIC KIT, POLYSACCHARIDE, 230 CM, 2.8 MM, 5 GM, W/ AMP PWD, DEL APPL, CHANNEL, STRL, ENDOCLOT, LTX</t>
  </si>
  <si>
    <t>HEMOSTATIC KIT, POLYSACCHARIDE, 230 CM, 2.8 MM, 5 GM, ENDOCLOT</t>
  </si>
  <si>
    <t>FORCEP, ENDOSCOPIC, BIOPSY, ADULT, 4 MMX180 CM, 2 MM, GASTROINTESTINAL, SPECIMEN RETRIEVAL, STANDARD, FENESTRATED, SINGLE ACTION, WITH CHANNEL, NON STERILE, LATEX-FREE, REUSABLE</t>
  </si>
  <si>
    <t>FORCEP, ENDOSCP, BX, AD, 4 MMX180 CM, 2 MM, GI, SPEC RETRV, STD, FEN, SINGLE ACT, W/ CHANNEL, NS, LF, REUSE</t>
  </si>
  <si>
    <t>FORCEP, ENDOSCP, BX, AD, 4 MMX180 CM, 2 MM, GI, SPEC RETRV, STD, FEN</t>
  </si>
  <si>
    <t>FORCEP, ENDOSCOPIC, BIOPSY, 1050 MM, 2 MM, HOT, OVAL, FENESTRATED, WITH CHANNEL, BLACK, STERILE, LATEX-FREE, DISPOSABLE</t>
  </si>
  <si>
    <t>FORCEP, ENDOSCP, BX, 1050 MM, 2 MM, HOT, OVL, FEN, W/ CHANNEL, BLK, STRL, LF, DISP</t>
  </si>
  <si>
    <t>FORCEP, ENDOSCP, BX, 1050 MM, 2 MM, HOT, OVL, FEN, W/ CHANNEL, BLK</t>
  </si>
  <si>
    <t>FORCEP, ENDOSCOPIC, RAT TOOTH, 3.8X1900 MM, 2 MM, GRASPING, WITH CHANNEL, STERILE, LATEX, DISPOSABLE</t>
  </si>
  <si>
    <t>FORCEP, ENDOSCP, RAT TOOTH, 3.8X1900 MM, 2 MM, GRASPING, W/ CHANNEL, STRL, LTX, DISP</t>
  </si>
  <si>
    <t>FORCEP, ENDOSCP, RAT TOOTH, 3.8X1900 MM, 2 MM, GRASPING, CHANNEL</t>
  </si>
  <si>
    <t>FORCEP, ENDOSCOPIC, RUBBER TIP, 4.8X1900 MM, 2 MM, GRASPING, RETRIEVAL, WITH CHANNEL, STERILE, LATEX, DISPOSABLE</t>
  </si>
  <si>
    <t>FORCEP, ENDOSCP, RUBBER TIP, 4.8X1900 MM, 2 MM, GRASPING, RETRV, W/ CHANNEL, STRL, LTX, DISP</t>
  </si>
  <si>
    <t>FORCEP, ENDOSCP, RUBBER TIP, 4.8X1900 MM, 2 MM, GRASPING, CHANNEL</t>
  </si>
  <si>
    <t>FORCEP, ENDOSCOPIC, RAT TOOTH, 7.3X1621 MM, 2.8 MM, GRASPING, WITH CHANNEL, STERILE, LATEX, DISPOSABLE</t>
  </si>
  <si>
    <t>FORCEP, ENDOSCP, RAT TOOTH, 7.3X1621 MM, 2.8 MM, GRASPING, W/ CHANNEL, STRL, LTX, DISP</t>
  </si>
  <si>
    <t>FORCEP, ENDOSCP, RAT TOOTH, 7.3X1621 MM, 2.8 MM, GRASPING, CHANNEL</t>
  </si>
  <si>
    <t>FORCEP, ENDOSCOPIC, W SHAPE, 14X1650 MM, 2 MM, GRASPING, WITH CHANNEL, STERILE, LATEX, DISPOSABLE</t>
  </si>
  <si>
    <t>FORCEP, ENDOSCP, W SHP, 14X1650 MM, 2 MM, GRASPING, W/ CHANNEL, STRL, LTX, DISP</t>
  </si>
  <si>
    <t>FORCEP, ENDOSCP, W SHP, 14X1650 MM, 2 MM, GRASPING, W/ CHANNEL</t>
  </si>
  <si>
    <t>SCISSOR, SURGICAL, 1619 MM, 2.8 MM, STERILE, LATEX-FREE, DISPOSABLE</t>
  </si>
  <si>
    <t>SCISSOR, SURG, 1619 MM, 2.8 MM, STRL, LF, DISP</t>
  </si>
  <si>
    <t>CLIP, HEMOSTASIS, 90 DEGREE, 8.5 MM, LONG LIGATION ARM, YELLOW, STERILE, EZ CLIP, LATEX-FREE</t>
  </si>
  <si>
    <t>CLIP, HEMSTAS, 90 DEG, 8.5 MM, LNG LIG ARM, YEL, STRL, EZ CLP, LF</t>
  </si>
  <si>
    <t>CLIP, HEMOSTASIS, 135 DEGREE, 4 MM, LONG LIGATION ARM, ROTATABLE, CARTRIDGE HOUSED, SHORT TAIL, MR CONDITIONAL, FOR SINGLE USE APPLICATOR AND HARD TISSUE AND BLEEDING ULCER, GREY, STERILE, EZ CLIP, LATEX-FREE</t>
  </si>
  <si>
    <t>CLIP, HEMSTAS, 135 DEG, 4 MM, LNG LIG ARM, ROTATABLE, CARTRIDGE HOUSED, SHT TAIL, MR CONDITIONAL, FOR SINGLE USE APPL &amp; HRD TISS &amp; BLEED ULC, GRY, STRL, EZ CLP, LF</t>
  </si>
  <si>
    <t>CLIP, HEMSTAS, 135 DEG, 4 MM, LNG ARM, ROTATABLE, SHT TAIL, EZ CLP</t>
  </si>
  <si>
    <t>ENDOSCOPIC KIT, 1.91 MM, WITH 2 CLIP TYPE STOPPER, WITHOUT BRUSH, STERILE, GUIDE SHEATH, LATEX-FREE, DISPOSABLE</t>
  </si>
  <si>
    <t>ENDOSCOPIC KIT, 1.91 MM, W/ 2 CLP TYP STOPPER, W/O BRSH, STRL, GUIDE SHTH, LF, DISP</t>
  </si>
  <si>
    <t>ENDOSCOPIC KIT, 1.91 MM, W/ 2 CLP TYP STOPPER, STRL, GUIDE SHTH</t>
  </si>
  <si>
    <t>TUBING, IRRIGATION, HYBRID, WITH AIR, DISPOSABLE</t>
  </si>
  <si>
    <t>TUBING, IRRIGATION, HYBRID, W/ AIR, DISP</t>
  </si>
  <si>
    <t>NEEDLE, ASPIRATING, EBUS-TBNA, 21 GAX20-40 MM, 700 MM, 2 MM, WITH CHANNEL, DISTAL END, ADJUSTABLE, 2 WAY, STERILE, LATEX-FREE, DISPOSABLE</t>
  </si>
  <si>
    <t>NEEDLE, ASPIR, EBUS-TBNA, 21 GAX20-40 MM, 700 MM, 2 MM, W/ CHANNEL, DSTL END, ADJ, 2 W, STRL, LF, DISP</t>
  </si>
  <si>
    <t>NEEDLE, ASPIR, EBUS-TBNA, 21 GAX20-40 MM, 700 MM, 2 MM, ADJ, 2 W</t>
  </si>
  <si>
    <t>PROTECTOR, ENDOSCOPE TIP, FLEXIBLE, SMALL, 8.6-14.75 MM, DISTAL, EVALUATION PACK, STERILE, DISPOSABLE</t>
  </si>
  <si>
    <t>PROTECTOR, ENDOSCP TIP, FLX, SM, 8.6-14.75 MM, DSTL, EVAL PK, STRL, DISP</t>
  </si>
  <si>
    <t>PROTECTOR, ENDOSCP TIP, FLX, SM, 8.6-14.75 MM, DSTL, EVAL PK, STRL</t>
  </si>
  <si>
    <t>PROTECTOR, ENDOSCOPE TIP, FLEXIBLE, LARGE, 2.9-8 MM, DISTAL, EVALUATION PACK, STERILE, DISPOSABLE</t>
  </si>
  <si>
    <t>PROTECTOR, ENDOSCP TIP, FLX, LG, 2.9-8 MM, DSTL, EVAL PK, STRL, DISP</t>
  </si>
  <si>
    <t>PROTECTOR, ENDOSCP TIP, FLX, LG, 2.9-8 MM, DSTL, EVAL PK, STRL</t>
  </si>
  <si>
    <t>PROTECTOR, ENDOSCOPE TIP, FLEXIBLE, XLARGE, 10.7-17.9 MM, DISTAL, STERILE, DISPOSABLE</t>
  </si>
  <si>
    <t>PROTECTOR, ENDOSCP TIP, FLX, XL, 10.7-17.9 MM, DSTL, STRL, DISP</t>
  </si>
  <si>
    <t>AIRWAY KIT, SIZING, ENDOBRONCHIAL, FOR SPIRATION VALVE SYSTEM, STERILE, LATEX, DISPOSABLE</t>
  </si>
  <si>
    <t>AIRWAY KIT, SZ, ENDOBRONCHIAL, FOR SPIRATION VLV SYS, STRL, LTX, DISP</t>
  </si>
  <si>
    <t>AIRWAY KIT, SZ, ENDOBRONCHIAL, FOR SPIRATION VLV SYS, STRL, LTX</t>
  </si>
  <si>
    <t>UNIT, CONTROL, FOR ROSI SYSTEM, NON STERILE, LATEX</t>
  </si>
  <si>
    <t>UNIT, CTRL, FOR ROSI SYS, NS, LTX</t>
  </si>
  <si>
    <t>TUBING SET, FOR ROSI SYSTEM, STERILE, LATEX</t>
  </si>
  <si>
    <t>TUBING SET, FOR ROSI SYS, STRL, LTX</t>
  </si>
  <si>
    <t>TUBING SET, WITH EXCHANGEABLE TIP, FOR ROSI SYSTEM, STERILE, LATEX</t>
  </si>
  <si>
    <t>TUBING SET, W/ EXCHG TIP, FOR ROSI SYS, STRL, LTX</t>
  </si>
  <si>
    <t>CORD, POWER, HOSPITAL, FOR ROSI SYSTEM, NON STERILE, LATEX</t>
  </si>
  <si>
    <t>CORD, PWR, HOSP, FOR ROSI SYS, NS, LTX</t>
  </si>
  <si>
    <t>SUPPLY, POWER, AC-DC, ASSEMBLY, FOR ROSI SYSTEM, NON STERILE, LATEX</t>
  </si>
  <si>
    <t>SUPPLY, PWR, AC-DC, ASMBLY, FOR ROSI SYS, NS, LTX</t>
  </si>
  <si>
    <t>CUFF, INFLATION, FOR ROSI SYSTEM, NON STERILE, LATEX</t>
  </si>
  <si>
    <t>CUFF, INFLATION, FOR ROSI SYS, NS, LTX</t>
  </si>
  <si>
    <t>FOOTSWITCH, SUCTION, LATCHING, FOR USE WITH 106400</t>
  </si>
  <si>
    <t>FOOTSWITCH, SUCTION, LATCHING, FOR USE W/ 106400</t>
  </si>
  <si>
    <t>DEVICE, COIL DETACHMENT, ELECTRO DETACH GENERATOR V4, WITH RETURN ELECTRODE ADAPTER, STERILE, LATEX, DISPOSABLE</t>
  </si>
  <si>
    <t>DEVICE, COIL DETACH, ELECTRO DETACH GENRTR V4, W/ RET ELECTRD ADPT, STRL, LTX, DISP</t>
  </si>
  <si>
    <t>DEVICE, COIL DETACH, ELECTRO DETACH GENRTR V4, RET ELECTRD ADPT</t>
  </si>
  <si>
    <t>SYSTEM</t>
  </si>
  <si>
    <t>GRAFT DELIVERY</t>
  </si>
  <si>
    <t>CONICAL TIP</t>
  </si>
  <si>
    <t>INSTAFILL</t>
  </si>
  <si>
    <t>URL NOT FOUND</t>
  </si>
  <si>
    <t>Classified to Nearest Commodity level</t>
  </si>
  <si>
    <t>CARTRIDGE</t>
  </si>
  <si>
    <t>5 CC</t>
  </si>
  <si>
    <t>GEL</t>
  </si>
  <si>
    <t>STERILE</t>
  </si>
  <si>
    <t>INSTAFILL, SIGNIFY</t>
  </si>
  <si>
    <t>LATEX</t>
  </si>
  <si>
    <t>https://accessgudid.nlm.nih.gov/devices/00193982458089</t>
  </si>
  <si>
    <t>DEMINERALIZED BONE MATRIX</t>
  </si>
  <si>
    <t>UNIT</t>
  </si>
  <si>
    <t>FLUID WARMING</t>
  </si>
  <si>
    <t>IRRIGATION</t>
  </si>
  <si>
    <t>100-120 VAC, 220-240 VAC</t>
  </si>
  <si>
    <t>7.5X11.4 IN</t>
  </si>
  <si>
    <t>MODEL 247, 120V-ENG-B</t>
  </si>
  <si>
    <t>NON STERILE</t>
  </si>
  <si>
    <t>RANGER</t>
  </si>
  <si>
    <t>https://www.3m.com/3M/en_US/p/d/v000257715/</t>
  </si>
  <si>
    <t>LABEL</t>
  </si>
  <si>
    <t>PRINTER</t>
  </si>
  <si>
    <t>LASER</t>
  </si>
  <si>
    <t>2-5/8X1 IN</t>
  </si>
  <si>
    <t>SHEET</t>
  </si>
  <si>
    <t>WHITE</t>
  </si>
  <si>
    <t>250/PK-4/CT</t>
  </si>
  <si>
    <t>CORD</t>
  </si>
  <si>
    <t>POWER</t>
  </si>
  <si>
    <t>3 M</t>
  </si>
  <si>
    <t>ESG/AFU, USA/CAN, FOR BIPOLAR ELECTROSURGICAL SYSTEM</t>
  </si>
  <si>
    <t>https://medical.olympusamerica.com/products/versapoint-ii-bipolar-electrosurgery-system</t>
  </si>
  <si>
    <t>HANDLE</t>
  </si>
  <si>
    <t>LITHOTRIPTER</t>
  </si>
  <si>
    <t>EMERGENCY</t>
  </si>
  <si>
    <t>DISPOSABLE</t>
  </si>
  <si>
    <t>SU</t>
  </si>
  <si>
    <t>https://medical.olympusamerica.com/products/lithocrushv-mechanical-lithotriptor, https://accessgudid.nlm.nih.gov/devices/04953170420283</t>
  </si>
  <si>
    <t>DEVICE</t>
  </si>
  <si>
    <t>ENDOSCOPE</t>
  </si>
  <si>
    <t>DISTAL ATTACHMENT</t>
  </si>
  <si>
    <t>12.1X2 MM</t>
  </si>
  <si>
    <t>MAGNIFICATION, DEDICATED TYPE, SOFT, STRAIGHT, FOR GIF-Q240Z</t>
  </si>
  <si>
    <t>LATEX-FREE</t>
  </si>
  <si>
    <t>https://www.creomedical.com/wp-content/uploads/2020/05/SPEEDBOAT__ESD-Procedure-Kit-List.pdf, https://accessgudid.nlm.nih.gov/devices/04953170048395</t>
  </si>
  <si>
    <t>12.7X2 MM</t>
  </si>
  <si>
    <t>MAGNIFICATION, DEDICATED TYPE, SOFT STRAIGHT SIDE HOLE FOR GIF-Q160Z / H260Z / FQ260Z</t>
  </si>
  <si>
    <t>FOR DRAINING FLUID TO SUPPORT ENDOSCOPIC SUBMUCOSAL DISSECTION</t>
  </si>
  <si>
    <t>https://www.creomedical.com/wp-content/uploads/2020/05/SPEEDBOAT__ESD-Procedure-Kit-List.pdf, https://accessgudid.nlm.nih.gov/devices/04953170048425</t>
  </si>
  <si>
    <t>16.7X3 MM</t>
  </si>
  <si>
    <t>MAGNIFICATION, DEDICATED TYPE, SOFT STRAIGHT SIDE HOLE FOR CF-Q160Z / Q240Z / FH260AZ</t>
  </si>
  <si>
    <t>https://www.creomedical.com/wp-content/uploads/2020/05/SPEEDBOAT__ESD-Procedure-Kit-List.pdf, https://accessgudid.nlm.nih.gov/devices/04953170453915</t>
  </si>
  <si>
    <t>APPLICATOR</t>
  </si>
  <si>
    <t>SPARE DELIVERY</t>
  </si>
  <si>
    <t>ENDOCLOT</t>
  </si>
  <si>
    <t>5/BX</t>
  </si>
  <si>
    <t>https://medical.olympusamerica.com/products/endoclotphs, https://accessgudid.nlm.nih.gov/devices/16972011720110</t>
  </si>
  <si>
    <t>AGENT</t>
  </si>
  <si>
    <t>HEMOSTATIC</t>
  </si>
  <si>
    <t>POLYSACCHARIDE</t>
  </si>
  <si>
    <t>230 CM</t>
  </si>
  <si>
    <t>2.8 MM</t>
  </si>
  <si>
    <t>3 GM</t>
  </si>
  <si>
    <t>WITH AMP POWDER, DELIVERY APPLICATOR, CHANNEL</t>
  </si>
  <si>
    <t>https://medical.olympusamerica.com/products/endoclotphs, https://accessgudid.nlm.nih.gov/devices/16972011720028</t>
  </si>
  <si>
    <t>HEMOSTATIC KIT</t>
  </si>
  <si>
    <t>5 GM</t>
  </si>
  <si>
    <t>https://medical.olympusamerica.com/products/endoclotphs, https://accessgudid.nlm.nih.gov/devices/16972011720035</t>
  </si>
  <si>
    <t>FORCEP</t>
  </si>
  <si>
    <t>ENDOSCOPIC</t>
  </si>
  <si>
    <t>BIOPSY</t>
  </si>
  <si>
    <t>ADULT</t>
  </si>
  <si>
    <t>4 MMX180 CM</t>
  </si>
  <si>
    <t>2 MM</t>
  </si>
  <si>
    <t>GASTROINTESTINAL</t>
  </si>
  <si>
    <t>SPECIMEN RETRIEVAL, STANDARD, FENESTRATED, SINGLE ACTION, WITH CHANNEL</t>
  </si>
  <si>
    <t>REUSABLE</t>
  </si>
  <si>
    <t>https://www.akinglobal.com.tr/uploads/subdir-240-4/Olympus%20Endotherapy_Product_Catalog.pdf, https://accessgudid.nlm.nih.gov/devices/04953170029622#</t>
  </si>
  <si>
    <t>1050 MM</t>
  </si>
  <si>
    <t>HOT, OVAL, FENESTRATED, WITH CHANNEL</t>
  </si>
  <si>
    <t>BLACK</t>
  </si>
  <si>
    <t>https://mdc.olympus.eu/asset/084438885177/8e3082da4c1a2ae45622878f5a264909, https://accessgudid.nlm.nih.gov/devices/04953170418679</t>
  </si>
  <si>
    <t>RAT TOOTH</t>
  </si>
  <si>
    <t>3.8X1900 MM</t>
  </si>
  <si>
    <t>GRASPING, WITH CHANNEL</t>
  </si>
  <si>
    <t>https://mdc.olympus.eu/asset/084438885177/3e62659c68bfa98929c376062a7b6e10, https://accessgudid.nlm.nih.gov/devices/04953170435843</t>
  </si>
  <si>
    <t>RUBBER TIP</t>
  </si>
  <si>
    <t>4.8X1900 MM</t>
  </si>
  <si>
    <t>GRASPING, RETRIEVAL, WITH CHANNEL</t>
  </si>
  <si>
    <t>https://mdc.olympus.eu/asset/084438885177/3e62659c68bfa98929c376062a7b6e10, https://accessgudid.nlm.nih.gov/devices/04953170435850</t>
  </si>
  <si>
    <t>7.3X1621 MM</t>
  </si>
  <si>
    <t>https://mdc.olympus.eu/asset/084438885177/3e62659c68bfa98929c376062a7b6e10, https://accessgudid.nlm.nih.gov/devices/04953170435836</t>
  </si>
  <si>
    <t>W SHAPE</t>
  </si>
  <si>
    <t>14X1650 MM</t>
  </si>
  <si>
    <t>https://mdc.olympus.eu/asset/084438885177/3e62659c68bfa98929c376062a7b6e10, https://accessgudid.nlm.nih.gov/devices/04953170435874</t>
  </si>
  <si>
    <t>SCISSOR</t>
  </si>
  <si>
    <t>SURGICAL</t>
  </si>
  <si>
    <t>1619 MM</t>
  </si>
  <si>
    <t>https://mdc.olympus.eu/asset/084438885177/10dbd6937fe05868d04aeaf47a80b6ae, https://accessgudid.nlm.nih.gov/devices/04953170401077</t>
  </si>
  <si>
    <t>CLIP</t>
  </si>
  <si>
    <t>HEMOSTASIS</t>
  </si>
  <si>
    <t>90 DEGREE</t>
  </si>
  <si>
    <t>8.5 MM</t>
  </si>
  <si>
    <t>LONG LIGATION ARM</t>
  </si>
  <si>
    <t>YELLOW</t>
  </si>
  <si>
    <t>EZ CLIP</t>
  </si>
  <si>
    <t>FOR HEALTHY ELASTIC MUCOSA, MALLORY WEISS SYNDROME, OPEN VESSEL, SMALL PERFORATION, MARKING</t>
  </si>
  <si>
    <t>https://mdc.olympus.eu/asset/084438885177/a614a0ca2d051b1e38c7fdbc82725e66, https://accessgudid.nlm.nih.gov/devices/04953170415111</t>
  </si>
  <si>
    <t>135 DEGREE</t>
  </si>
  <si>
    <t>4 MM</t>
  </si>
  <si>
    <t>LONG LIGATION ARM, ROTATABLE, CARTRIDGE HOUSED, SHORT TAIL, MR CONDITIONAL, FOR SINGLE USE APPLICATOR AND HARD TISSUE AND BLEEDING ULCER</t>
  </si>
  <si>
    <t>GREY</t>
  </si>
  <si>
    <t>https://et-catalog.olympus.eu/products.html?level_1_id=12032&amp;level_2_id=12033, https://accessgudid.nlm.nih.gov/devices/04953170415173</t>
  </si>
  <si>
    <t>ENDOSCOPIC KIT</t>
  </si>
  <si>
    <t>1.91 MM</t>
  </si>
  <si>
    <t>WITH 2 CLIP TYPE STOPPER, WITHOUT BRUSH</t>
  </si>
  <si>
    <t>GUIDE SHEATH</t>
  </si>
  <si>
    <t>https://www.olympusprofed.com/wp-content/uploads/2022/07/Guide_Sheath_Kit_2_QRG.pdf, https://accessgudid.nlm.nih.gov/devices/04953170409011</t>
  </si>
  <si>
    <t>TUBING</t>
  </si>
  <si>
    <t>HYBRID</t>
  </si>
  <si>
    <t>WITH AIR</t>
  </si>
  <si>
    <t>https://medical.olympusamerica.com/products/hybrid-tubing</t>
  </si>
  <si>
    <t>NEEDLE</t>
  </si>
  <si>
    <t>ASPIRATING</t>
  </si>
  <si>
    <t>EBUS-TBNA</t>
  </si>
  <si>
    <t>21 GAX20-40 MM, 700 MM</t>
  </si>
  <si>
    <t>WITH CHANNEL, DISTAL END, ADJUSTABLE, 2 WAY</t>
  </si>
  <si>
    <t>https://www.beesmed.com/med-surg-syringe-wndle-aspirating-c-61_275.html, https://accessgudid.nlm.nih.gov/devices/04953170389917</t>
  </si>
  <si>
    <t>PROTECTOR</t>
  </si>
  <si>
    <t>ENDOSCOPE TIP</t>
  </si>
  <si>
    <t>FLEXIBLE</t>
  </si>
  <si>
    <t>SMALL</t>
  </si>
  <si>
    <t>8.6-14.75 MM</t>
  </si>
  <si>
    <t>DISTAL</t>
  </si>
  <si>
    <t>EVALUATION PACK</t>
  </si>
  <si>
    <t>https://et-catalog.olympus.eu/products.html?level_1_id=12503&amp;page=2</t>
  </si>
  <si>
    <t>LARGE</t>
  </si>
  <si>
    <t>2.9-8 MM</t>
  </si>
  <si>
    <t>XLARGE</t>
  </si>
  <si>
    <t>10.7-17.9 MM</t>
  </si>
  <si>
    <t>AIRWAY KIT</t>
  </si>
  <si>
    <t>SIZING</t>
  </si>
  <si>
    <t>ENDOBRONCHIAL</t>
  </si>
  <si>
    <t>FOR SPIRATION VALVE SYSTEM</t>
  </si>
  <si>
    <t>https://accessgudid.nlm.nih.gov/devices/00896506002323</t>
  </si>
  <si>
    <t>CONTROL</t>
  </si>
  <si>
    <t>FOR ROSI SYSTEM</t>
  </si>
  <si>
    <t>https://vti-online.com/products/rosi/, https://accessgudid.nlm.nih.gov/devices/00817122020065</t>
  </si>
  <si>
    <t>TUBING SET</t>
  </si>
  <si>
    <t>https://vti-online.com/products/rosi/, https://accessgudid.nlm.nih.gov/devices/10817122020031</t>
  </si>
  <si>
    <t>WITH EXCHANGEABLE TIP, FOR ROSI SYSTEM</t>
  </si>
  <si>
    <t>XT</t>
  </si>
  <si>
    <t>https://vti-online.com/products/rosi/, https://accessgudid.nlm.nih.gov/devices/10817122020475</t>
  </si>
  <si>
    <t>HOSPITAL, FOR ROSI SYSTEM</t>
  </si>
  <si>
    <t>https://vti-online.com/products/doppler-systems/tqi/, https://accessgudid.nlm.nih.gov/devices/00817122020133</t>
  </si>
  <si>
    <t>SUPPLY</t>
  </si>
  <si>
    <t>AC-DC</t>
  </si>
  <si>
    <t>ASSEMBLY, FOR ROSI SYSTEM</t>
  </si>
  <si>
    <t>https://vti-online.com/products/rosi/, https://accessgudid.nlm.nih.gov/devices/00817122020423</t>
  </si>
  <si>
    <t>CUFF</t>
  </si>
  <si>
    <t>INFLATION</t>
  </si>
  <si>
    <t>https://vti-online.com/products/rosi/, https://accessgudid.nlm.nih.gov/devices/00817122020430</t>
  </si>
  <si>
    <t>FOOTSWITCH</t>
  </si>
  <si>
    <t>SUCTION</t>
  </si>
  <si>
    <t>LATCHING</t>
  </si>
  <si>
    <t>FOR USE WITH 106400</t>
  </si>
  <si>
    <t>https://vti-online.com/products/rosi/</t>
  </si>
  <si>
    <t>COIL DETACHMENT</t>
  </si>
  <si>
    <t>ELECTRO DETACH GENERATOR V4, WITH RETURN ELECTRODE ADAPTER</t>
  </si>
  <si>
    <t>https://www.kaneka-med.jp/english/products/intervention/electro_detach_generator_v4_b/index.php, https://accessgudid.nlm.nih.gov/devices/04540778178113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</si>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</sst>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11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0033CC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FFCC99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9" fillId="0" borderId="1"/>
  </cellStyleXfs>
  <cellXfs count="26">
    <xf numFmtId="0" fontId="0" fillId="0" borderId="1" xfId="0"/>
    <xf numFmtId="0" fontId="2" fillId="0" borderId="1" xfId="0" applyFont="1"/>
    <xf numFmtId="0" fontId="6" fillId="0" borderId="0" xfId="0" applyFont="1" applyBorder="1"/>
    <xf numFmtId="49" fontId="6" fillId="0" borderId="0" xfId="0" applyNumberFormat="1" applyFont="1" applyBorder="1" applyAlignment="1">
      <alignment horizontal="left" vertical="center" indent="1"/>
    </xf>
    <xf numFmtId="0" fontId="6" fillId="0" borderId="1" xfId="0" applyFont="1" applyBorder="1"/>
    <xf numFmtId="0" fontId="6" fillId="0" borderId="1" xfId="0" applyFont="1"/>
    <xf numFmtId="0" fontId="7" fillId="0" borderId="1" xfId="0" applyFont="1" applyBorder="1"/>
    <xf numFmtId="0" fontId="6" fillId="0" borderId="1" xfId="0" applyFont="1" applyAlignment="1">
      <alignment horizontal="left"/>
    </xf>
    <xf numFmtId="0" fontId="6" fillId="0" borderId="1" xfId="0" applyNumberFormat="1" applyFont="1"/>
    <xf numFmtId="0" fontId="6" fillId="0" borderId="1" xfId="0" applyFont="1" applyBorder="1" applyAlignment="1">
      <alignment horizontal="left" vertical="center"/>
    </xf>
    <xf numFmtId="0" fontId="8" fillId="0" borderId="2" xfId="0" applyFont="1" applyFill="1" applyBorder="1" applyAlignment="1">
      <alignment horizontal="left"/>
    </xf>
    <xf numFmtId="0" fontId="7" fillId="0" borderId="1" xfId="0" applyFont="1" applyAlignment="1">
      <alignment horizontal="left" vertical="center" indent="1"/>
    </xf>
    <xf numFmtId="0" fontId="6" fillId="0" borderId="1" xfId="0" applyFont="1" applyBorder="1" applyAlignment="1">
      <alignment horizontal="left" vertical="center" indent="1"/>
    </xf>
    <xf numFmtId="0" fontId="10" fillId="0" borderId="3" xfId="6" applyNumberFormat="1" applyFont="1" applyFill="1" applyBorder="1" applyAlignment="1">
      <alignment horizontal="left" vertical="center" indent="1"/>
    </xf>
    <xf numFmtId="0" fontId="3" fillId="2" borderId="1" xfId="0" applyFont="1" applyFill="1" applyBorder="1" applyAlignment="1">
      <alignment horizontal="left" vertical="center" indent="1"/>
    </xf>
    <xf numFmtId="0" fontId="3" fillId="3" borderId="1" xfId="0" applyFont="1" applyFill="1" applyBorder="1" applyAlignment="1">
      <alignment horizontal="left" vertical="center" indent="1"/>
    </xf>
    <xf numFmtId="49" fontId="3" fillId="4" borderId="1" xfId="0" applyNumberFormat="1" applyFont="1" applyFill="1" applyBorder="1" applyAlignment="1">
      <alignment horizontal="left" vertical="center" indent="1"/>
    </xf>
    <xf numFmtId="0" fontId="3" fillId="4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49" fontId="3" fillId="2" borderId="1" xfId="0" applyNumberFormat="1" applyFont="1" applyFill="1" applyBorder="1" applyAlignment="1">
      <alignment horizontal="left" vertical="center" indent="1"/>
    </xf>
    <xf numFmtId="0" fontId="4" fillId="6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0" fontId="5" fillId="9" borderId="1" xfId="0" applyFont="1" applyFill="1" applyBorder="1" applyAlignment="1">
      <alignment horizontal="left" vertical="center" indent="1"/>
    </xf>
    <xf numFmtId="49" fontId="5" fillId="9" borderId="1" xfId="0" applyNumberFormat="1" applyFont="1" applyFill="1" applyBorder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_Sheet1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42"/>
  <sheetViews>
    <sheetView tabSelected="1" workbookViewId="0">
      <selection sqref="A1:DG1"/>
    </sheetView>
  </sheetViews>
  <sheetFormatPr defaultColWidth="9.1328125" defaultRowHeight="12.25" x14ac:dyDescent="0.65"/>
  <cols>
    <col min="1" max="1" width="14.26953125" style="1" customWidth="1"/>
    <col min="2" max="2" width="10.54296875" style="1" customWidth="1"/>
    <col min="3" max="3" width="27.54296875" style="1" customWidth="1"/>
    <col min="4" max="4" width="8.26953125" style="1" customWidth="1"/>
    <col min="5" max="5" width="12.86328125" style="1" customWidth="1"/>
    <col min="6" max="6" width="14.86328125" style="1" customWidth="1"/>
    <col min="7" max="7" width="13" style="1" customWidth="1"/>
    <col min="8" max="8" width="34.1328125" style="1" customWidth="1"/>
    <col min="9" max="9" width="9.86328125" style="1" customWidth="1"/>
    <col min="10" max="10" width="13.7265625" style="1" customWidth="1"/>
    <col min="11" max="11" width="8.7265625" style="1" customWidth="1"/>
    <col min="12" max="12" width="13.26953125" style="1" customWidth="1"/>
    <col min="13" max="13" width="9" style="1" customWidth="1"/>
    <col min="14" max="14" width="13.54296875" style="1" customWidth="1"/>
    <col min="15" max="15" width="8.54296875" style="1" customWidth="1"/>
    <col min="16" max="16" width="12.26953125" style="1" customWidth="1"/>
    <col min="17" max="17" width="10.1328125" style="1" customWidth="1"/>
    <col min="18" max="18" width="13.54296875" style="1" customWidth="1"/>
    <col min="19" max="19" width="11.1328125" style="1" customWidth="1"/>
    <col min="20" max="20" width="10.7265625" style="1" customWidth="1"/>
    <col min="21" max="21" width="5" style="1" customWidth="1"/>
    <col min="22" max="22" width="5.7265625" style="1" customWidth="1"/>
    <col min="23" max="23" width="28.86328125" style="1" customWidth="1"/>
    <col min="24" max="24" width="28.7265625" style="1" customWidth="1"/>
    <col min="25" max="25" width="18.54296875" style="1" customWidth="1"/>
    <col min="26" max="26" width="18.7265625" style="1" customWidth="1"/>
    <col min="27" max="27" width="34.7265625" style="1" customWidth="1"/>
    <col min="28" max="28" width="17.7265625" style="1" customWidth="1"/>
    <col min="29" max="29" width="9.40625" style="1" customWidth="1"/>
    <col min="30" max="30" width="7.26953125" style="1" customWidth="1"/>
    <col min="31" max="31" width="5.54296875" style="1" customWidth="1"/>
    <col min="32" max="32" width="5.86328125" style="1" customWidth="1"/>
    <col min="33" max="33" width="8.26953125" style="1" customWidth="1"/>
    <col min="34" max="34" width="19" style="1" customWidth="1"/>
    <col min="35" max="35" width="17.7265625" style="1" customWidth="1"/>
    <col min="36" max="36" width="130.86328125" style="1" customWidth="1"/>
    <col min="37" max="37" width="29.86328125" style="1" customWidth="1"/>
    <col min="38" max="38" width="10.1328125" style="1" customWidth="1"/>
    <col min="39" max="39" width="17.54296875" style="1" customWidth="1"/>
    <col min="40" max="40" width="7.40625" style="1" customWidth="1"/>
    <col min="41" max="41" width="11" style="1" customWidth="1"/>
    <col min="42" max="42" width="11.26953125" style="1" customWidth="1"/>
    <col min="43" max="43" width="16.40625" style="1" customWidth="1"/>
    <col min="44" max="44" width="38" style="1" customWidth="1"/>
    <col min="45" max="45" width="15.26953125" style="1" customWidth="1"/>
    <col min="46" max="46" width="25.86328125" style="1" customWidth="1"/>
    <col min="47" max="47" width="15.86328125" style="1" customWidth="1"/>
    <col min="48" max="48" width="25.40625" style="1" customWidth="1"/>
    <col min="49" max="49" width="5" style="1" customWidth="1"/>
    <col min="50" max="50" width="6.40625" style="1" customWidth="1"/>
    <col min="51" max="51" width="8.86328125" style="1" customWidth="1"/>
    <col min="52" max="52" width="9.40625" style="1" customWidth="1"/>
    <col min="53" max="54" width="5.1328125" style="1" customWidth="1"/>
    <col min="55" max="55" width="35.7265625" style="1" customWidth="1"/>
    <col min="56" max="56" width="38.1328125" style="1" customWidth="1"/>
    <col min="57" max="57" width="14.86328125" style="1" customWidth="1"/>
    <col min="58" max="58" width="8" style="1" customWidth="1"/>
    <col min="59" max="59" width="8.7265625" style="1" customWidth="1"/>
    <col min="60" max="60" width="9.1328125" style="1" customWidth="1"/>
    <col min="61" max="61" width="8.7265625" style="1" customWidth="1"/>
    <col min="62" max="62" width="27.86328125" style="1" customWidth="1"/>
    <col min="63" max="63" width="6.26953125" style="1" customWidth="1"/>
    <col min="64" max="64" width="7.26953125" style="1" customWidth="1"/>
    <col min="65" max="65" width="11.40625" style="1" customWidth="1"/>
    <col min="66" max="66" width="6.40625" style="1" customWidth="1"/>
    <col min="67" max="67" width="10.40625" style="1" customWidth="1"/>
    <col min="68" max="68" width="13" style="1" customWidth="1"/>
    <col min="69" max="70" width="5.1328125" style="1" customWidth="1"/>
    <col min="71" max="71" width="17.86328125" style="1" customWidth="1"/>
    <col min="72" max="72" width="18.86328125" style="1" customWidth="1"/>
    <col min="73" max="73" width="8.86328125" style="1" customWidth="1"/>
    <col min="74" max="74" width="19.26953125" style="1" customWidth="1"/>
    <col min="75" max="75" width="38.1328125" style="1" customWidth="1"/>
    <col min="76" max="76" width="15.7265625" style="1" customWidth="1"/>
    <col min="77" max="77" width="11.7265625" style="1" customWidth="1"/>
    <col min="78" max="78" width="16.1328125" style="1" customWidth="1"/>
    <col min="79" max="79" width="9.26953125" style="1" customWidth="1"/>
    <col min="80" max="80" width="20" style="1" customWidth="1"/>
    <col min="81" max="81" width="18.7265625" style="1" customWidth="1"/>
    <col min="82" max="82" width="8.1328125" style="1" customWidth="1"/>
    <col min="83" max="83" width="35.26953125" style="1" customWidth="1"/>
    <col min="84" max="84" width="26.40625" style="1" customWidth="1"/>
    <col min="85" max="85" width="26.86328125" style="1" customWidth="1"/>
    <col min="86" max="86" width="34.1328125" style="1" customWidth="1"/>
    <col min="87" max="87" width="12.1328125" style="1" customWidth="1"/>
    <col min="88" max="88" width="14" style="1" customWidth="1"/>
    <col min="89" max="89" width="6.1328125" style="1" customWidth="1"/>
    <col min="90" max="90" width="18.86328125" style="1" customWidth="1"/>
    <col min="91" max="91" width="20.26953125" style="1" customWidth="1"/>
    <col min="92" max="92" width="9.86328125" style="1" customWidth="1"/>
    <col min="93" max="93" width="12.1328125" style="1" customWidth="1"/>
    <col min="94" max="94" width="4.7265625" style="1" customWidth="1"/>
    <col min="95" max="95" width="12.54296875" style="1" customWidth="1"/>
    <col min="96" max="96" width="10" style="1" customWidth="1"/>
    <col min="97" max="97" width="6.40625" style="1" customWidth="1"/>
    <col min="98" max="98" width="15.86328125" style="1" customWidth="1"/>
    <col min="99" max="99" width="10.54296875" style="1" customWidth="1"/>
    <col min="100" max="101" width="17.7265625" style="1" customWidth="1"/>
    <col min="102" max="102" width="8.7265625" style="1" customWidth="1"/>
    <col min="103" max="103" width="8.40625" style="1" customWidth="1"/>
    <col min="104" max="104" width="8.7265625" style="1" customWidth="1"/>
    <col min="105" max="105" width="10.1328125" style="1" customWidth="1"/>
    <col min="106" max="106" width="9.7265625" style="1" customWidth="1"/>
    <col min="107" max="107" width="13.86328125" style="1" customWidth="1"/>
    <col min="108" max="108" width="6.86328125" style="1" customWidth="1"/>
    <col min="109" max="109" width="8.40625" style="1" customWidth="1"/>
    <col min="110" max="110" width="19.86328125" style="1" customWidth="1"/>
    <col min="111" max="111" width="18.54296875" style="1" customWidth="1"/>
    <col min="112" max="16384" width="9.1328125" style="1"/>
  </cols>
  <sheetData>
    <row r="1" spans="1:111" ht="12" customHeight="1" x14ac:dyDescent="0.65">
      <c r="A1" s="14" t="s">
        <v>96</v>
      </c>
      <c r="B1" s="14" t="s">
        <v>30</v>
      </c>
      <c r="C1" s="14" t="s">
        <v>149</v>
      </c>
      <c r="D1" s="14" t="s">
        <v>107</v>
      </c>
      <c r="E1" s="14" t="s">
        <v>236</v>
      </c>
      <c r="F1" s="14" t="s">
        <v>68</v>
      </c>
      <c r="G1" s="14" t="s">
        <v>224</v>
      </c>
      <c r="H1" s="14" t="s">
        <v>140</v>
      </c>
      <c r="I1" s="14" t="s">
        <v>36</v>
      </c>
      <c r="J1" s="14" t="s">
        <v>125</v>
      </c>
      <c r="K1" s="14" t="s">
        <v>141</v>
      </c>
      <c r="L1" s="14" t="s">
        <v>88</v>
      </c>
      <c r="M1" s="14" t="s">
        <v>22</v>
      </c>
      <c r="N1" s="14" t="s">
        <v>187</v>
      </c>
      <c r="O1" s="14" t="s">
        <v>26</v>
      </c>
      <c r="P1" s="14" t="s">
        <v>101</v>
      </c>
      <c r="Q1" s="14" t="s">
        <v>80</v>
      </c>
      <c r="R1" s="14" t="s">
        <v>63</v>
      </c>
      <c r="S1" s="14" t="s">
        <v>61</v>
      </c>
      <c r="T1" s="14" t="s">
        <v>112</v>
      </c>
      <c r="U1" s="15" t="s">
        <v>111</v>
      </c>
      <c r="V1" s="15" t="s">
        <v>86</v>
      </c>
      <c r="W1" s="16" t="s">
        <v>108</v>
      </c>
      <c r="X1" s="17" t="s">
        <v>109</v>
      </c>
      <c r="Y1" s="18" t="s">
        <v>179</v>
      </c>
      <c r="Z1" s="16" t="s">
        <v>131</v>
      </c>
      <c r="AA1" s="17" t="s">
        <v>222</v>
      </c>
      <c r="AB1" s="18" t="s">
        <v>29</v>
      </c>
      <c r="AC1" s="14" t="s">
        <v>214</v>
      </c>
      <c r="AD1" s="14" t="s">
        <v>1</v>
      </c>
      <c r="AE1" s="19" t="s">
        <v>83</v>
      </c>
      <c r="AF1" s="14" t="s">
        <v>147</v>
      </c>
      <c r="AG1" s="17" t="s">
        <v>162</v>
      </c>
      <c r="AH1" s="17" t="s">
        <v>184</v>
      </c>
      <c r="AI1" s="17" t="s">
        <v>199</v>
      </c>
      <c r="AJ1" s="17" t="s">
        <v>59</v>
      </c>
      <c r="AK1" s="17" t="s">
        <v>207</v>
      </c>
      <c r="AL1" s="17" t="s">
        <v>217</v>
      </c>
      <c r="AM1" s="17" t="s">
        <v>79</v>
      </c>
      <c r="AN1" s="17" t="s">
        <v>90</v>
      </c>
      <c r="AO1" s="18" t="s">
        <v>3</v>
      </c>
      <c r="AP1" s="14" t="s">
        <v>129</v>
      </c>
      <c r="AQ1" s="14" t="s">
        <v>155</v>
      </c>
      <c r="AR1" s="20" t="s">
        <v>72</v>
      </c>
      <c r="AS1" s="18" t="s">
        <v>151</v>
      </c>
      <c r="AT1" s="18" t="s">
        <v>193</v>
      </c>
      <c r="AU1" s="21" t="s">
        <v>188</v>
      </c>
      <c r="AV1" s="21" t="s">
        <v>95</v>
      </c>
      <c r="AW1" s="18" t="s">
        <v>104</v>
      </c>
      <c r="AX1" s="20" t="s">
        <v>204</v>
      </c>
      <c r="AY1" s="20" t="s">
        <v>99</v>
      </c>
      <c r="AZ1" s="20" t="s">
        <v>40</v>
      </c>
      <c r="BA1" s="20" t="s">
        <v>153</v>
      </c>
      <c r="BB1" s="20" t="s">
        <v>11</v>
      </c>
      <c r="BC1" s="20" t="s">
        <v>75</v>
      </c>
      <c r="BD1" s="20" t="s">
        <v>246</v>
      </c>
      <c r="BE1" s="20" t="s">
        <v>70</v>
      </c>
      <c r="BF1" s="20" t="s">
        <v>76</v>
      </c>
      <c r="BG1" s="20" t="s">
        <v>20</v>
      </c>
      <c r="BH1" s="20" t="s">
        <v>221</v>
      </c>
      <c r="BI1" s="20" t="s">
        <v>24</v>
      </c>
      <c r="BJ1" s="20" t="s">
        <v>9</v>
      </c>
      <c r="BK1" s="20" t="s">
        <v>174</v>
      </c>
      <c r="BL1" s="20" t="s">
        <v>166</v>
      </c>
      <c r="BM1" s="20" t="s">
        <v>198</v>
      </c>
      <c r="BN1" s="20" t="s">
        <v>50</v>
      </c>
      <c r="BO1" s="20" t="s">
        <v>123</v>
      </c>
      <c r="BP1" s="20" t="s">
        <v>216</v>
      </c>
      <c r="BQ1" s="18" t="s">
        <v>52</v>
      </c>
      <c r="BR1" s="18" t="s">
        <v>89</v>
      </c>
      <c r="BS1" s="20" t="s">
        <v>157</v>
      </c>
      <c r="BT1" s="20" t="s">
        <v>39</v>
      </c>
      <c r="BU1" s="20" t="s">
        <v>71</v>
      </c>
      <c r="BV1" s="20" t="s">
        <v>46</v>
      </c>
      <c r="BW1" s="20" t="s">
        <v>248</v>
      </c>
      <c r="BX1" s="20" t="s">
        <v>244</v>
      </c>
      <c r="BY1" s="20" t="s">
        <v>201</v>
      </c>
      <c r="BZ1" s="20" t="s">
        <v>64</v>
      </c>
      <c r="CA1" s="22" t="s">
        <v>165</v>
      </c>
      <c r="CB1" s="22" t="s">
        <v>205</v>
      </c>
      <c r="CC1" s="22" t="s">
        <v>182</v>
      </c>
      <c r="CD1" s="22" t="s">
        <v>213</v>
      </c>
      <c r="CE1" s="22" t="s">
        <v>0</v>
      </c>
      <c r="CF1" s="22" t="s">
        <v>33</v>
      </c>
      <c r="CG1" s="22" t="s">
        <v>115</v>
      </c>
      <c r="CH1" s="22" t="s">
        <v>47</v>
      </c>
      <c r="CI1" s="22" t="s">
        <v>49</v>
      </c>
      <c r="CJ1" s="22" t="s">
        <v>8</v>
      </c>
      <c r="CK1" s="22" t="s">
        <v>237</v>
      </c>
      <c r="CL1" s="22" t="s">
        <v>106</v>
      </c>
      <c r="CM1" s="22" t="s">
        <v>180</v>
      </c>
      <c r="CN1" s="22" t="s">
        <v>135</v>
      </c>
      <c r="CO1" s="22" t="s">
        <v>126</v>
      </c>
      <c r="CP1" s="22" t="s">
        <v>18</v>
      </c>
      <c r="CQ1" s="22" t="s">
        <v>137</v>
      </c>
      <c r="CR1" s="22" t="s">
        <v>158</v>
      </c>
      <c r="CS1" s="22" t="s">
        <v>167</v>
      </c>
      <c r="CT1" s="17" t="s">
        <v>189</v>
      </c>
      <c r="CU1" s="17" t="s">
        <v>230</v>
      </c>
      <c r="CV1" s="17" t="s">
        <v>43</v>
      </c>
      <c r="CW1" s="17" t="s">
        <v>34</v>
      </c>
      <c r="CX1" s="23" t="s">
        <v>77</v>
      </c>
      <c r="CY1" s="24" t="s">
        <v>229</v>
      </c>
      <c r="CZ1" s="23" t="s">
        <v>67</v>
      </c>
      <c r="DA1" s="25" t="s">
        <v>197</v>
      </c>
      <c r="DB1" s="25" t="s">
        <v>215</v>
      </c>
      <c r="DC1" s="25" t="s">
        <v>127</v>
      </c>
      <c r="DD1" s="25" t="s">
        <v>242</v>
      </c>
      <c r="DE1" s="25" t="s">
        <v>57</v>
      </c>
      <c r="DF1" s="1" t="s">
        <v>120</v>
      </c>
      <c r="DG1" s="1" t="s">
        <v>15</v>
      </c>
    </row>
    <row r="2" spans="1:111" ht="12" customHeight="1" x14ac:dyDescent="0.75">
      <c r="A2" t="s">
        <v>10</v>
      </c>
      <c r="B2" t="s">
        <v>133</v>
      </c>
      <c r="C2" t="s">
        <v>53</v>
      </c>
      <c r="D2" s="4" t="s">
        <v>238</v>
      </c>
      <c r="E2" t="s">
        <v>249</v>
      </c>
      <c r="F2" s="4" t="s">
        <v>238</v>
      </c>
      <c r="G2"/>
      <c r="H2" s="3" t="s">
        <v>54</v>
      </c>
      <c r="I2"/>
      <c r="J2"/>
      <c r="K2"/>
      <c r="L2"/>
      <c r="M2"/>
      <c r="N2"/>
      <c r="O2"/>
      <c r="P2"/>
      <c r="Q2"/>
      <c r="R2"/>
      <c r="S2"/>
      <c r="T2"/>
      <c r="U2" s="2">
        <v>92</v>
      </c>
      <c r="V2" s="2">
        <v>92</v>
      </c>
      <c r="W2" t="s">
        <v>245</v>
      </c>
      <c r="X2" t="s">
        <v>62</v>
      </c>
      <c r="Y2" s="6" t="s">
        <v>245</v>
      </c>
      <c r="Z2" t="s">
        <v>209</v>
      </c>
      <c r="AA2" t="s">
        <v>209</v>
      </c>
      <c r="AB2" s="7" t="s">
        <v>253</v>
      </c>
      <c r="AC2" s="5" t="s">
        <v>62</v>
      </c>
      <c r="AD2" s="7" t="s">
        <v>253</v>
      </c>
      <c r="AE2" s="7" t="s">
        <v>209</v>
      </c>
      <c r="AF2" s="5" t="s">
        <v>281</v>
      </c>
      <c r="AG2"/>
      <c r="AH2"/>
      <c r="AI2"/>
      <c r="AJ2" t="s">
        <v>116</v>
      </c>
      <c r="AK2"/>
      <c r="AL2">
        <v>1509</v>
      </c>
      <c r="AM2" t="s">
        <v>42</v>
      </c>
      <c r="AN2"/>
      <c r="AO2" s="7" t="s">
        <v>324</v>
      </c>
      <c r="AP2" s="5"/>
      <c r="AQ2" s="5"/>
      <c r="AR2" s="5" t="s">
        <v>116</v>
      </c>
      <c r="AS2" s="7" t="s">
        <v>379</v>
      </c>
      <c r="AT2" s="5" t="s">
        <v>379</v>
      </c>
      <c r="AU2" s="5" t="s">
        <v>380</v>
      </c>
      <c r="AV2" s="5" t="s">
        <v>380</v>
      </c>
      <c r="AW2" s="11">
        <f t="shared" ref="AW2:AW42" si="0">LEN(SUBSTITUTE(AV2,", "," "))</f>
        <v>35</v>
      </c>
      <c r="AX2" s="5" t="s">
        <v>480</v>
      </c>
      <c r="AY2" s="5" t="s">
        <v>481</v>
      </c>
      <c r="AZ2" s="5" t="s">
        <v>482</v>
      </c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 t="s">
        <v>483</v>
      </c>
      <c r="BN2" s="5"/>
      <c r="BO2" s="5"/>
      <c r="BP2" s="5"/>
      <c r="BQ2" s="5" t="s">
        <v>484</v>
      </c>
      <c r="BR2" s="5"/>
      <c r="BS2" s="5"/>
      <c r="BT2" s="5"/>
      <c r="BU2" s="5"/>
      <c r="BV2" s="5" t="s">
        <v>485</v>
      </c>
      <c r="BW2" s="5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 s="1" t="s">
        <v>653</v>
      </c>
    </row>
    <row r="3" spans="1:111" ht="12" customHeight="1" x14ac:dyDescent="0.75">
      <c r="A3" t="s">
        <v>10</v>
      </c>
      <c r="B3" t="s">
        <v>133</v>
      </c>
      <c r="C3" t="s">
        <v>53</v>
      </c>
      <c r="D3" s="4" t="s">
        <v>238</v>
      </c>
      <c r="E3" t="s">
        <v>249</v>
      </c>
      <c r="F3" s="4" t="s">
        <v>238</v>
      </c>
      <c r="G3"/>
      <c r="H3" s="3" t="s">
        <v>54</v>
      </c>
      <c r="I3"/>
      <c r="J3"/>
      <c r="K3"/>
      <c r="L3"/>
      <c r="M3"/>
      <c r="N3"/>
      <c r="O3"/>
      <c r="P3"/>
      <c r="Q3"/>
      <c r="R3"/>
      <c r="S3"/>
      <c r="T3"/>
      <c r="U3" s="2">
        <v>93</v>
      </c>
      <c r="V3" s="2">
        <v>93</v>
      </c>
      <c r="W3" t="s">
        <v>245</v>
      </c>
      <c r="X3" t="s">
        <v>62</v>
      </c>
      <c r="Y3" s="6" t="s">
        <v>245</v>
      </c>
      <c r="Z3" t="s">
        <v>105</v>
      </c>
      <c r="AA3" t="s">
        <v>105</v>
      </c>
      <c r="AB3" s="7" t="s">
        <v>254</v>
      </c>
      <c r="AC3" s="5" t="s">
        <v>62</v>
      </c>
      <c r="AD3" s="7" t="s">
        <v>254</v>
      </c>
      <c r="AE3" s="7" t="s">
        <v>105</v>
      </c>
      <c r="AF3" s="5" t="s">
        <v>282</v>
      </c>
      <c r="AG3"/>
      <c r="AH3"/>
      <c r="AI3"/>
      <c r="AJ3" t="s">
        <v>170</v>
      </c>
      <c r="AK3"/>
      <c r="AL3">
        <v>1509</v>
      </c>
      <c r="AM3" t="s">
        <v>102</v>
      </c>
      <c r="AN3"/>
      <c r="AO3" s="7" t="s">
        <v>324</v>
      </c>
      <c r="AP3" s="5"/>
      <c r="AQ3" s="5"/>
      <c r="AR3" s="5" t="s">
        <v>170</v>
      </c>
      <c r="AS3" s="7" t="s">
        <v>381</v>
      </c>
      <c r="AT3" s="5" t="s">
        <v>381</v>
      </c>
      <c r="AU3" s="5" t="s">
        <v>382</v>
      </c>
      <c r="AV3" s="5" t="s">
        <v>382</v>
      </c>
      <c r="AW3" s="11">
        <f t="shared" si="0"/>
        <v>33</v>
      </c>
      <c r="AX3" s="5" t="s">
        <v>486</v>
      </c>
      <c r="AY3" s="5" t="s">
        <v>481</v>
      </c>
      <c r="AZ3" s="5"/>
      <c r="BA3" s="5"/>
      <c r="BB3" s="5"/>
      <c r="BC3" s="5"/>
      <c r="BD3" s="5"/>
      <c r="BE3" s="5" t="s">
        <v>487</v>
      </c>
      <c r="BF3" s="5"/>
      <c r="BG3" s="5"/>
      <c r="BH3" s="5"/>
      <c r="BI3" s="5"/>
      <c r="BJ3" s="5"/>
      <c r="BK3" s="5"/>
      <c r="BL3" s="5"/>
      <c r="BM3" s="5" t="s">
        <v>483</v>
      </c>
      <c r="BN3" s="5"/>
      <c r="BO3" s="5"/>
      <c r="BP3" s="5"/>
      <c r="BQ3" s="5" t="s">
        <v>484</v>
      </c>
      <c r="BR3" s="5"/>
      <c r="BS3" s="5"/>
      <c r="BT3" s="5"/>
      <c r="BU3" s="5"/>
      <c r="BV3" s="5" t="s">
        <v>485</v>
      </c>
      <c r="BW3" s="5"/>
      <c r="BX3"/>
      <c r="BY3"/>
      <c r="BZ3"/>
      <c r="CA3"/>
      <c r="CB3"/>
      <c r="CC3"/>
      <c r="CD3"/>
      <c r="CE3"/>
      <c r="CF3"/>
      <c r="CG3"/>
      <c r="CH3"/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 s="1" t="s">
        <v>653</v>
      </c>
    </row>
    <row r="4" spans="1:111" ht="12" customHeight="1" x14ac:dyDescent="0.75">
      <c r="A4" t="s">
        <v>10</v>
      </c>
      <c r="B4" t="s">
        <v>133</v>
      </c>
      <c r="C4" t="s">
        <v>53</v>
      </c>
      <c r="D4" s="4" t="s">
        <v>238</v>
      </c>
      <c r="E4" t="s">
        <v>249</v>
      </c>
      <c r="F4" s="4" t="s">
        <v>238</v>
      </c>
      <c r="G4"/>
      <c r="H4" s="3" t="s">
        <v>54</v>
      </c>
      <c r="I4"/>
      <c r="J4"/>
      <c r="K4"/>
      <c r="L4"/>
      <c r="M4"/>
      <c r="N4"/>
      <c r="O4"/>
      <c r="P4"/>
      <c r="Q4"/>
      <c r="R4"/>
      <c r="S4"/>
      <c r="T4"/>
      <c r="U4" s="2">
        <v>94</v>
      </c>
      <c r="V4" s="2">
        <v>94</v>
      </c>
      <c r="W4" t="s">
        <v>245</v>
      </c>
      <c r="X4" t="s">
        <v>62</v>
      </c>
      <c r="Y4" s="6" t="s">
        <v>245</v>
      </c>
      <c r="Z4" t="s">
        <v>206</v>
      </c>
      <c r="AA4" t="s">
        <v>206</v>
      </c>
      <c r="AB4" s="7" t="s">
        <v>255</v>
      </c>
      <c r="AC4" s="5" t="s">
        <v>62</v>
      </c>
      <c r="AD4" s="7" t="s">
        <v>255</v>
      </c>
      <c r="AE4" s="7" t="s">
        <v>206</v>
      </c>
      <c r="AF4" s="5" t="s">
        <v>283</v>
      </c>
      <c r="AG4"/>
      <c r="AH4"/>
      <c r="AI4"/>
      <c r="AJ4" t="s">
        <v>81</v>
      </c>
      <c r="AK4"/>
      <c r="AL4">
        <v>1509</v>
      </c>
      <c r="AM4" t="s">
        <v>243</v>
      </c>
      <c r="AN4"/>
      <c r="AO4" s="7" t="s">
        <v>324</v>
      </c>
      <c r="AP4" s="5"/>
      <c r="AQ4" s="5"/>
      <c r="AR4" s="5" t="s">
        <v>345</v>
      </c>
      <c r="AS4" s="7" t="s">
        <v>383</v>
      </c>
      <c r="AT4" s="5" t="s">
        <v>383</v>
      </c>
      <c r="AU4" s="5" t="s">
        <v>384</v>
      </c>
      <c r="AV4" s="5" t="s">
        <v>384</v>
      </c>
      <c r="AW4" s="11">
        <f t="shared" si="0"/>
        <v>54</v>
      </c>
      <c r="AX4" s="5" t="s">
        <v>486</v>
      </c>
      <c r="AY4" s="5" t="s">
        <v>481</v>
      </c>
      <c r="AZ4" s="5" t="s">
        <v>488</v>
      </c>
      <c r="BA4" s="5"/>
      <c r="BB4" s="5"/>
      <c r="BC4" s="5"/>
      <c r="BD4" s="5"/>
      <c r="BE4" s="5" t="s">
        <v>487</v>
      </c>
      <c r="BF4" s="5"/>
      <c r="BG4" s="5"/>
      <c r="BH4" s="5"/>
      <c r="BI4" s="5"/>
      <c r="BJ4" s="5"/>
      <c r="BK4" s="5"/>
      <c r="BL4" s="5" t="s">
        <v>489</v>
      </c>
      <c r="BM4" s="5" t="s">
        <v>490</v>
      </c>
      <c r="BN4" s="5" t="s">
        <v>491</v>
      </c>
      <c r="BO4" s="5"/>
      <c r="BP4" s="5"/>
      <c r="BQ4" s="5" t="s">
        <v>492</v>
      </c>
      <c r="BR4" s="5"/>
      <c r="BS4" s="5"/>
      <c r="BT4" s="5"/>
      <c r="BU4" s="5"/>
      <c r="BV4" s="5" t="s">
        <v>485</v>
      </c>
      <c r="BW4" s="5"/>
      <c r="BX4"/>
      <c r="BY4"/>
      <c r="BZ4"/>
      <c r="CA4"/>
      <c r="CB4"/>
      <c r="CC4"/>
      <c r="CD4"/>
      <c r="CE4"/>
      <c r="CF4"/>
      <c r="CG4"/>
      <c r="CH4"/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 s="1" t="s">
        <v>653</v>
      </c>
    </row>
    <row r="5" spans="1:111" ht="12" customHeight="1" x14ac:dyDescent="0.75">
      <c r="A5" t="s">
        <v>10</v>
      </c>
      <c r="B5" t="s">
        <v>133</v>
      </c>
      <c r="C5" t="s">
        <v>53</v>
      </c>
      <c r="D5" s="4" t="s">
        <v>238</v>
      </c>
      <c r="E5" t="s">
        <v>249</v>
      </c>
      <c r="F5" s="4" t="s">
        <v>238</v>
      </c>
      <c r="G5"/>
      <c r="H5" s="3" t="s">
        <v>54</v>
      </c>
      <c r="I5"/>
      <c r="J5"/>
      <c r="K5"/>
      <c r="L5"/>
      <c r="M5"/>
      <c r="N5"/>
      <c r="O5"/>
      <c r="P5"/>
      <c r="Q5"/>
      <c r="R5"/>
      <c r="S5"/>
      <c r="T5"/>
      <c r="U5" s="2">
        <v>95</v>
      </c>
      <c r="V5" s="2">
        <v>95</v>
      </c>
      <c r="W5" t="s">
        <v>245</v>
      </c>
      <c r="X5" t="s">
        <v>62</v>
      </c>
      <c r="Y5" s="6" t="s">
        <v>245</v>
      </c>
      <c r="Z5" t="s">
        <v>5</v>
      </c>
      <c r="AA5" t="s">
        <v>5</v>
      </c>
      <c r="AB5" s="7" t="s">
        <v>256</v>
      </c>
      <c r="AC5" s="5" t="s">
        <v>62</v>
      </c>
      <c r="AD5" s="7" t="s">
        <v>256</v>
      </c>
      <c r="AE5" s="7" t="s">
        <v>5</v>
      </c>
      <c r="AF5" s="5" t="s">
        <v>284</v>
      </c>
      <c r="AG5"/>
      <c r="AH5"/>
      <c r="AI5"/>
      <c r="AJ5" t="s">
        <v>233</v>
      </c>
      <c r="AK5"/>
      <c r="AL5">
        <v>1509</v>
      </c>
      <c r="AM5" t="s">
        <v>139</v>
      </c>
      <c r="AN5"/>
      <c r="AO5" s="7" t="s">
        <v>324</v>
      </c>
      <c r="AP5" s="5"/>
      <c r="AQ5" s="5"/>
      <c r="AR5" s="5" t="s">
        <v>233</v>
      </c>
      <c r="AS5" s="7" t="s">
        <v>385</v>
      </c>
      <c r="AT5" s="5" t="s">
        <v>385</v>
      </c>
      <c r="AU5" s="5" t="s">
        <v>386</v>
      </c>
      <c r="AV5" s="5" t="s">
        <v>386</v>
      </c>
      <c r="AW5" s="11">
        <f t="shared" si="0"/>
        <v>37</v>
      </c>
      <c r="AX5" s="5" t="s">
        <v>486</v>
      </c>
      <c r="AY5" s="5" t="s">
        <v>481</v>
      </c>
      <c r="AZ5" s="5"/>
      <c r="BA5" s="5"/>
      <c r="BB5" s="5"/>
      <c r="BC5" s="5"/>
      <c r="BD5" s="5"/>
      <c r="BE5" s="5" t="s">
        <v>487</v>
      </c>
      <c r="BF5" s="5"/>
      <c r="BG5" s="5"/>
      <c r="BH5" s="5"/>
      <c r="BI5" s="5" t="s">
        <v>493</v>
      </c>
      <c r="BJ5" s="5"/>
      <c r="BK5" s="5"/>
      <c r="BL5" s="5"/>
      <c r="BM5" s="5" t="s">
        <v>483</v>
      </c>
      <c r="BN5" s="5"/>
      <c r="BO5" s="5"/>
      <c r="BP5" s="5"/>
      <c r="BQ5" s="5" t="s">
        <v>484</v>
      </c>
      <c r="BR5" s="5"/>
      <c r="BS5" s="5"/>
      <c r="BT5" s="5"/>
      <c r="BU5" s="5"/>
      <c r="BV5" s="5" t="s">
        <v>485</v>
      </c>
      <c r="BW5" s="5"/>
      <c r="BX5"/>
      <c r="BY5"/>
      <c r="BZ5"/>
      <c r="CA5"/>
      <c r="CB5"/>
      <c r="CC5"/>
      <c r="CD5"/>
      <c r="CE5"/>
      <c r="CF5"/>
      <c r="CG5"/>
      <c r="CH5"/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 s="1" t="s">
        <v>653</v>
      </c>
    </row>
    <row r="6" spans="1:111" ht="12" customHeight="1" x14ac:dyDescent="0.75">
      <c r="A6" t="s">
        <v>10</v>
      </c>
      <c r="B6" t="s">
        <v>175</v>
      </c>
      <c r="C6" t="s">
        <v>53</v>
      </c>
      <c r="D6" s="4" t="s">
        <v>238</v>
      </c>
      <c r="E6" t="s">
        <v>249</v>
      </c>
      <c r="F6" s="4" t="s">
        <v>238</v>
      </c>
      <c r="G6"/>
      <c r="H6" s="3" t="s">
        <v>54</v>
      </c>
      <c r="I6"/>
      <c r="J6"/>
      <c r="K6"/>
      <c r="L6"/>
      <c r="M6"/>
      <c r="N6"/>
      <c r="O6"/>
      <c r="P6"/>
      <c r="Q6"/>
      <c r="R6"/>
      <c r="S6"/>
      <c r="T6"/>
      <c r="U6" s="2">
        <v>97</v>
      </c>
      <c r="V6" s="2">
        <v>2</v>
      </c>
      <c r="W6" t="s">
        <v>73</v>
      </c>
      <c r="X6" t="s">
        <v>16</v>
      </c>
      <c r="Y6" s="6" t="s">
        <v>73</v>
      </c>
      <c r="Z6" t="s">
        <v>210</v>
      </c>
      <c r="AA6">
        <v>24700</v>
      </c>
      <c r="AB6" s="7">
        <v>24700</v>
      </c>
      <c r="AC6" s="5" t="s">
        <v>16</v>
      </c>
      <c r="AD6" s="7">
        <v>24700</v>
      </c>
      <c r="AE6" s="7">
        <v>24700</v>
      </c>
      <c r="AF6" s="8" t="s">
        <v>285</v>
      </c>
      <c r="AG6"/>
      <c r="AH6"/>
      <c r="AI6"/>
      <c r="AJ6" t="s">
        <v>154</v>
      </c>
      <c r="AK6"/>
      <c r="AL6">
        <v>6</v>
      </c>
      <c r="AM6" t="s">
        <v>169</v>
      </c>
      <c r="AN6"/>
      <c r="AO6" s="7" t="s">
        <v>325</v>
      </c>
      <c r="AP6" s="5"/>
      <c r="AQ6" s="5"/>
      <c r="AR6" s="5" t="s">
        <v>346</v>
      </c>
      <c r="AS6" s="7" t="s">
        <v>387</v>
      </c>
      <c r="AT6" s="5" t="s">
        <v>387</v>
      </c>
      <c r="AU6" s="5" t="s">
        <v>388</v>
      </c>
      <c r="AV6" s="5" t="s">
        <v>389</v>
      </c>
      <c r="AW6" s="11">
        <f t="shared" si="0"/>
        <v>58</v>
      </c>
      <c r="AX6" s="5" t="s">
        <v>494</v>
      </c>
      <c r="AY6" s="5" t="s">
        <v>495</v>
      </c>
      <c r="AZ6" s="5" t="s">
        <v>496</v>
      </c>
      <c r="BA6" s="5" t="s">
        <v>497</v>
      </c>
      <c r="BB6" s="5"/>
      <c r="BC6" s="5" t="s">
        <v>498</v>
      </c>
      <c r="BD6" s="5"/>
      <c r="BE6" s="5"/>
      <c r="BF6" s="5"/>
      <c r="BG6" s="5"/>
      <c r="BH6" s="5" t="s">
        <v>499</v>
      </c>
      <c r="BI6" s="5"/>
      <c r="BJ6" s="5"/>
      <c r="BK6" s="5"/>
      <c r="BL6" s="5" t="s">
        <v>500</v>
      </c>
      <c r="BM6" s="5" t="s">
        <v>501</v>
      </c>
      <c r="BN6" s="5" t="s">
        <v>491</v>
      </c>
      <c r="BO6" s="5"/>
      <c r="BP6" s="5"/>
      <c r="BQ6" s="5" t="s">
        <v>502</v>
      </c>
      <c r="BR6" s="5"/>
      <c r="BS6" s="5"/>
      <c r="BT6" s="5"/>
      <c r="BU6" s="5"/>
      <c r="BV6" s="5"/>
      <c r="BW6" s="5"/>
      <c r="BX6"/>
      <c r="BY6"/>
      <c r="BZ6"/>
      <c r="CA6"/>
      <c r="CB6"/>
      <c r="CC6"/>
      <c r="CD6"/>
      <c r="CE6"/>
      <c r="CF6"/>
      <c r="CG6"/>
      <c r="CH6"/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 s="1" t="s">
        <v>653</v>
      </c>
    </row>
    <row r="7" spans="1:111" ht="12" customHeight="1" x14ac:dyDescent="0.75">
      <c r="A7" t="s">
        <v>10</v>
      </c>
      <c r="B7" t="s">
        <v>175</v>
      </c>
      <c r="C7" t="s">
        <v>53</v>
      </c>
      <c r="D7" s="4" t="s">
        <v>238</v>
      </c>
      <c r="E7" t="s">
        <v>249</v>
      </c>
      <c r="F7" s="4" t="s">
        <v>238</v>
      </c>
      <c r="G7"/>
      <c r="H7" s="3" t="s">
        <v>54</v>
      </c>
      <c r="I7"/>
      <c r="J7"/>
      <c r="K7"/>
      <c r="L7"/>
      <c r="M7"/>
      <c r="N7"/>
      <c r="O7"/>
      <c r="P7"/>
      <c r="Q7"/>
      <c r="R7"/>
      <c r="S7"/>
      <c r="T7"/>
      <c r="U7" s="2">
        <v>98</v>
      </c>
      <c r="V7" s="2">
        <v>3</v>
      </c>
      <c r="W7" t="s">
        <v>113</v>
      </c>
      <c r="X7" t="s">
        <v>113</v>
      </c>
      <c r="Y7" s="6" t="s">
        <v>250</v>
      </c>
      <c r="Z7" t="s">
        <v>212</v>
      </c>
      <c r="AA7" t="s">
        <v>212</v>
      </c>
      <c r="AB7" s="7" t="s">
        <v>212</v>
      </c>
      <c r="AC7" s="5" t="s">
        <v>286</v>
      </c>
      <c r="AD7" s="7" t="s">
        <v>212</v>
      </c>
      <c r="AE7" s="7" t="s">
        <v>212</v>
      </c>
      <c r="AF7" s="5" t="s">
        <v>287</v>
      </c>
      <c r="AG7"/>
      <c r="AH7"/>
      <c r="AI7"/>
      <c r="AJ7" t="s">
        <v>161</v>
      </c>
      <c r="AK7"/>
      <c r="AL7">
        <v>3223</v>
      </c>
      <c r="AM7" t="s">
        <v>231</v>
      </c>
      <c r="AN7"/>
      <c r="AO7" s="9" t="s">
        <v>326</v>
      </c>
      <c r="AP7" s="5"/>
      <c r="AQ7" s="5"/>
      <c r="AR7" s="5" t="s">
        <v>161</v>
      </c>
      <c r="AS7" s="7" t="s">
        <v>390</v>
      </c>
      <c r="AT7" s="5" t="s">
        <v>390</v>
      </c>
      <c r="AU7" s="5" t="s">
        <v>391</v>
      </c>
      <c r="AV7" s="5" t="s">
        <v>391</v>
      </c>
      <c r="AW7" s="11">
        <f t="shared" si="0"/>
        <v>35</v>
      </c>
      <c r="AX7" s="5" t="s">
        <v>503</v>
      </c>
      <c r="AY7" s="5" t="s">
        <v>504</v>
      </c>
      <c r="AZ7" s="5" t="s">
        <v>505</v>
      </c>
      <c r="BA7" s="5"/>
      <c r="BB7" s="5"/>
      <c r="BC7" s="5" t="s">
        <v>506</v>
      </c>
      <c r="BD7" s="5"/>
      <c r="BE7" s="5"/>
      <c r="BF7" s="5"/>
      <c r="BG7" s="5"/>
      <c r="BH7" s="5" t="s">
        <v>507</v>
      </c>
      <c r="BI7" s="5"/>
      <c r="BJ7" s="5"/>
      <c r="BK7" s="5" t="s">
        <v>508</v>
      </c>
      <c r="BL7" s="5"/>
      <c r="BM7" s="5"/>
      <c r="BN7" s="5"/>
      <c r="BO7" s="5"/>
      <c r="BP7" s="5" t="s">
        <v>509</v>
      </c>
      <c r="BQ7" s="5" t="s">
        <v>484</v>
      </c>
      <c r="BR7" s="5"/>
      <c r="BS7" s="5" t="s">
        <v>157</v>
      </c>
      <c r="BT7" s="5"/>
      <c r="BU7" s="5"/>
      <c r="BV7" s="5"/>
      <c r="BW7" s="5"/>
      <c r="BX7"/>
      <c r="BY7"/>
      <c r="BZ7"/>
      <c r="CA7"/>
      <c r="CB7"/>
      <c r="CC7"/>
      <c r="CD7"/>
      <c r="CE7"/>
      <c r="CF7"/>
      <c r="CG7"/>
      <c r="CH7"/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 s="1" t="s">
        <v>653</v>
      </c>
    </row>
    <row r="8" spans="1:111" ht="12" customHeight="1" x14ac:dyDescent="0.75">
      <c r="A8" t="s">
        <v>10</v>
      </c>
      <c r="B8" t="s">
        <v>134</v>
      </c>
      <c r="C8" t="s">
        <v>53</v>
      </c>
      <c r="D8" s="4" t="s">
        <v>238</v>
      </c>
      <c r="E8" t="s">
        <v>249</v>
      </c>
      <c r="F8" s="4" t="s">
        <v>238</v>
      </c>
      <c r="G8"/>
      <c r="H8" s="3" t="s">
        <v>54</v>
      </c>
      <c r="I8"/>
      <c r="J8"/>
      <c r="K8"/>
      <c r="L8"/>
      <c r="M8"/>
      <c r="N8"/>
      <c r="O8"/>
      <c r="P8"/>
      <c r="Q8"/>
      <c r="R8"/>
      <c r="S8"/>
      <c r="T8"/>
      <c r="U8" s="2">
        <v>228</v>
      </c>
      <c r="V8" s="2">
        <v>107</v>
      </c>
      <c r="W8" t="s">
        <v>145</v>
      </c>
      <c r="X8" t="s">
        <v>51</v>
      </c>
      <c r="Y8" s="6" t="s">
        <v>145</v>
      </c>
      <c r="Z8" t="s">
        <v>235</v>
      </c>
      <c r="AA8" t="s">
        <v>235</v>
      </c>
      <c r="AB8" s="7" t="s">
        <v>235</v>
      </c>
      <c r="AC8" s="5" t="s">
        <v>51</v>
      </c>
      <c r="AD8" s="7" t="s">
        <v>235</v>
      </c>
      <c r="AE8" s="7" t="s">
        <v>235</v>
      </c>
      <c r="AF8" s="5" t="s">
        <v>288</v>
      </c>
      <c r="AG8"/>
      <c r="AH8"/>
      <c r="AI8"/>
      <c r="AJ8" t="s">
        <v>2</v>
      </c>
      <c r="AK8"/>
      <c r="AL8">
        <v>2717</v>
      </c>
      <c r="AM8" t="s">
        <v>25</v>
      </c>
      <c r="AN8"/>
      <c r="AO8" s="7" t="s">
        <v>327</v>
      </c>
      <c r="AP8" s="5"/>
      <c r="AQ8" s="5"/>
      <c r="AR8" s="5" t="s">
        <v>347</v>
      </c>
      <c r="AS8" s="7" t="s">
        <v>392</v>
      </c>
      <c r="AT8" s="5" t="s">
        <v>392</v>
      </c>
      <c r="AU8" s="5" t="s">
        <v>393</v>
      </c>
      <c r="AV8" s="5" t="s">
        <v>393</v>
      </c>
      <c r="AW8" s="11">
        <f t="shared" si="0"/>
        <v>50</v>
      </c>
      <c r="AX8" s="5" t="s">
        <v>510</v>
      </c>
      <c r="AY8" s="5" t="s">
        <v>511</v>
      </c>
      <c r="AZ8" s="5"/>
      <c r="BA8" s="5"/>
      <c r="BB8" s="5"/>
      <c r="BC8" s="5" t="s">
        <v>512</v>
      </c>
      <c r="BD8" s="5"/>
      <c r="BE8" s="5"/>
      <c r="BF8" s="5"/>
      <c r="BG8" s="5"/>
      <c r="BH8" s="5" t="s">
        <v>513</v>
      </c>
      <c r="BI8" s="5"/>
      <c r="BJ8" s="5"/>
      <c r="BK8" s="5"/>
      <c r="BL8" s="5"/>
      <c r="BM8" s="5"/>
      <c r="BN8" s="5"/>
      <c r="BO8" s="5"/>
      <c r="BP8" s="5"/>
      <c r="BQ8" s="5" t="s">
        <v>514</v>
      </c>
      <c r="BR8" s="5"/>
      <c r="BS8" s="5"/>
      <c r="BT8" s="5"/>
      <c r="BU8" s="5"/>
      <c r="BV8" s="5"/>
      <c r="BW8" s="5"/>
      <c r="BX8"/>
      <c r="BY8"/>
      <c r="BZ8"/>
      <c r="CA8"/>
      <c r="CB8"/>
      <c r="CC8"/>
      <c r="CD8"/>
      <c r="CE8"/>
      <c r="CF8"/>
      <c r="CG8"/>
      <c r="CH8"/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 s="1" t="s">
        <v>653</v>
      </c>
    </row>
    <row r="9" spans="1:111" ht="12" customHeight="1" x14ac:dyDescent="0.75">
      <c r="A9" t="s">
        <v>10</v>
      </c>
      <c r="B9" t="s">
        <v>134</v>
      </c>
      <c r="C9" t="s">
        <v>53</v>
      </c>
      <c r="D9" s="4" t="s">
        <v>238</v>
      </c>
      <c r="E9" t="s">
        <v>249</v>
      </c>
      <c r="F9" s="4" t="s">
        <v>238</v>
      </c>
      <c r="G9"/>
      <c r="H9" s="3" t="s">
        <v>54</v>
      </c>
      <c r="I9"/>
      <c r="J9"/>
      <c r="K9"/>
      <c r="L9"/>
      <c r="M9"/>
      <c r="N9"/>
      <c r="O9"/>
      <c r="P9"/>
      <c r="Q9"/>
      <c r="R9"/>
      <c r="S9"/>
      <c r="T9"/>
      <c r="U9" s="2">
        <v>236</v>
      </c>
      <c r="V9" s="2">
        <v>115</v>
      </c>
      <c r="W9" t="s">
        <v>145</v>
      </c>
      <c r="X9" t="s">
        <v>51</v>
      </c>
      <c r="Y9" s="6" t="s">
        <v>145</v>
      </c>
      <c r="Z9" t="s">
        <v>234</v>
      </c>
      <c r="AA9" t="s">
        <v>234</v>
      </c>
      <c r="AB9" s="7" t="s">
        <v>257</v>
      </c>
      <c r="AC9" s="5" t="s">
        <v>51</v>
      </c>
      <c r="AD9" s="7" t="s">
        <v>257</v>
      </c>
      <c r="AE9" s="7" t="s">
        <v>234</v>
      </c>
      <c r="AF9" s="5" t="s">
        <v>289</v>
      </c>
      <c r="AG9"/>
      <c r="AH9"/>
      <c r="AI9"/>
      <c r="AJ9" t="s">
        <v>163</v>
      </c>
      <c r="AK9"/>
      <c r="AL9">
        <v>2717</v>
      </c>
      <c r="AM9" t="s">
        <v>227</v>
      </c>
      <c r="AN9"/>
      <c r="AO9" s="7" t="s">
        <v>328</v>
      </c>
      <c r="AP9" s="5"/>
      <c r="AQ9" s="5"/>
      <c r="AR9" s="5" t="s">
        <v>348</v>
      </c>
      <c r="AS9" s="7" t="s">
        <v>394</v>
      </c>
      <c r="AT9" s="5" t="s">
        <v>394</v>
      </c>
      <c r="AU9" s="5" t="s">
        <v>395</v>
      </c>
      <c r="AV9" s="5" t="s">
        <v>395</v>
      </c>
      <c r="AW9" s="11">
        <f t="shared" si="0"/>
        <v>32</v>
      </c>
      <c r="AX9" s="5" t="s">
        <v>515</v>
      </c>
      <c r="AY9" s="5" t="s">
        <v>516</v>
      </c>
      <c r="AZ9" s="5" t="s">
        <v>517</v>
      </c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 t="s">
        <v>489</v>
      </c>
      <c r="BM9" s="5"/>
      <c r="BN9" s="5" t="s">
        <v>491</v>
      </c>
      <c r="BO9" s="5" t="s">
        <v>518</v>
      </c>
      <c r="BP9" s="5" t="s">
        <v>519</v>
      </c>
      <c r="BQ9" s="5" t="s">
        <v>520</v>
      </c>
      <c r="BR9" s="5"/>
      <c r="BS9" s="5"/>
      <c r="BT9" s="5"/>
      <c r="BU9" s="5"/>
      <c r="BV9" s="5"/>
      <c r="BW9" s="5"/>
      <c r="BX9"/>
      <c r="BY9"/>
      <c r="BZ9"/>
      <c r="CA9"/>
      <c r="CB9"/>
      <c r="CC9"/>
      <c r="CD9"/>
      <c r="CE9"/>
      <c r="CF9"/>
      <c r="CG9"/>
      <c r="CH9"/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 s="1" t="s">
        <v>653</v>
      </c>
    </row>
    <row r="10" spans="1:111" ht="12" customHeight="1" x14ac:dyDescent="0.75">
      <c r="A10" t="s">
        <v>10</v>
      </c>
      <c r="B10" t="s">
        <v>134</v>
      </c>
      <c r="C10" t="s">
        <v>53</v>
      </c>
      <c r="D10" s="4" t="s">
        <v>238</v>
      </c>
      <c r="E10" t="s">
        <v>249</v>
      </c>
      <c r="F10" s="4" t="s">
        <v>238</v>
      </c>
      <c r="G10"/>
      <c r="H10" s="3" t="s">
        <v>54</v>
      </c>
      <c r="I10"/>
      <c r="J10"/>
      <c r="K10"/>
      <c r="L10"/>
      <c r="M10"/>
      <c r="N10"/>
      <c r="O10"/>
      <c r="P10"/>
      <c r="Q10"/>
      <c r="R10"/>
      <c r="S10"/>
      <c r="T10"/>
      <c r="U10" s="2">
        <v>238</v>
      </c>
      <c r="V10" s="2">
        <v>117</v>
      </c>
      <c r="W10" t="s">
        <v>145</v>
      </c>
      <c r="X10" t="s">
        <v>51</v>
      </c>
      <c r="Y10" s="6" t="s">
        <v>145</v>
      </c>
      <c r="Z10" t="s">
        <v>58</v>
      </c>
      <c r="AA10" t="s">
        <v>58</v>
      </c>
      <c r="AB10" s="7" t="s">
        <v>258</v>
      </c>
      <c r="AC10" s="5" t="s">
        <v>51</v>
      </c>
      <c r="AD10" s="7" t="s">
        <v>258</v>
      </c>
      <c r="AE10" s="7" t="s">
        <v>58</v>
      </c>
      <c r="AF10" s="5" t="s">
        <v>290</v>
      </c>
      <c r="AG10"/>
      <c r="AH10"/>
      <c r="AI10"/>
      <c r="AJ10" t="s">
        <v>103</v>
      </c>
      <c r="AK10"/>
      <c r="AL10">
        <v>2717</v>
      </c>
      <c r="AM10" t="s">
        <v>191</v>
      </c>
      <c r="AN10"/>
      <c r="AO10" s="7" t="s">
        <v>329</v>
      </c>
      <c r="AP10" s="5"/>
      <c r="AQ10" s="5"/>
      <c r="AR10" s="5" t="s">
        <v>349</v>
      </c>
      <c r="AS10" s="7" t="s">
        <v>396</v>
      </c>
      <c r="AT10" s="5" t="s">
        <v>396</v>
      </c>
      <c r="AU10" s="5" t="s">
        <v>397</v>
      </c>
      <c r="AV10" s="5" t="s">
        <v>398</v>
      </c>
      <c r="AW10" s="11">
        <f t="shared" si="0"/>
        <v>57</v>
      </c>
      <c r="AX10" s="5" t="s">
        <v>521</v>
      </c>
      <c r="AY10" s="5" t="s">
        <v>522</v>
      </c>
      <c r="AZ10" s="5" t="s">
        <v>523</v>
      </c>
      <c r="BA10" s="5"/>
      <c r="BB10" s="5"/>
      <c r="BC10" s="5" t="s">
        <v>524</v>
      </c>
      <c r="BD10" s="5"/>
      <c r="BE10" s="5"/>
      <c r="BF10" s="5"/>
      <c r="BG10" s="5"/>
      <c r="BH10" s="5" t="s">
        <v>525</v>
      </c>
      <c r="BI10" s="5"/>
      <c r="BJ10" s="5"/>
      <c r="BK10" s="5"/>
      <c r="BL10" s="5" t="s">
        <v>489</v>
      </c>
      <c r="BM10" s="5"/>
      <c r="BN10" s="5" t="s">
        <v>526</v>
      </c>
      <c r="BO10" s="5" t="s">
        <v>518</v>
      </c>
      <c r="BP10" s="5"/>
      <c r="BQ10" s="5" t="s">
        <v>527</v>
      </c>
      <c r="BR10" s="5"/>
      <c r="BS10" s="5"/>
      <c r="BT10" s="5"/>
      <c r="BU10" s="5"/>
      <c r="BV10" s="5"/>
      <c r="BW10" s="5"/>
      <c r="BX10"/>
      <c r="BY10"/>
      <c r="BZ10"/>
      <c r="CA10"/>
      <c r="CB10"/>
      <c r="CC10"/>
      <c r="CD10"/>
      <c r="CE10"/>
      <c r="CF10"/>
      <c r="CG10"/>
      <c r="CH10"/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 s="1" t="s">
        <v>653</v>
      </c>
    </row>
    <row r="11" spans="1:111" ht="12" customHeight="1" x14ac:dyDescent="0.75">
      <c r="A11" t="s">
        <v>10</v>
      </c>
      <c r="B11" t="s">
        <v>134</v>
      </c>
      <c r="C11" t="s">
        <v>53</v>
      </c>
      <c r="D11" s="4" t="s">
        <v>238</v>
      </c>
      <c r="E11" t="s">
        <v>249</v>
      </c>
      <c r="F11" s="4" t="s">
        <v>238</v>
      </c>
      <c r="G11"/>
      <c r="H11" s="3" t="s">
        <v>54</v>
      </c>
      <c r="I11"/>
      <c r="J11"/>
      <c r="K11"/>
      <c r="L11"/>
      <c r="M11"/>
      <c r="N11"/>
      <c r="O11"/>
      <c r="P11"/>
      <c r="Q11"/>
      <c r="R11"/>
      <c r="S11"/>
      <c r="T11"/>
      <c r="U11" s="2">
        <v>239</v>
      </c>
      <c r="V11" s="2">
        <v>118</v>
      </c>
      <c r="W11" t="s">
        <v>145</v>
      </c>
      <c r="X11" t="s">
        <v>51</v>
      </c>
      <c r="Y11" s="6" t="s">
        <v>145</v>
      </c>
      <c r="Z11" t="s">
        <v>92</v>
      </c>
      <c r="AA11" t="s">
        <v>92</v>
      </c>
      <c r="AB11" s="7" t="s">
        <v>259</v>
      </c>
      <c r="AC11" s="5" t="s">
        <v>51</v>
      </c>
      <c r="AD11" s="7" t="s">
        <v>259</v>
      </c>
      <c r="AE11" s="7" t="s">
        <v>92</v>
      </c>
      <c r="AF11" s="5" t="s">
        <v>291</v>
      </c>
      <c r="AG11"/>
      <c r="AH11"/>
      <c r="AI11"/>
      <c r="AJ11" t="s">
        <v>98</v>
      </c>
      <c r="AK11"/>
      <c r="AL11">
        <v>2717</v>
      </c>
      <c r="AM11" t="s">
        <v>144</v>
      </c>
      <c r="AN11"/>
      <c r="AO11" s="7" t="s">
        <v>329</v>
      </c>
      <c r="AP11" s="5"/>
      <c r="AQ11" s="5"/>
      <c r="AR11" s="5" t="s">
        <v>350</v>
      </c>
      <c r="AS11" s="7" t="s">
        <v>399</v>
      </c>
      <c r="AT11" s="5" t="s">
        <v>399</v>
      </c>
      <c r="AU11" s="5" t="s">
        <v>400</v>
      </c>
      <c r="AV11" s="5" t="s">
        <v>401</v>
      </c>
      <c r="AW11" s="11">
        <f t="shared" si="0"/>
        <v>57</v>
      </c>
      <c r="AX11" s="5" t="s">
        <v>521</v>
      </c>
      <c r="AY11" s="5" t="s">
        <v>522</v>
      </c>
      <c r="AZ11" s="5" t="s">
        <v>523</v>
      </c>
      <c r="BA11" s="5"/>
      <c r="BB11" s="5"/>
      <c r="BC11" s="5" t="s">
        <v>528</v>
      </c>
      <c r="BD11" s="5"/>
      <c r="BE11" s="5"/>
      <c r="BF11" s="5"/>
      <c r="BG11" s="5"/>
      <c r="BH11" s="5" t="s">
        <v>529</v>
      </c>
      <c r="BI11" s="5"/>
      <c r="BJ11" s="5"/>
      <c r="BK11" s="5"/>
      <c r="BL11" s="5" t="s">
        <v>489</v>
      </c>
      <c r="BM11" s="5"/>
      <c r="BN11" s="5" t="s">
        <v>526</v>
      </c>
      <c r="BO11" s="5" t="s">
        <v>518</v>
      </c>
      <c r="BP11" s="5" t="s">
        <v>530</v>
      </c>
      <c r="BQ11" s="5" t="s">
        <v>531</v>
      </c>
      <c r="BR11" s="5"/>
      <c r="BS11" s="5"/>
      <c r="BT11" s="5"/>
      <c r="BU11" s="5"/>
      <c r="BV11" s="5"/>
      <c r="BW11" s="5"/>
      <c r="BX11"/>
      <c r="BY11"/>
      <c r="BZ11"/>
      <c r="CA11"/>
      <c r="CB11"/>
      <c r="CC11"/>
      <c r="CD11"/>
      <c r="CE11"/>
      <c r="CF11"/>
      <c r="CG11"/>
      <c r="CH11"/>
      <c r="CI11"/>
      <c r="CJ11"/>
      <c r="CK11"/>
      <c r="CL11"/>
      <c r="CM11"/>
      <c r="CN11"/>
      <c r="CO11"/>
      <c r="CP11"/>
      <c r="CQ11"/>
      <c r="CR11"/>
      <c r="CS11"/>
      <c r="CT11"/>
      <c r="CU11"/>
      <c r="CV11"/>
      <c r="CW11"/>
      <c r="CX11"/>
      <c r="CY11"/>
      <c r="CZ11"/>
      <c r="DA11"/>
      <c r="DB11"/>
      <c r="DC11"/>
      <c r="DD11"/>
      <c r="DE11"/>
      <c r="DF11" s="1" t="s">
        <v>653</v>
      </c>
    </row>
    <row r="12" spans="1:111" ht="12" customHeight="1" x14ac:dyDescent="0.75">
      <c r="A12" t="s">
        <v>10</v>
      </c>
      <c r="B12" t="s">
        <v>134</v>
      </c>
      <c r="C12" t="s">
        <v>53</v>
      </c>
      <c r="D12" s="4" t="s">
        <v>238</v>
      </c>
      <c r="E12" t="s">
        <v>249</v>
      </c>
      <c r="F12" s="4" t="s">
        <v>238</v>
      </c>
      <c r="G12"/>
      <c r="H12" s="3" t="s">
        <v>54</v>
      </c>
      <c r="I12"/>
      <c r="J12"/>
      <c r="K12"/>
      <c r="L12"/>
      <c r="M12"/>
      <c r="N12"/>
      <c r="O12"/>
      <c r="P12"/>
      <c r="Q12"/>
      <c r="R12"/>
      <c r="S12"/>
      <c r="T12"/>
      <c r="U12" s="2">
        <v>240</v>
      </c>
      <c r="V12" s="2">
        <v>119</v>
      </c>
      <c r="W12" t="s">
        <v>145</v>
      </c>
      <c r="X12" t="s">
        <v>51</v>
      </c>
      <c r="Y12" s="6" t="s">
        <v>145</v>
      </c>
      <c r="Z12" t="s">
        <v>124</v>
      </c>
      <c r="AA12" t="s">
        <v>124</v>
      </c>
      <c r="AB12" s="7" t="s">
        <v>260</v>
      </c>
      <c r="AC12" s="5" t="s">
        <v>51</v>
      </c>
      <c r="AD12" s="7" t="s">
        <v>260</v>
      </c>
      <c r="AE12" s="7" t="s">
        <v>124</v>
      </c>
      <c r="AF12" s="5" t="s">
        <v>292</v>
      </c>
      <c r="AG12"/>
      <c r="AH12"/>
      <c r="AI12"/>
      <c r="AJ12" t="s">
        <v>4</v>
      </c>
      <c r="AK12"/>
      <c r="AL12">
        <v>2717</v>
      </c>
      <c r="AM12" t="s">
        <v>82</v>
      </c>
      <c r="AN12"/>
      <c r="AO12" s="7" t="s">
        <v>329</v>
      </c>
      <c r="AP12" s="5"/>
      <c r="AQ12" s="5"/>
      <c r="AR12" s="5" t="s">
        <v>351</v>
      </c>
      <c r="AS12" s="7" t="s">
        <v>402</v>
      </c>
      <c r="AT12" s="5" t="s">
        <v>402</v>
      </c>
      <c r="AU12" s="5" t="s">
        <v>403</v>
      </c>
      <c r="AV12" s="5" t="s">
        <v>404</v>
      </c>
      <c r="AW12" s="11">
        <f t="shared" si="0"/>
        <v>57</v>
      </c>
      <c r="AX12" s="5" t="s">
        <v>521</v>
      </c>
      <c r="AY12" s="5" t="s">
        <v>522</v>
      </c>
      <c r="AZ12" s="5" t="s">
        <v>523</v>
      </c>
      <c r="BA12" s="5"/>
      <c r="BB12" s="5"/>
      <c r="BC12" s="5" t="s">
        <v>532</v>
      </c>
      <c r="BD12" s="5"/>
      <c r="BE12" s="5"/>
      <c r="BF12" s="5"/>
      <c r="BG12" s="5"/>
      <c r="BH12" s="5" t="s">
        <v>533</v>
      </c>
      <c r="BI12" s="5"/>
      <c r="BJ12" s="5"/>
      <c r="BK12" s="5"/>
      <c r="BL12" s="5" t="s">
        <v>489</v>
      </c>
      <c r="BM12" s="5"/>
      <c r="BN12" s="5" t="s">
        <v>526</v>
      </c>
      <c r="BO12" s="5" t="s">
        <v>518</v>
      </c>
      <c r="BP12" s="5" t="s">
        <v>530</v>
      </c>
      <c r="BQ12" s="5" t="s">
        <v>534</v>
      </c>
      <c r="BR12" s="5"/>
      <c r="BS12" s="5"/>
      <c r="BT12" s="5"/>
      <c r="BU12" s="5"/>
      <c r="BV12" s="5"/>
      <c r="BW12" s="5"/>
      <c r="BX12"/>
      <c r="BY12"/>
      <c r="BZ12"/>
      <c r="CA12"/>
      <c r="CB12"/>
      <c r="CC12"/>
      <c r="CD12"/>
      <c r="CE12"/>
      <c r="CF12"/>
      <c r="CG12"/>
      <c r="CH12"/>
      <c r="CI12"/>
      <c r="CJ12"/>
      <c r="CK12"/>
      <c r="CL12"/>
      <c r="CM12"/>
      <c r="CN12"/>
      <c r="CO12"/>
      <c r="CP12"/>
      <c r="CQ12"/>
      <c r="CR12"/>
      <c r="CS12"/>
      <c r="CT12"/>
      <c r="CU12"/>
      <c r="CV12"/>
      <c r="CW12"/>
      <c r="CX12"/>
      <c r="CY12"/>
      <c r="CZ12"/>
      <c r="DA12"/>
      <c r="DB12"/>
      <c r="DC12"/>
      <c r="DD12"/>
      <c r="DE12"/>
      <c r="DF12" s="1" t="s">
        <v>653</v>
      </c>
    </row>
    <row r="13" spans="1:111" ht="12" customHeight="1" x14ac:dyDescent="0.75">
      <c r="A13" t="s">
        <v>10</v>
      </c>
      <c r="B13" t="s">
        <v>134</v>
      </c>
      <c r="C13" t="s">
        <v>53</v>
      </c>
      <c r="D13" s="4" t="s">
        <v>238</v>
      </c>
      <c r="E13" t="s">
        <v>249</v>
      </c>
      <c r="F13" s="4" t="s">
        <v>238</v>
      </c>
      <c r="G13"/>
      <c r="H13" s="3" t="s">
        <v>54</v>
      </c>
      <c r="I13"/>
      <c r="J13"/>
      <c r="K13"/>
      <c r="L13"/>
      <c r="M13"/>
      <c r="N13"/>
      <c r="O13"/>
      <c r="P13"/>
      <c r="Q13"/>
      <c r="R13"/>
      <c r="S13"/>
      <c r="T13"/>
      <c r="U13" s="2">
        <v>241</v>
      </c>
      <c r="V13" s="2">
        <v>120</v>
      </c>
      <c r="W13" t="s">
        <v>145</v>
      </c>
      <c r="X13" t="s">
        <v>51</v>
      </c>
      <c r="Y13" s="6" t="s">
        <v>145</v>
      </c>
      <c r="Z13" t="s">
        <v>87</v>
      </c>
      <c r="AA13" t="s">
        <v>87</v>
      </c>
      <c r="AB13" s="7" t="s">
        <v>87</v>
      </c>
      <c r="AC13" s="5" t="s">
        <v>51</v>
      </c>
      <c r="AD13" s="7" t="s">
        <v>87</v>
      </c>
      <c r="AE13" s="7" t="s">
        <v>87</v>
      </c>
      <c r="AF13" s="5" t="s">
        <v>293</v>
      </c>
      <c r="AG13"/>
      <c r="AH13"/>
      <c r="AI13"/>
      <c r="AJ13" t="s">
        <v>69</v>
      </c>
      <c r="AK13"/>
      <c r="AL13">
        <v>2717</v>
      </c>
      <c r="AM13" t="s">
        <v>23</v>
      </c>
      <c r="AN13"/>
      <c r="AO13" s="7" t="s">
        <v>330</v>
      </c>
      <c r="AP13" s="5"/>
      <c r="AQ13" s="5"/>
      <c r="AR13" s="5" t="s">
        <v>352</v>
      </c>
      <c r="AS13" s="7" t="s">
        <v>405</v>
      </c>
      <c r="AT13" s="5" t="s">
        <v>405</v>
      </c>
      <c r="AU13" s="5" t="s">
        <v>406</v>
      </c>
      <c r="AV13" s="5" t="s">
        <v>406</v>
      </c>
      <c r="AW13" s="11">
        <f t="shared" si="0"/>
        <v>37</v>
      </c>
      <c r="AX13" s="5" t="s">
        <v>535</v>
      </c>
      <c r="AY13" s="5" t="s">
        <v>522</v>
      </c>
      <c r="AZ13" s="5"/>
      <c r="BA13" s="5"/>
      <c r="BB13" s="5"/>
      <c r="BC13" s="5"/>
      <c r="BD13" s="5"/>
      <c r="BE13" s="5"/>
      <c r="BF13" s="5"/>
      <c r="BG13" s="5"/>
      <c r="BH13" s="5" t="s">
        <v>536</v>
      </c>
      <c r="BI13" s="5"/>
      <c r="BJ13" s="5"/>
      <c r="BK13" s="5"/>
      <c r="BL13" s="5"/>
      <c r="BM13" s="5" t="s">
        <v>537</v>
      </c>
      <c r="BN13" s="5"/>
      <c r="BO13" s="5"/>
      <c r="BP13" s="5" t="s">
        <v>538</v>
      </c>
      <c r="BQ13" s="5" t="s">
        <v>539</v>
      </c>
      <c r="BR13" s="5"/>
      <c r="BS13" s="5"/>
      <c r="BT13" s="5"/>
      <c r="BU13" s="5"/>
      <c r="BV13" s="5"/>
      <c r="BW13" s="5"/>
      <c r="BX13"/>
      <c r="BY13"/>
      <c r="BZ13"/>
      <c r="CA13"/>
      <c r="CB13"/>
      <c r="CC13"/>
      <c r="CD13"/>
      <c r="CE13"/>
      <c r="CF13"/>
      <c r="CG13"/>
      <c r="CH13"/>
      <c r="CI13"/>
      <c r="CJ13"/>
      <c r="CK13"/>
      <c r="CL13"/>
      <c r="CM13"/>
      <c r="CN13"/>
      <c r="CO13"/>
      <c r="CP13"/>
      <c r="CQ13"/>
      <c r="CR13"/>
      <c r="CS13"/>
      <c r="CT13"/>
      <c r="CU13"/>
      <c r="CV13"/>
      <c r="CW13"/>
      <c r="CX13"/>
      <c r="CY13"/>
      <c r="CZ13"/>
      <c r="DA13"/>
      <c r="DB13"/>
      <c r="DC13"/>
      <c r="DD13"/>
      <c r="DE13"/>
      <c r="DF13" s="1" t="s">
        <v>653</v>
      </c>
    </row>
    <row r="14" spans="1:111" ht="12" customHeight="1" x14ac:dyDescent="0.75">
      <c r="A14" t="s">
        <v>10</v>
      </c>
      <c r="B14" t="s">
        <v>134</v>
      </c>
      <c r="C14" t="s">
        <v>53</v>
      </c>
      <c r="D14" s="4" t="s">
        <v>238</v>
      </c>
      <c r="E14" t="s">
        <v>249</v>
      </c>
      <c r="F14" s="4" t="s">
        <v>238</v>
      </c>
      <c r="G14"/>
      <c r="H14" s="3" t="s">
        <v>54</v>
      </c>
      <c r="I14"/>
      <c r="J14"/>
      <c r="K14"/>
      <c r="L14"/>
      <c r="M14"/>
      <c r="N14"/>
      <c r="O14"/>
      <c r="P14"/>
      <c r="Q14"/>
      <c r="R14"/>
      <c r="S14"/>
      <c r="T14"/>
      <c r="U14" s="2">
        <v>257</v>
      </c>
      <c r="V14" s="2">
        <v>136</v>
      </c>
      <c r="W14" t="s">
        <v>145</v>
      </c>
      <c r="X14" t="s">
        <v>51</v>
      </c>
      <c r="Y14" s="6" t="s">
        <v>145</v>
      </c>
      <c r="Z14" t="s">
        <v>14</v>
      </c>
      <c r="AA14" t="s">
        <v>14</v>
      </c>
      <c r="AB14" s="7" t="s">
        <v>261</v>
      </c>
      <c r="AC14" s="5" t="s">
        <v>51</v>
      </c>
      <c r="AD14" s="7" t="s">
        <v>261</v>
      </c>
      <c r="AE14" s="7" t="s">
        <v>14</v>
      </c>
      <c r="AF14" s="5" t="s">
        <v>294</v>
      </c>
      <c r="AG14"/>
      <c r="AH14"/>
      <c r="AI14"/>
      <c r="AJ14" t="s">
        <v>160</v>
      </c>
      <c r="AK14"/>
      <c r="AL14">
        <v>2717</v>
      </c>
      <c r="AM14" t="s">
        <v>44</v>
      </c>
      <c r="AN14"/>
      <c r="AO14" s="7" t="s">
        <v>331</v>
      </c>
      <c r="AP14" s="5"/>
      <c r="AQ14" s="5"/>
      <c r="AR14" s="5" t="s">
        <v>353</v>
      </c>
      <c r="AS14" s="7" t="s">
        <v>407</v>
      </c>
      <c r="AT14" s="5" t="s">
        <v>407</v>
      </c>
      <c r="AU14" s="5" t="s">
        <v>408</v>
      </c>
      <c r="AV14" s="5" t="s">
        <v>409</v>
      </c>
      <c r="AW14" s="11">
        <f t="shared" si="0"/>
        <v>59</v>
      </c>
      <c r="AX14" s="5" t="s">
        <v>540</v>
      </c>
      <c r="AY14" s="5" t="s">
        <v>541</v>
      </c>
      <c r="AZ14" s="5" t="s">
        <v>542</v>
      </c>
      <c r="BA14" s="5"/>
      <c r="BB14" s="5"/>
      <c r="BC14" s="5" t="s">
        <v>543</v>
      </c>
      <c r="BD14" s="5" t="s">
        <v>544</v>
      </c>
      <c r="BE14" s="5" t="s">
        <v>545</v>
      </c>
      <c r="BF14" s="5"/>
      <c r="BG14" s="5"/>
      <c r="BH14" s="5" t="s">
        <v>546</v>
      </c>
      <c r="BI14" s="5"/>
      <c r="BJ14" s="5"/>
      <c r="BK14" s="5"/>
      <c r="BL14" s="5" t="s">
        <v>489</v>
      </c>
      <c r="BM14" s="5" t="s">
        <v>537</v>
      </c>
      <c r="BN14" s="5" t="s">
        <v>491</v>
      </c>
      <c r="BO14" s="5"/>
      <c r="BP14" s="5"/>
      <c r="BQ14" s="5" t="s">
        <v>547</v>
      </c>
      <c r="BR14" s="5"/>
      <c r="BS14" s="5"/>
      <c r="BT14" s="5"/>
      <c r="BU14" s="5"/>
      <c r="BV14" s="5"/>
      <c r="BW14" s="5"/>
      <c r="BX14"/>
      <c r="BY14"/>
      <c r="BZ14"/>
      <c r="CA14"/>
      <c r="CB14"/>
      <c r="CC14"/>
      <c r="CD14"/>
      <c r="CE14"/>
      <c r="CF14"/>
      <c r="CG14"/>
      <c r="CH14"/>
      <c r="CI14"/>
      <c r="CJ14"/>
      <c r="CK14"/>
      <c r="CL14"/>
      <c r="CM14"/>
      <c r="CN14"/>
      <c r="CO14"/>
      <c r="CP14"/>
      <c r="CQ14"/>
      <c r="CR14"/>
      <c r="CS14"/>
      <c r="CT14"/>
      <c r="CU14"/>
      <c r="CV14"/>
      <c r="CW14"/>
      <c r="CX14"/>
      <c r="CY14"/>
      <c r="CZ14"/>
      <c r="DA14"/>
      <c r="DB14"/>
      <c r="DC14"/>
      <c r="DD14"/>
      <c r="DE14"/>
      <c r="DF14" s="1" t="s">
        <v>653</v>
      </c>
    </row>
    <row r="15" spans="1:111" ht="12" customHeight="1" x14ac:dyDescent="0.75">
      <c r="A15" t="s">
        <v>10</v>
      </c>
      <c r="B15" t="s">
        <v>134</v>
      </c>
      <c r="C15" t="s">
        <v>53</v>
      </c>
      <c r="D15" s="4" t="s">
        <v>238</v>
      </c>
      <c r="E15" t="s">
        <v>249</v>
      </c>
      <c r="F15" s="4" t="s">
        <v>238</v>
      </c>
      <c r="G15"/>
      <c r="H15" s="3" t="s">
        <v>54</v>
      </c>
      <c r="I15"/>
      <c r="J15"/>
      <c r="K15"/>
      <c r="L15"/>
      <c r="M15"/>
      <c r="N15"/>
      <c r="O15"/>
      <c r="P15"/>
      <c r="Q15"/>
      <c r="R15"/>
      <c r="S15"/>
      <c r="T15"/>
      <c r="U15" s="2">
        <v>258</v>
      </c>
      <c r="V15" s="2">
        <v>137</v>
      </c>
      <c r="W15" t="s">
        <v>145</v>
      </c>
      <c r="X15" t="s">
        <v>51</v>
      </c>
      <c r="Y15" s="6" t="s">
        <v>145</v>
      </c>
      <c r="Z15" t="s">
        <v>114</v>
      </c>
      <c r="AA15" t="s">
        <v>114</v>
      </c>
      <c r="AB15" s="7" t="s">
        <v>177</v>
      </c>
      <c r="AC15" s="5" t="s">
        <v>51</v>
      </c>
      <c r="AD15" s="7" t="s">
        <v>177</v>
      </c>
      <c r="AE15" s="7" t="s">
        <v>295</v>
      </c>
      <c r="AF15" s="5" t="s">
        <v>296</v>
      </c>
      <c r="AG15"/>
      <c r="AH15"/>
      <c r="AI15"/>
      <c r="AJ15" t="s">
        <v>177</v>
      </c>
      <c r="AK15"/>
      <c r="AL15">
        <v>2717</v>
      </c>
      <c r="AM15" t="s">
        <v>143</v>
      </c>
      <c r="AN15"/>
      <c r="AO15" s="7" t="s">
        <v>331</v>
      </c>
      <c r="AP15" s="5"/>
      <c r="AQ15" s="5"/>
      <c r="AR15" s="5" t="s">
        <v>353</v>
      </c>
      <c r="AS15" s="7" t="s">
        <v>410</v>
      </c>
      <c r="AT15" s="5" t="s">
        <v>410</v>
      </c>
      <c r="AU15" s="5" t="s">
        <v>411</v>
      </c>
      <c r="AV15" s="5" t="s">
        <v>412</v>
      </c>
      <c r="AW15" s="11">
        <f t="shared" si="0"/>
        <v>57</v>
      </c>
      <c r="AX15" s="5" t="s">
        <v>548</v>
      </c>
      <c r="AY15" s="5"/>
      <c r="AZ15" s="5" t="s">
        <v>542</v>
      </c>
      <c r="BA15" s="5"/>
      <c r="BB15" s="5"/>
      <c r="BC15" s="5" t="s">
        <v>543</v>
      </c>
      <c r="BD15" s="5" t="s">
        <v>544</v>
      </c>
      <c r="BE15" s="5" t="s">
        <v>545</v>
      </c>
      <c r="BF15" s="5"/>
      <c r="BG15" s="5"/>
      <c r="BH15" s="5" t="s">
        <v>546</v>
      </c>
      <c r="BI15" s="5"/>
      <c r="BJ15" s="5"/>
      <c r="BK15" s="5"/>
      <c r="BL15" s="5" t="s">
        <v>489</v>
      </c>
      <c r="BM15" s="5" t="s">
        <v>537</v>
      </c>
      <c r="BN15" s="5" t="s">
        <v>491</v>
      </c>
      <c r="BO15" s="5"/>
      <c r="BP15" s="5"/>
      <c r="BQ15" s="5" t="s">
        <v>484</v>
      </c>
      <c r="BR15" s="5"/>
      <c r="BS15" s="5"/>
      <c r="BT15" s="5"/>
      <c r="BU15" s="5"/>
      <c r="BV15" s="5" t="s">
        <v>485</v>
      </c>
      <c r="BW15" s="5"/>
      <c r="BX15"/>
      <c r="BY15"/>
      <c r="BZ15"/>
      <c r="CA15"/>
      <c r="CB15"/>
      <c r="CC15"/>
      <c r="CD15"/>
      <c r="CE15"/>
      <c r="CF15"/>
      <c r="CG15"/>
      <c r="CH15"/>
      <c r="CI15"/>
      <c r="CJ15"/>
      <c r="CK15"/>
      <c r="CL15"/>
      <c r="CM15"/>
      <c r="CN15"/>
      <c r="CO15"/>
      <c r="CP15"/>
      <c r="CQ15"/>
      <c r="CR15"/>
      <c r="CS15"/>
      <c r="CT15"/>
      <c r="CU15"/>
      <c r="CV15"/>
      <c r="CW15"/>
      <c r="CX15"/>
      <c r="CY15"/>
      <c r="CZ15"/>
      <c r="DA15"/>
      <c r="DB15"/>
      <c r="DC15"/>
      <c r="DD15"/>
      <c r="DE15"/>
      <c r="DF15" s="1" t="s">
        <v>653</v>
      </c>
    </row>
    <row r="16" spans="1:111" ht="12" customHeight="1" x14ac:dyDescent="0.75">
      <c r="A16" t="s">
        <v>10</v>
      </c>
      <c r="B16" t="s">
        <v>134</v>
      </c>
      <c r="C16" t="s">
        <v>53</v>
      </c>
      <c r="D16" s="4" t="s">
        <v>238</v>
      </c>
      <c r="E16" t="s">
        <v>249</v>
      </c>
      <c r="F16" s="4" t="s">
        <v>238</v>
      </c>
      <c r="G16"/>
      <c r="H16" s="3" t="s">
        <v>54</v>
      </c>
      <c r="I16"/>
      <c r="J16"/>
      <c r="K16"/>
      <c r="L16"/>
      <c r="M16"/>
      <c r="N16"/>
      <c r="O16"/>
      <c r="P16"/>
      <c r="Q16"/>
      <c r="R16"/>
      <c r="S16"/>
      <c r="T16"/>
      <c r="U16" s="2">
        <v>259</v>
      </c>
      <c r="V16" s="2">
        <v>138</v>
      </c>
      <c r="W16" t="s">
        <v>145</v>
      </c>
      <c r="X16" t="s">
        <v>51</v>
      </c>
      <c r="Y16" s="6" t="s">
        <v>145</v>
      </c>
      <c r="Z16" t="s">
        <v>132</v>
      </c>
      <c r="AA16" t="s">
        <v>132</v>
      </c>
      <c r="AB16" s="7" t="s">
        <v>262</v>
      </c>
      <c r="AC16" s="5" t="s">
        <v>51</v>
      </c>
      <c r="AD16" s="7" t="s">
        <v>262</v>
      </c>
      <c r="AE16" s="7" t="s">
        <v>132</v>
      </c>
      <c r="AF16" s="5" t="s">
        <v>297</v>
      </c>
      <c r="AG16"/>
      <c r="AH16"/>
      <c r="AI16"/>
      <c r="AJ16" t="s">
        <v>171</v>
      </c>
      <c r="AK16"/>
      <c r="AL16">
        <v>2717</v>
      </c>
      <c r="AM16" t="s">
        <v>142</v>
      </c>
      <c r="AN16"/>
      <c r="AO16" s="7" t="s">
        <v>331</v>
      </c>
      <c r="AP16" s="5"/>
      <c r="AQ16" s="5"/>
      <c r="AR16" s="5" t="s">
        <v>354</v>
      </c>
      <c r="AS16" s="7" t="s">
        <v>413</v>
      </c>
      <c r="AT16" s="5" t="s">
        <v>413</v>
      </c>
      <c r="AU16" s="5" t="s">
        <v>414</v>
      </c>
      <c r="AV16" s="5" t="s">
        <v>415</v>
      </c>
      <c r="AW16" s="11">
        <f t="shared" si="0"/>
        <v>59</v>
      </c>
      <c r="AX16" s="5" t="s">
        <v>540</v>
      </c>
      <c r="AY16" s="5" t="s">
        <v>541</v>
      </c>
      <c r="AZ16" s="5" t="s">
        <v>542</v>
      </c>
      <c r="BA16" s="5"/>
      <c r="BB16" s="5"/>
      <c r="BC16" s="5" t="s">
        <v>543</v>
      </c>
      <c r="BD16" s="5" t="s">
        <v>544</v>
      </c>
      <c r="BE16" s="5" t="s">
        <v>549</v>
      </c>
      <c r="BF16" s="5"/>
      <c r="BG16" s="5"/>
      <c r="BH16" s="5" t="s">
        <v>546</v>
      </c>
      <c r="BI16" s="5"/>
      <c r="BJ16" s="5"/>
      <c r="BK16" s="5"/>
      <c r="BL16" s="5" t="s">
        <v>489</v>
      </c>
      <c r="BM16" s="5" t="s">
        <v>537</v>
      </c>
      <c r="BN16" s="5" t="s">
        <v>491</v>
      </c>
      <c r="BO16" s="5"/>
      <c r="BP16" s="5"/>
      <c r="BQ16" s="5" t="s">
        <v>550</v>
      </c>
      <c r="BR16" s="5"/>
      <c r="BS16" s="5"/>
      <c r="BT16" s="5"/>
      <c r="BU16" s="5"/>
      <c r="BV16" s="5"/>
      <c r="BW16" s="5"/>
      <c r="BX16"/>
      <c r="BY16"/>
      <c r="BZ16"/>
      <c r="CA16"/>
      <c r="CB16"/>
      <c r="CC16"/>
      <c r="CD16"/>
      <c r="CE16"/>
      <c r="CF16"/>
      <c r="CG16"/>
      <c r="CH16"/>
      <c r="CI16"/>
      <c r="CJ16"/>
      <c r="CK16"/>
      <c r="CL16"/>
      <c r="CM16"/>
      <c r="CN16"/>
      <c r="CO16"/>
      <c r="CP16"/>
      <c r="CQ16"/>
      <c r="CR16"/>
      <c r="CS16"/>
      <c r="CT16"/>
      <c r="CU16"/>
      <c r="CV16"/>
      <c r="CW16"/>
      <c r="CX16"/>
      <c r="CY16"/>
      <c r="CZ16"/>
      <c r="DA16"/>
      <c r="DB16"/>
      <c r="DC16"/>
      <c r="DD16"/>
      <c r="DE16"/>
      <c r="DF16" s="1" t="s">
        <v>653</v>
      </c>
    </row>
    <row r="17" spans="1:110" ht="12" customHeight="1" x14ac:dyDescent="0.75">
      <c r="A17" t="s">
        <v>10</v>
      </c>
      <c r="B17" t="s">
        <v>134</v>
      </c>
      <c r="C17" t="s">
        <v>53</v>
      </c>
      <c r="D17" s="4" t="s">
        <v>238</v>
      </c>
      <c r="E17" t="s">
        <v>249</v>
      </c>
      <c r="F17" s="4" t="s">
        <v>238</v>
      </c>
      <c r="G17"/>
      <c r="H17" s="3" t="s">
        <v>54</v>
      </c>
      <c r="I17"/>
      <c r="J17"/>
      <c r="K17"/>
      <c r="L17"/>
      <c r="M17"/>
      <c r="N17"/>
      <c r="O17"/>
      <c r="P17"/>
      <c r="Q17"/>
      <c r="R17"/>
      <c r="S17"/>
      <c r="T17"/>
      <c r="U17" s="2">
        <v>260</v>
      </c>
      <c r="V17" s="2">
        <v>139</v>
      </c>
      <c r="W17" t="s">
        <v>145</v>
      </c>
      <c r="X17" t="s">
        <v>51</v>
      </c>
      <c r="Y17" s="6" t="s">
        <v>145</v>
      </c>
      <c r="Z17" t="s">
        <v>152</v>
      </c>
      <c r="AA17" t="s">
        <v>152</v>
      </c>
      <c r="AB17" s="7" t="s">
        <v>240</v>
      </c>
      <c r="AC17" s="5" t="s">
        <v>51</v>
      </c>
      <c r="AD17" s="7" t="s">
        <v>240</v>
      </c>
      <c r="AE17" s="7" t="s">
        <v>152</v>
      </c>
      <c r="AF17" s="5" t="s">
        <v>298</v>
      </c>
      <c r="AG17"/>
      <c r="AH17"/>
      <c r="AI17"/>
      <c r="AJ17" t="s">
        <v>240</v>
      </c>
      <c r="AK17"/>
      <c r="AL17">
        <v>2717</v>
      </c>
      <c r="AM17" t="s">
        <v>84</v>
      </c>
      <c r="AN17"/>
      <c r="AO17" s="7" t="s">
        <v>331</v>
      </c>
      <c r="AP17" s="5"/>
      <c r="AQ17" s="5"/>
      <c r="AR17" s="5" t="s">
        <v>354</v>
      </c>
      <c r="AS17" s="7" t="s">
        <v>416</v>
      </c>
      <c r="AT17" s="5" t="s">
        <v>416</v>
      </c>
      <c r="AU17" s="5" t="s">
        <v>417</v>
      </c>
      <c r="AV17" s="5" t="s">
        <v>418</v>
      </c>
      <c r="AW17" s="11">
        <f t="shared" si="0"/>
        <v>57</v>
      </c>
      <c r="AX17" s="5" t="s">
        <v>548</v>
      </c>
      <c r="AY17" s="5"/>
      <c r="AZ17" s="5" t="s">
        <v>542</v>
      </c>
      <c r="BA17" s="5"/>
      <c r="BB17" s="5"/>
      <c r="BC17" s="5" t="s">
        <v>543</v>
      </c>
      <c r="BD17" s="5" t="s">
        <v>544</v>
      </c>
      <c r="BE17" s="5" t="s">
        <v>549</v>
      </c>
      <c r="BF17" s="5"/>
      <c r="BG17" s="5"/>
      <c r="BH17" s="5" t="s">
        <v>546</v>
      </c>
      <c r="BI17" s="5"/>
      <c r="BJ17" s="5"/>
      <c r="BK17" s="5"/>
      <c r="BL17" s="5" t="s">
        <v>489</v>
      </c>
      <c r="BM17" s="5" t="s">
        <v>537</v>
      </c>
      <c r="BN17" s="5" t="s">
        <v>491</v>
      </c>
      <c r="BO17" s="5"/>
      <c r="BP17" s="5"/>
      <c r="BQ17" s="5" t="s">
        <v>484</v>
      </c>
      <c r="BR17" s="5"/>
      <c r="BS17" s="5"/>
      <c r="BT17" s="5"/>
      <c r="BU17" s="5"/>
      <c r="BV17" s="5" t="s">
        <v>485</v>
      </c>
      <c r="BW17" s="5"/>
      <c r="BX17"/>
      <c r="BY17"/>
      <c r="BZ17"/>
      <c r="CA17"/>
      <c r="CB17"/>
      <c r="CC17"/>
      <c r="CD17"/>
      <c r="CE17"/>
      <c r="CF17"/>
      <c r="CG17"/>
      <c r="CH17"/>
      <c r="CI17"/>
      <c r="CJ17"/>
      <c r="CK17"/>
      <c r="CL17"/>
      <c r="CM17"/>
      <c r="CN17"/>
      <c r="CO17"/>
      <c r="CP17"/>
      <c r="CQ17"/>
      <c r="CR17"/>
      <c r="CS17"/>
      <c r="CT17"/>
      <c r="CU17"/>
      <c r="CV17"/>
      <c r="CW17"/>
      <c r="CX17"/>
      <c r="CY17"/>
      <c r="CZ17"/>
      <c r="DA17"/>
      <c r="DB17"/>
      <c r="DC17"/>
      <c r="DD17"/>
      <c r="DE17"/>
      <c r="DF17" s="1" t="s">
        <v>653</v>
      </c>
    </row>
    <row r="18" spans="1:110" ht="12" customHeight="1" x14ac:dyDescent="0.75">
      <c r="A18" t="s">
        <v>10</v>
      </c>
      <c r="B18" t="s">
        <v>134</v>
      </c>
      <c r="C18" t="s">
        <v>53</v>
      </c>
      <c r="D18" s="4" t="s">
        <v>238</v>
      </c>
      <c r="E18" t="s">
        <v>249</v>
      </c>
      <c r="F18" s="4" t="s">
        <v>238</v>
      </c>
      <c r="G18"/>
      <c r="H18" s="3" t="s">
        <v>54</v>
      </c>
      <c r="I18"/>
      <c r="J18"/>
      <c r="K18"/>
      <c r="L18"/>
      <c r="M18"/>
      <c r="N18"/>
      <c r="O18"/>
      <c r="P18"/>
      <c r="Q18"/>
      <c r="R18"/>
      <c r="S18"/>
      <c r="T18"/>
      <c r="U18" s="2">
        <v>261</v>
      </c>
      <c r="V18" s="2">
        <v>140</v>
      </c>
      <c r="W18" t="s">
        <v>145</v>
      </c>
      <c r="X18" t="s">
        <v>51</v>
      </c>
      <c r="Y18" s="6" t="s">
        <v>145</v>
      </c>
      <c r="Z18" t="s">
        <v>60</v>
      </c>
      <c r="AA18" t="s">
        <v>60</v>
      </c>
      <c r="AB18" s="7" t="s">
        <v>263</v>
      </c>
      <c r="AC18" s="5" t="s">
        <v>51</v>
      </c>
      <c r="AD18" s="7" t="s">
        <v>263</v>
      </c>
      <c r="AE18" s="7" t="s">
        <v>60</v>
      </c>
      <c r="AF18" s="5" t="s">
        <v>299</v>
      </c>
      <c r="AG18"/>
      <c r="AH18"/>
      <c r="AI18"/>
      <c r="AJ18" t="s">
        <v>226</v>
      </c>
      <c r="AK18"/>
      <c r="AL18">
        <v>2717</v>
      </c>
      <c r="AM18" t="s">
        <v>27</v>
      </c>
      <c r="AN18"/>
      <c r="AO18" s="7" t="s">
        <v>332</v>
      </c>
      <c r="AP18" s="5"/>
      <c r="AQ18" s="5"/>
      <c r="AR18" s="5" t="s">
        <v>355</v>
      </c>
      <c r="AS18" s="7" t="s">
        <v>419</v>
      </c>
      <c r="AT18" s="5" t="s">
        <v>419</v>
      </c>
      <c r="AU18" s="5" t="s">
        <v>420</v>
      </c>
      <c r="AV18" s="5" t="s">
        <v>421</v>
      </c>
      <c r="AW18" s="11">
        <f t="shared" si="0"/>
        <v>59</v>
      </c>
      <c r="AX18" s="5" t="s">
        <v>551</v>
      </c>
      <c r="AY18" s="5" t="s">
        <v>552</v>
      </c>
      <c r="AZ18" s="5" t="s">
        <v>553</v>
      </c>
      <c r="BA18" s="5" t="s">
        <v>554</v>
      </c>
      <c r="BB18" s="5"/>
      <c r="BC18" s="5" t="s">
        <v>555</v>
      </c>
      <c r="BD18" s="5" t="s">
        <v>556</v>
      </c>
      <c r="BE18" s="5"/>
      <c r="BF18" s="5"/>
      <c r="BG18" s="5" t="s">
        <v>557</v>
      </c>
      <c r="BH18" s="5" t="s">
        <v>558</v>
      </c>
      <c r="BI18" s="5"/>
      <c r="BJ18" s="5"/>
      <c r="BK18" s="5"/>
      <c r="BL18" s="5" t="s">
        <v>500</v>
      </c>
      <c r="BM18" s="5"/>
      <c r="BN18" s="5" t="s">
        <v>526</v>
      </c>
      <c r="BO18" s="5" t="s">
        <v>559</v>
      </c>
      <c r="BP18" s="5"/>
      <c r="BQ18" s="5" t="s">
        <v>560</v>
      </c>
      <c r="BR18" s="5"/>
      <c r="BS18" s="5"/>
      <c r="BT18" s="5"/>
      <c r="BU18" s="5"/>
      <c r="BV18" s="5"/>
      <c r="BW18" s="5"/>
      <c r="BX18"/>
      <c r="BY18"/>
      <c r="BZ18"/>
      <c r="CA18"/>
      <c r="CB18"/>
      <c r="CC18"/>
      <c r="CD18"/>
      <c r="CE18"/>
      <c r="CF18"/>
      <c r="CG18"/>
      <c r="CH18"/>
      <c r="CI18"/>
      <c r="CJ18"/>
      <c r="CK18"/>
      <c r="CL18"/>
      <c r="CM18"/>
      <c r="CN18"/>
      <c r="CO18"/>
      <c r="CP18"/>
      <c r="CQ18"/>
      <c r="CR18"/>
      <c r="CS18"/>
      <c r="CT18"/>
      <c r="CU18"/>
      <c r="CV18"/>
      <c r="CW18"/>
      <c r="CX18"/>
      <c r="CY18"/>
      <c r="CZ18"/>
      <c r="DA18"/>
      <c r="DB18"/>
      <c r="DC18"/>
      <c r="DD18"/>
      <c r="DE18"/>
      <c r="DF18" s="1" t="s">
        <v>653</v>
      </c>
    </row>
    <row r="19" spans="1:110" ht="12" customHeight="1" x14ac:dyDescent="0.75">
      <c r="A19" t="s">
        <v>10</v>
      </c>
      <c r="B19" t="s">
        <v>134</v>
      </c>
      <c r="C19" t="s">
        <v>53</v>
      </c>
      <c r="D19" s="4" t="s">
        <v>238</v>
      </c>
      <c r="E19" t="s">
        <v>249</v>
      </c>
      <c r="F19" s="4" t="s">
        <v>238</v>
      </c>
      <c r="G19"/>
      <c r="H19" s="3" t="s">
        <v>54</v>
      </c>
      <c r="I19"/>
      <c r="J19"/>
      <c r="K19"/>
      <c r="L19"/>
      <c r="M19"/>
      <c r="N19"/>
      <c r="O19"/>
      <c r="P19"/>
      <c r="Q19"/>
      <c r="R19"/>
      <c r="S19"/>
      <c r="T19"/>
      <c r="U19" s="2">
        <v>262</v>
      </c>
      <c r="V19" s="2">
        <v>141</v>
      </c>
      <c r="W19" t="s">
        <v>145</v>
      </c>
      <c r="X19" t="s">
        <v>51</v>
      </c>
      <c r="Y19" s="6" t="s">
        <v>145</v>
      </c>
      <c r="Z19" t="s">
        <v>247</v>
      </c>
      <c r="AA19" t="s">
        <v>247</v>
      </c>
      <c r="AB19" s="7" t="s">
        <v>264</v>
      </c>
      <c r="AC19" s="5" t="s">
        <v>51</v>
      </c>
      <c r="AD19" s="7" t="s">
        <v>264</v>
      </c>
      <c r="AE19" s="7" t="s">
        <v>247</v>
      </c>
      <c r="AF19" s="5" t="s">
        <v>300</v>
      </c>
      <c r="AG19"/>
      <c r="AH19"/>
      <c r="AI19"/>
      <c r="AJ19" t="s">
        <v>118</v>
      </c>
      <c r="AK19"/>
      <c r="AL19">
        <v>2717</v>
      </c>
      <c r="AM19" t="s">
        <v>178</v>
      </c>
      <c r="AN19"/>
      <c r="AO19" s="7" t="s">
        <v>332</v>
      </c>
      <c r="AP19" s="5"/>
      <c r="AQ19" s="5"/>
      <c r="AR19" s="5" t="s">
        <v>356</v>
      </c>
      <c r="AS19" s="7" t="s">
        <v>422</v>
      </c>
      <c r="AT19" s="5" t="s">
        <v>422</v>
      </c>
      <c r="AU19" s="5" t="s">
        <v>423</v>
      </c>
      <c r="AV19" s="5" t="s">
        <v>424</v>
      </c>
      <c r="AW19" s="11">
        <f t="shared" si="0"/>
        <v>57</v>
      </c>
      <c r="AX19" s="5" t="s">
        <v>551</v>
      </c>
      <c r="AY19" s="5" t="s">
        <v>552</v>
      </c>
      <c r="AZ19" s="5" t="s">
        <v>553</v>
      </c>
      <c r="BA19" s="5"/>
      <c r="BB19" s="5"/>
      <c r="BC19" s="5" t="s">
        <v>561</v>
      </c>
      <c r="BD19" s="5" t="s">
        <v>556</v>
      </c>
      <c r="BE19" s="5"/>
      <c r="BF19" s="5"/>
      <c r="BG19" s="5"/>
      <c r="BH19" s="5" t="s">
        <v>562</v>
      </c>
      <c r="BI19" s="5"/>
      <c r="BJ19" s="5"/>
      <c r="BK19" s="5" t="s">
        <v>563</v>
      </c>
      <c r="BL19" s="5" t="s">
        <v>489</v>
      </c>
      <c r="BM19" s="5"/>
      <c r="BN19" s="5" t="s">
        <v>526</v>
      </c>
      <c r="BO19" s="5" t="s">
        <v>518</v>
      </c>
      <c r="BP19" s="5"/>
      <c r="BQ19" s="5" t="s">
        <v>564</v>
      </c>
      <c r="BR19" s="5"/>
      <c r="BS19" s="5"/>
      <c r="BT19" s="5"/>
      <c r="BU19" s="5"/>
      <c r="BV19" s="5"/>
      <c r="BW19" s="5"/>
      <c r="BX19"/>
      <c r="BY19"/>
      <c r="BZ19"/>
      <c r="CA19"/>
      <c r="CB19"/>
      <c r="CC19"/>
      <c r="CD19"/>
      <c r="CE19"/>
      <c r="CF19"/>
      <c r="CG19"/>
      <c r="CH19"/>
      <c r="CI19"/>
      <c r="CJ19"/>
      <c r="CK19"/>
      <c r="CL19"/>
      <c r="CM19"/>
      <c r="CN19"/>
      <c r="CO19"/>
      <c r="CP19"/>
      <c r="CQ19"/>
      <c r="CR19"/>
      <c r="CS19"/>
      <c r="CT19"/>
      <c r="CU19"/>
      <c r="CV19"/>
      <c r="CW19"/>
      <c r="CX19"/>
      <c r="CY19"/>
      <c r="CZ19"/>
      <c r="DA19"/>
      <c r="DB19"/>
      <c r="DC19"/>
      <c r="DD19"/>
      <c r="DE19"/>
      <c r="DF19" s="1" t="s">
        <v>653</v>
      </c>
    </row>
    <row r="20" spans="1:110" ht="12" customHeight="1" x14ac:dyDescent="0.75">
      <c r="A20" t="s">
        <v>10</v>
      </c>
      <c r="B20" t="s">
        <v>134</v>
      </c>
      <c r="C20" t="s">
        <v>53</v>
      </c>
      <c r="D20" s="4" t="s">
        <v>238</v>
      </c>
      <c r="E20" t="s">
        <v>249</v>
      </c>
      <c r="F20" s="4" t="s">
        <v>238</v>
      </c>
      <c r="G20"/>
      <c r="H20" s="3" t="s">
        <v>54</v>
      </c>
      <c r="I20"/>
      <c r="J20"/>
      <c r="K20"/>
      <c r="L20"/>
      <c r="M20"/>
      <c r="N20"/>
      <c r="O20"/>
      <c r="P20"/>
      <c r="Q20"/>
      <c r="R20"/>
      <c r="S20"/>
      <c r="T20"/>
      <c r="U20" s="2">
        <v>263</v>
      </c>
      <c r="V20" s="2">
        <v>142</v>
      </c>
      <c r="W20" t="s">
        <v>145</v>
      </c>
      <c r="X20" t="s">
        <v>51</v>
      </c>
      <c r="Y20" s="6" t="s">
        <v>145</v>
      </c>
      <c r="Z20" t="s">
        <v>172</v>
      </c>
      <c r="AA20" t="s">
        <v>172</v>
      </c>
      <c r="AB20" s="7" t="s">
        <v>265</v>
      </c>
      <c r="AC20" s="5" t="s">
        <v>51</v>
      </c>
      <c r="AD20" s="7" t="s">
        <v>265</v>
      </c>
      <c r="AE20" s="7" t="s">
        <v>172</v>
      </c>
      <c r="AF20" s="5" t="s">
        <v>301</v>
      </c>
      <c r="AG20"/>
      <c r="AH20"/>
      <c r="AI20"/>
      <c r="AJ20" t="s">
        <v>78</v>
      </c>
      <c r="AK20"/>
      <c r="AL20">
        <v>2717</v>
      </c>
      <c r="AM20" t="s">
        <v>164</v>
      </c>
      <c r="AN20"/>
      <c r="AO20" s="7" t="s">
        <v>332</v>
      </c>
      <c r="AP20" s="5"/>
      <c r="AQ20" s="5"/>
      <c r="AR20" s="5" t="s">
        <v>357</v>
      </c>
      <c r="AS20" s="7" t="s">
        <v>425</v>
      </c>
      <c r="AT20" s="5" t="s">
        <v>425</v>
      </c>
      <c r="AU20" s="5" t="s">
        <v>426</v>
      </c>
      <c r="AV20" s="5" t="s">
        <v>427</v>
      </c>
      <c r="AW20" s="11">
        <f t="shared" si="0"/>
        <v>58</v>
      </c>
      <c r="AX20" s="5" t="s">
        <v>551</v>
      </c>
      <c r="AY20" s="5" t="s">
        <v>552</v>
      </c>
      <c r="AZ20" s="5" t="s">
        <v>565</v>
      </c>
      <c r="BA20" s="5"/>
      <c r="BB20" s="5"/>
      <c r="BC20" s="5" t="s">
        <v>566</v>
      </c>
      <c r="BD20" s="5" t="s">
        <v>556</v>
      </c>
      <c r="BE20" s="5"/>
      <c r="BF20" s="5"/>
      <c r="BG20" s="5"/>
      <c r="BH20" s="5" t="s">
        <v>567</v>
      </c>
      <c r="BI20" s="5"/>
      <c r="BJ20" s="5"/>
      <c r="BK20" s="5"/>
      <c r="BL20" s="5" t="s">
        <v>489</v>
      </c>
      <c r="BM20" s="5"/>
      <c r="BN20" s="5" t="s">
        <v>491</v>
      </c>
      <c r="BO20" s="5" t="s">
        <v>518</v>
      </c>
      <c r="BP20" s="5"/>
      <c r="BQ20" s="5" t="s">
        <v>568</v>
      </c>
      <c r="BR20" s="5"/>
      <c r="BS20" s="5"/>
      <c r="BT20" s="5"/>
      <c r="BU20" s="5"/>
      <c r="BV20" s="5"/>
      <c r="BW20" s="5"/>
      <c r="BX20"/>
      <c r="BY20"/>
      <c r="BZ20"/>
      <c r="CA20"/>
      <c r="CB20"/>
      <c r="CC20"/>
      <c r="CD20"/>
      <c r="CE20"/>
      <c r="CF20"/>
      <c r="CG20"/>
      <c r="CH20"/>
      <c r="CI20"/>
      <c r="CJ20"/>
      <c r="CK20"/>
      <c r="CL20"/>
      <c r="CM20"/>
      <c r="CN20"/>
      <c r="CO20"/>
      <c r="CP20"/>
      <c r="CQ20"/>
      <c r="CR20"/>
      <c r="CS20"/>
      <c r="CT20"/>
      <c r="CU20"/>
      <c r="CV20"/>
      <c r="CW20"/>
      <c r="CX20"/>
      <c r="CY20"/>
      <c r="CZ20"/>
      <c r="DA20"/>
      <c r="DB20"/>
      <c r="DC20"/>
      <c r="DD20"/>
      <c r="DE20"/>
      <c r="DF20" s="1" t="s">
        <v>653</v>
      </c>
    </row>
    <row r="21" spans="1:110" ht="12" customHeight="1" x14ac:dyDescent="0.75">
      <c r="A21" t="s">
        <v>10</v>
      </c>
      <c r="B21" t="s">
        <v>134</v>
      </c>
      <c r="C21" t="s">
        <v>53</v>
      </c>
      <c r="D21" s="4" t="s">
        <v>238</v>
      </c>
      <c r="E21" t="s">
        <v>249</v>
      </c>
      <c r="F21" s="4" t="s">
        <v>238</v>
      </c>
      <c r="G21"/>
      <c r="H21" s="3" t="s">
        <v>54</v>
      </c>
      <c r="I21"/>
      <c r="J21"/>
      <c r="K21"/>
      <c r="L21"/>
      <c r="M21"/>
      <c r="N21"/>
      <c r="O21"/>
      <c r="P21"/>
      <c r="Q21"/>
      <c r="R21"/>
      <c r="S21"/>
      <c r="T21"/>
      <c r="U21" s="2">
        <v>264</v>
      </c>
      <c r="V21" s="2">
        <v>143</v>
      </c>
      <c r="W21" t="s">
        <v>145</v>
      </c>
      <c r="X21" t="s">
        <v>51</v>
      </c>
      <c r="Y21" s="6" t="s">
        <v>145</v>
      </c>
      <c r="Z21" t="s">
        <v>12</v>
      </c>
      <c r="AA21" t="s">
        <v>12</v>
      </c>
      <c r="AB21" s="7" t="s">
        <v>266</v>
      </c>
      <c r="AC21" s="5" t="s">
        <v>51</v>
      </c>
      <c r="AD21" s="7" t="s">
        <v>266</v>
      </c>
      <c r="AE21" s="7" t="s">
        <v>12</v>
      </c>
      <c r="AF21" s="5" t="s">
        <v>302</v>
      </c>
      <c r="AG21"/>
      <c r="AH21"/>
      <c r="AI21"/>
      <c r="AJ21" t="s">
        <v>195</v>
      </c>
      <c r="AK21"/>
      <c r="AL21">
        <v>2717</v>
      </c>
      <c r="AM21" t="s">
        <v>94</v>
      </c>
      <c r="AN21"/>
      <c r="AO21" s="7" t="s">
        <v>332</v>
      </c>
      <c r="AP21" s="5"/>
      <c r="AQ21" s="5"/>
      <c r="AR21" s="5" t="s">
        <v>358</v>
      </c>
      <c r="AS21" s="7" t="s">
        <v>428</v>
      </c>
      <c r="AT21" s="5" t="s">
        <v>428</v>
      </c>
      <c r="AU21" s="5" t="s">
        <v>429</v>
      </c>
      <c r="AV21" s="5" t="s">
        <v>430</v>
      </c>
      <c r="AW21" s="11">
        <f t="shared" si="0"/>
        <v>59</v>
      </c>
      <c r="AX21" s="5" t="s">
        <v>551</v>
      </c>
      <c r="AY21" s="5" t="s">
        <v>552</v>
      </c>
      <c r="AZ21" s="5" t="s">
        <v>569</v>
      </c>
      <c r="BA21" s="5"/>
      <c r="BB21" s="5"/>
      <c r="BC21" s="5" t="s">
        <v>570</v>
      </c>
      <c r="BD21" s="5" t="s">
        <v>556</v>
      </c>
      <c r="BE21" s="5"/>
      <c r="BF21" s="5"/>
      <c r="BG21" s="5"/>
      <c r="BH21" s="5" t="s">
        <v>571</v>
      </c>
      <c r="BI21" s="5"/>
      <c r="BJ21" s="5"/>
      <c r="BK21" s="5"/>
      <c r="BL21" s="5" t="s">
        <v>489</v>
      </c>
      <c r="BM21" s="5"/>
      <c r="BN21" s="5" t="s">
        <v>491</v>
      </c>
      <c r="BO21" s="5" t="s">
        <v>518</v>
      </c>
      <c r="BP21" s="5"/>
      <c r="BQ21" s="5" t="s">
        <v>572</v>
      </c>
      <c r="BR21" s="5"/>
      <c r="BS21" s="5"/>
      <c r="BT21" s="5"/>
      <c r="BU21" s="5"/>
      <c r="BV21" s="5"/>
      <c r="BW21" s="5"/>
      <c r="BX21"/>
      <c r="BY21"/>
      <c r="BZ21"/>
      <c r="CA21"/>
      <c r="CB21"/>
      <c r="CC21"/>
      <c r="CD21"/>
      <c r="CE21"/>
      <c r="CF21"/>
      <c r="CG21"/>
      <c r="CH21"/>
      <c r="CI21"/>
      <c r="CJ21"/>
      <c r="CK21"/>
      <c r="CL21"/>
      <c r="CM21"/>
      <c r="CN21"/>
      <c r="CO21"/>
      <c r="CP21"/>
      <c r="CQ21"/>
      <c r="CR21"/>
      <c r="CS21"/>
      <c r="CT21"/>
      <c r="CU21"/>
      <c r="CV21"/>
      <c r="CW21"/>
      <c r="CX21"/>
      <c r="CY21"/>
      <c r="CZ21"/>
      <c r="DA21"/>
      <c r="DB21"/>
      <c r="DC21"/>
      <c r="DD21"/>
      <c r="DE21"/>
      <c r="DF21" s="1" t="s">
        <v>653</v>
      </c>
    </row>
    <row r="22" spans="1:110" ht="12" customHeight="1" x14ac:dyDescent="0.75">
      <c r="A22" t="s">
        <v>10</v>
      </c>
      <c r="B22" t="s">
        <v>134</v>
      </c>
      <c r="C22" t="s">
        <v>53</v>
      </c>
      <c r="D22" s="4" t="s">
        <v>238</v>
      </c>
      <c r="E22" t="s">
        <v>249</v>
      </c>
      <c r="F22" s="4" t="s">
        <v>238</v>
      </c>
      <c r="G22"/>
      <c r="H22" s="3" t="s">
        <v>54</v>
      </c>
      <c r="I22"/>
      <c r="J22"/>
      <c r="K22"/>
      <c r="L22"/>
      <c r="M22"/>
      <c r="N22"/>
      <c r="O22"/>
      <c r="P22"/>
      <c r="Q22"/>
      <c r="R22"/>
      <c r="S22"/>
      <c r="T22"/>
      <c r="U22" s="2">
        <v>265</v>
      </c>
      <c r="V22" s="2">
        <v>144</v>
      </c>
      <c r="W22" t="s">
        <v>145</v>
      </c>
      <c r="X22" t="s">
        <v>51</v>
      </c>
      <c r="Y22" s="6" t="s">
        <v>145</v>
      </c>
      <c r="Z22" t="s">
        <v>119</v>
      </c>
      <c r="AA22" t="s">
        <v>119</v>
      </c>
      <c r="AB22" s="7" t="s">
        <v>267</v>
      </c>
      <c r="AC22" s="5" t="s">
        <v>51</v>
      </c>
      <c r="AD22" s="7" t="s">
        <v>267</v>
      </c>
      <c r="AE22" s="7" t="s">
        <v>119</v>
      </c>
      <c r="AF22" s="5" t="s">
        <v>303</v>
      </c>
      <c r="AG22"/>
      <c r="AH22"/>
      <c r="AI22"/>
      <c r="AJ22" t="s">
        <v>196</v>
      </c>
      <c r="AK22"/>
      <c r="AL22">
        <v>2717</v>
      </c>
      <c r="AM22" t="s">
        <v>17</v>
      </c>
      <c r="AN22"/>
      <c r="AO22" s="7" t="s">
        <v>332</v>
      </c>
      <c r="AP22" s="5"/>
      <c r="AQ22" s="5"/>
      <c r="AR22" s="5" t="s">
        <v>359</v>
      </c>
      <c r="AS22" s="7" t="s">
        <v>431</v>
      </c>
      <c r="AT22" s="5" t="s">
        <v>431</v>
      </c>
      <c r="AU22" s="5" t="s">
        <v>432</v>
      </c>
      <c r="AV22" s="5" t="s">
        <v>433</v>
      </c>
      <c r="AW22" s="11">
        <f t="shared" si="0"/>
        <v>60</v>
      </c>
      <c r="AX22" s="5" t="s">
        <v>551</v>
      </c>
      <c r="AY22" s="5" t="s">
        <v>552</v>
      </c>
      <c r="AZ22" s="5" t="s">
        <v>565</v>
      </c>
      <c r="BA22" s="5"/>
      <c r="BB22" s="5"/>
      <c r="BC22" s="5" t="s">
        <v>573</v>
      </c>
      <c r="BD22" s="5" t="s">
        <v>544</v>
      </c>
      <c r="BE22" s="5"/>
      <c r="BF22" s="5"/>
      <c r="BG22" s="5"/>
      <c r="BH22" s="5" t="s">
        <v>567</v>
      </c>
      <c r="BI22" s="5"/>
      <c r="BJ22" s="5"/>
      <c r="BK22" s="5"/>
      <c r="BL22" s="5" t="s">
        <v>489</v>
      </c>
      <c r="BM22" s="5"/>
      <c r="BN22" s="5" t="s">
        <v>491</v>
      </c>
      <c r="BO22" s="5" t="s">
        <v>518</v>
      </c>
      <c r="BP22" s="5"/>
      <c r="BQ22" s="5" t="s">
        <v>574</v>
      </c>
      <c r="BR22" s="5"/>
      <c r="BS22" s="5"/>
      <c r="BT22" s="5"/>
      <c r="BU22" s="5"/>
      <c r="BV22" s="5"/>
      <c r="BW22" s="5"/>
      <c r="BX22"/>
      <c r="BY22"/>
      <c r="BZ22"/>
      <c r="CA22"/>
      <c r="CB22"/>
      <c r="CC22"/>
      <c r="CD22"/>
      <c r="CE22"/>
      <c r="CF22"/>
      <c r="CG22"/>
      <c r="CH22"/>
      <c r="CI22"/>
      <c r="CJ22"/>
      <c r="CK22"/>
      <c r="CL22"/>
      <c r="CM22"/>
      <c r="CN22"/>
      <c r="CO22"/>
      <c r="CP22"/>
      <c r="CQ22"/>
      <c r="CR22"/>
      <c r="CS22"/>
      <c r="CT22"/>
      <c r="CU22"/>
      <c r="CV22"/>
      <c r="CW22"/>
      <c r="CX22"/>
      <c r="CY22"/>
      <c r="CZ22"/>
      <c r="DA22"/>
      <c r="DB22"/>
      <c r="DC22"/>
      <c r="DD22"/>
      <c r="DE22"/>
      <c r="DF22" s="1" t="s">
        <v>653</v>
      </c>
    </row>
    <row r="23" spans="1:110" ht="12" customHeight="1" x14ac:dyDescent="0.75">
      <c r="A23" t="s">
        <v>10</v>
      </c>
      <c r="B23" t="s">
        <v>134</v>
      </c>
      <c r="C23" t="s">
        <v>53</v>
      </c>
      <c r="D23" s="4" t="s">
        <v>238</v>
      </c>
      <c r="E23" t="s">
        <v>249</v>
      </c>
      <c r="F23" s="4" t="s">
        <v>238</v>
      </c>
      <c r="G23"/>
      <c r="H23" s="3" t="s">
        <v>54</v>
      </c>
      <c r="I23"/>
      <c r="J23"/>
      <c r="K23"/>
      <c r="L23"/>
      <c r="M23"/>
      <c r="N23"/>
      <c r="O23"/>
      <c r="P23"/>
      <c r="Q23"/>
      <c r="R23"/>
      <c r="S23"/>
      <c r="T23"/>
      <c r="U23" s="2">
        <v>266</v>
      </c>
      <c r="V23" s="2">
        <v>145</v>
      </c>
      <c r="W23" t="s">
        <v>145</v>
      </c>
      <c r="X23" t="s">
        <v>51</v>
      </c>
      <c r="Y23" s="6" t="s">
        <v>145</v>
      </c>
      <c r="Z23" t="s">
        <v>203</v>
      </c>
      <c r="AA23" t="s">
        <v>203</v>
      </c>
      <c r="AB23" s="7" t="s">
        <v>268</v>
      </c>
      <c r="AC23" s="5" t="s">
        <v>51</v>
      </c>
      <c r="AD23" s="7" t="s">
        <v>268</v>
      </c>
      <c r="AE23" s="7" t="s">
        <v>203</v>
      </c>
      <c r="AF23" s="5" t="s">
        <v>304</v>
      </c>
      <c r="AG23"/>
      <c r="AH23"/>
      <c r="AI23"/>
      <c r="AJ23" t="s">
        <v>156</v>
      </c>
      <c r="AK23"/>
      <c r="AL23">
        <v>2717</v>
      </c>
      <c r="AM23" t="s">
        <v>138</v>
      </c>
      <c r="AN23"/>
      <c r="AO23" s="7" t="s">
        <v>332</v>
      </c>
      <c r="AP23" s="5"/>
      <c r="AQ23" s="5"/>
      <c r="AR23" s="5" t="s">
        <v>360</v>
      </c>
      <c r="AS23" s="7" t="s">
        <v>434</v>
      </c>
      <c r="AT23" s="5" t="s">
        <v>434</v>
      </c>
      <c r="AU23" s="5" t="s">
        <v>435</v>
      </c>
      <c r="AV23" s="5" t="s">
        <v>436</v>
      </c>
      <c r="AW23" s="11">
        <f t="shared" si="0"/>
        <v>56</v>
      </c>
      <c r="AX23" s="5" t="s">
        <v>551</v>
      </c>
      <c r="AY23" s="5" t="s">
        <v>552</v>
      </c>
      <c r="AZ23" s="5" t="s">
        <v>575</v>
      </c>
      <c r="BA23" s="5"/>
      <c r="BB23" s="5"/>
      <c r="BC23" s="5" t="s">
        <v>576</v>
      </c>
      <c r="BD23" s="5" t="s">
        <v>556</v>
      </c>
      <c r="BE23" s="5"/>
      <c r="BF23" s="5"/>
      <c r="BG23" s="5"/>
      <c r="BH23" s="5" t="s">
        <v>567</v>
      </c>
      <c r="BI23" s="5"/>
      <c r="BJ23" s="5"/>
      <c r="BK23" s="5"/>
      <c r="BL23" s="5" t="s">
        <v>489</v>
      </c>
      <c r="BM23" s="5"/>
      <c r="BN23" s="5" t="s">
        <v>491</v>
      </c>
      <c r="BO23" s="5" t="s">
        <v>518</v>
      </c>
      <c r="BP23" s="5"/>
      <c r="BQ23" s="5" t="s">
        <v>577</v>
      </c>
      <c r="BR23" s="5"/>
      <c r="BS23" s="5"/>
      <c r="BT23" s="5"/>
      <c r="BU23" s="5"/>
      <c r="BV23" s="5"/>
      <c r="BW23" s="5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 s="1" t="s">
        <v>653</v>
      </c>
    </row>
    <row r="24" spans="1:110" ht="12" customHeight="1" x14ac:dyDescent="0.75">
      <c r="A24" t="s">
        <v>10</v>
      </c>
      <c r="B24" t="s">
        <v>134</v>
      </c>
      <c r="C24" t="s">
        <v>53</v>
      </c>
      <c r="D24" s="4" t="s">
        <v>238</v>
      </c>
      <c r="E24" t="s">
        <v>249</v>
      </c>
      <c r="F24" s="4" t="s">
        <v>238</v>
      </c>
      <c r="G24"/>
      <c r="H24" s="3" t="s">
        <v>54</v>
      </c>
      <c r="I24"/>
      <c r="J24"/>
      <c r="K24"/>
      <c r="L24"/>
      <c r="M24"/>
      <c r="N24"/>
      <c r="O24"/>
      <c r="P24"/>
      <c r="Q24"/>
      <c r="R24"/>
      <c r="S24"/>
      <c r="T24"/>
      <c r="U24" s="2">
        <v>267</v>
      </c>
      <c r="V24" s="2">
        <v>146</v>
      </c>
      <c r="W24" t="s">
        <v>145</v>
      </c>
      <c r="X24" t="s">
        <v>51</v>
      </c>
      <c r="Y24" s="6" t="s">
        <v>145</v>
      </c>
      <c r="Z24" t="s">
        <v>225</v>
      </c>
      <c r="AA24" t="s">
        <v>225</v>
      </c>
      <c r="AB24" s="7" t="s">
        <v>269</v>
      </c>
      <c r="AC24" s="5" t="s">
        <v>51</v>
      </c>
      <c r="AD24" s="7" t="s">
        <v>269</v>
      </c>
      <c r="AE24" s="7" t="s">
        <v>225</v>
      </c>
      <c r="AF24" s="5" t="s">
        <v>305</v>
      </c>
      <c r="AG24"/>
      <c r="AH24"/>
      <c r="AI24"/>
      <c r="AJ24" t="s">
        <v>176</v>
      </c>
      <c r="AK24"/>
      <c r="AL24">
        <v>2717</v>
      </c>
      <c r="AM24" t="s">
        <v>41</v>
      </c>
      <c r="AN24"/>
      <c r="AO24" s="7" t="s">
        <v>333</v>
      </c>
      <c r="AP24" s="5"/>
      <c r="AQ24" s="5"/>
      <c r="AR24" s="5" t="s">
        <v>361</v>
      </c>
      <c r="AS24" s="7" t="s">
        <v>437</v>
      </c>
      <c r="AT24" s="5" t="s">
        <v>437</v>
      </c>
      <c r="AU24" s="5" t="s">
        <v>438</v>
      </c>
      <c r="AV24" s="5" t="s">
        <v>438</v>
      </c>
      <c r="AW24" s="11">
        <f t="shared" si="0"/>
        <v>40</v>
      </c>
      <c r="AX24" s="5" t="s">
        <v>578</v>
      </c>
      <c r="AY24" s="5" t="s">
        <v>579</v>
      </c>
      <c r="AZ24" s="5"/>
      <c r="BA24" s="5"/>
      <c r="BB24" s="5"/>
      <c r="BC24" s="5" t="s">
        <v>580</v>
      </c>
      <c r="BD24" s="5" t="s">
        <v>544</v>
      </c>
      <c r="BE24" s="5"/>
      <c r="BF24" s="5"/>
      <c r="BG24" s="5"/>
      <c r="BH24" s="5"/>
      <c r="BI24" s="5"/>
      <c r="BJ24" s="5"/>
      <c r="BK24" s="5"/>
      <c r="BL24" s="5" t="s">
        <v>489</v>
      </c>
      <c r="BM24" s="5"/>
      <c r="BN24" s="5" t="s">
        <v>526</v>
      </c>
      <c r="BO24" s="5" t="s">
        <v>518</v>
      </c>
      <c r="BP24" s="5"/>
      <c r="BQ24" s="5" t="s">
        <v>581</v>
      </c>
      <c r="BR24" s="5"/>
      <c r="BS24" s="5"/>
      <c r="BT24" s="5"/>
      <c r="BU24" s="5"/>
      <c r="BV24" s="5"/>
      <c r="BW24" s="5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 s="1" t="s">
        <v>653</v>
      </c>
    </row>
    <row r="25" spans="1:110" ht="12" customHeight="1" x14ac:dyDescent="0.75">
      <c r="A25" t="s">
        <v>10</v>
      </c>
      <c r="B25" t="s">
        <v>134</v>
      </c>
      <c r="C25" t="s">
        <v>53</v>
      </c>
      <c r="D25" s="4" t="s">
        <v>238</v>
      </c>
      <c r="E25" t="s">
        <v>249</v>
      </c>
      <c r="F25" s="4" t="s">
        <v>238</v>
      </c>
      <c r="G25"/>
      <c r="H25" s="3" t="s">
        <v>54</v>
      </c>
      <c r="I25"/>
      <c r="J25"/>
      <c r="K25"/>
      <c r="L25"/>
      <c r="M25"/>
      <c r="N25"/>
      <c r="O25"/>
      <c r="P25"/>
      <c r="Q25"/>
      <c r="R25"/>
      <c r="S25"/>
      <c r="T25"/>
      <c r="U25" s="2">
        <v>268</v>
      </c>
      <c r="V25" s="2">
        <v>147</v>
      </c>
      <c r="W25" t="s">
        <v>145</v>
      </c>
      <c r="X25" t="s">
        <v>51</v>
      </c>
      <c r="Y25" s="6" t="s">
        <v>145</v>
      </c>
      <c r="Z25" t="s">
        <v>97</v>
      </c>
      <c r="AA25" t="s">
        <v>97</v>
      </c>
      <c r="AB25" s="7" t="s">
        <v>270</v>
      </c>
      <c r="AC25" s="5" t="s">
        <v>51</v>
      </c>
      <c r="AD25" s="7" t="s">
        <v>270</v>
      </c>
      <c r="AE25" s="7" t="s">
        <v>97</v>
      </c>
      <c r="AF25" s="5" t="s">
        <v>306</v>
      </c>
      <c r="AG25"/>
      <c r="AH25"/>
      <c r="AI25"/>
      <c r="AJ25" t="s">
        <v>45</v>
      </c>
      <c r="AK25"/>
      <c r="AL25">
        <v>2717</v>
      </c>
      <c r="AM25" t="s">
        <v>85</v>
      </c>
      <c r="AN25"/>
      <c r="AO25" s="7" t="s">
        <v>334</v>
      </c>
      <c r="AP25" s="5"/>
      <c r="AQ25" s="5"/>
      <c r="AR25" s="5" t="s">
        <v>362</v>
      </c>
      <c r="AS25" s="9" t="s">
        <v>439</v>
      </c>
      <c r="AT25" s="12" t="s">
        <v>439</v>
      </c>
      <c r="AU25" s="5" t="s">
        <v>440</v>
      </c>
      <c r="AV25" s="5" t="s">
        <v>440</v>
      </c>
      <c r="AW25" s="11">
        <f t="shared" si="0"/>
        <v>57</v>
      </c>
      <c r="AX25" s="12" t="s">
        <v>582</v>
      </c>
      <c r="AY25" s="13" t="s">
        <v>583</v>
      </c>
      <c r="AZ25" s="5"/>
      <c r="BA25" s="5" t="s">
        <v>584</v>
      </c>
      <c r="BB25" s="5"/>
      <c r="BC25" s="5" t="s">
        <v>585</v>
      </c>
      <c r="BD25" s="5"/>
      <c r="BE25" s="5"/>
      <c r="BF25" s="5"/>
      <c r="BG25" s="5"/>
      <c r="BH25" s="5" t="s">
        <v>586</v>
      </c>
      <c r="BI25" s="5"/>
      <c r="BJ25" s="5"/>
      <c r="BK25" s="5" t="s">
        <v>587</v>
      </c>
      <c r="BL25" s="5" t="s">
        <v>489</v>
      </c>
      <c r="BM25" s="5" t="s">
        <v>588</v>
      </c>
      <c r="BN25" s="5" t="s">
        <v>526</v>
      </c>
      <c r="BO25" s="5"/>
      <c r="BP25" s="5" t="s">
        <v>589</v>
      </c>
      <c r="BQ25" s="5" t="s">
        <v>590</v>
      </c>
      <c r="BR25" s="5"/>
      <c r="BS25" s="5"/>
      <c r="BT25" s="5"/>
      <c r="BU25" s="5"/>
      <c r="BV25" s="5"/>
      <c r="BW25" s="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 s="1" t="s">
        <v>653</v>
      </c>
    </row>
    <row r="26" spans="1:110" ht="12" customHeight="1" x14ac:dyDescent="0.75">
      <c r="A26" t="s">
        <v>10</v>
      </c>
      <c r="B26" t="s">
        <v>134</v>
      </c>
      <c r="C26" t="s">
        <v>53</v>
      </c>
      <c r="D26" s="4" t="s">
        <v>238</v>
      </c>
      <c r="E26" t="s">
        <v>249</v>
      </c>
      <c r="F26" s="4" t="s">
        <v>238</v>
      </c>
      <c r="G26"/>
      <c r="H26" s="3" t="s">
        <v>54</v>
      </c>
      <c r="I26"/>
      <c r="J26"/>
      <c r="K26"/>
      <c r="L26"/>
      <c r="M26"/>
      <c r="N26"/>
      <c r="O26"/>
      <c r="P26"/>
      <c r="Q26"/>
      <c r="R26"/>
      <c r="S26"/>
      <c r="T26"/>
      <c r="U26" s="2">
        <v>269</v>
      </c>
      <c r="V26" s="2">
        <v>148</v>
      </c>
      <c r="W26" t="s">
        <v>145</v>
      </c>
      <c r="X26" t="s">
        <v>51</v>
      </c>
      <c r="Y26" s="6" t="s">
        <v>145</v>
      </c>
      <c r="Z26" t="s">
        <v>220</v>
      </c>
      <c r="AA26" t="s">
        <v>220</v>
      </c>
      <c r="AB26" s="7" t="s">
        <v>271</v>
      </c>
      <c r="AC26" s="5" t="s">
        <v>51</v>
      </c>
      <c r="AD26" s="7" t="s">
        <v>271</v>
      </c>
      <c r="AE26" s="7" t="s">
        <v>220</v>
      </c>
      <c r="AF26" s="5" t="s">
        <v>307</v>
      </c>
      <c r="AG26"/>
      <c r="AH26"/>
      <c r="AI26"/>
      <c r="AJ26" t="s">
        <v>117</v>
      </c>
      <c r="AK26"/>
      <c r="AL26">
        <v>2717</v>
      </c>
      <c r="AM26" t="s">
        <v>28</v>
      </c>
      <c r="AN26"/>
      <c r="AO26" s="7" t="s">
        <v>334</v>
      </c>
      <c r="AP26" s="5"/>
      <c r="AQ26" s="5"/>
      <c r="AR26" s="5" t="s">
        <v>363</v>
      </c>
      <c r="AS26" s="9" t="s">
        <v>441</v>
      </c>
      <c r="AT26" s="12" t="s">
        <v>441</v>
      </c>
      <c r="AU26" s="5" t="s">
        <v>442</v>
      </c>
      <c r="AV26" s="5" t="s">
        <v>443</v>
      </c>
      <c r="AW26" s="11">
        <f t="shared" si="0"/>
        <v>59</v>
      </c>
      <c r="AX26" s="12" t="s">
        <v>582</v>
      </c>
      <c r="AY26" s="13" t="s">
        <v>583</v>
      </c>
      <c r="AZ26" s="5"/>
      <c r="BA26" s="5" t="s">
        <v>591</v>
      </c>
      <c r="BB26" s="5"/>
      <c r="BC26" s="5" t="s">
        <v>592</v>
      </c>
      <c r="BD26" s="5"/>
      <c r="BE26" s="5"/>
      <c r="BF26" s="5"/>
      <c r="BG26" s="5"/>
      <c r="BH26" s="5" t="s">
        <v>593</v>
      </c>
      <c r="BI26" s="5"/>
      <c r="BJ26" s="5"/>
      <c r="BK26" s="5" t="s">
        <v>594</v>
      </c>
      <c r="BL26" s="5" t="s">
        <v>489</v>
      </c>
      <c r="BM26" s="5" t="s">
        <v>588</v>
      </c>
      <c r="BN26" s="5" t="s">
        <v>526</v>
      </c>
      <c r="BO26" s="5"/>
      <c r="BP26" s="5"/>
      <c r="BQ26" s="5" t="s">
        <v>595</v>
      </c>
      <c r="BR26" s="5"/>
      <c r="BS26" s="5"/>
      <c r="BT26" s="5"/>
      <c r="BU26" s="5"/>
      <c r="BV26" s="5"/>
      <c r="BW26" s="5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 s="1" t="s">
        <v>653</v>
      </c>
    </row>
    <row r="27" spans="1:110" ht="12" customHeight="1" x14ac:dyDescent="0.75">
      <c r="A27" t="s">
        <v>10</v>
      </c>
      <c r="B27" t="s">
        <v>134</v>
      </c>
      <c r="C27" t="s">
        <v>53</v>
      </c>
      <c r="D27" s="4" t="s">
        <v>238</v>
      </c>
      <c r="E27" t="s">
        <v>249</v>
      </c>
      <c r="F27" s="4" t="s">
        <v>238</v>
      </c>
      <c r="G27"/>
      <c r="H27" s="3" t="s">
        <v>54</v>
      </c>
      <c r="I27"/>
      <c r="J27"/>
      <c r="K27"/>
      <c r="L27"/>
      <c r="M27"/>
      <c r="N27"/>
      <c r="O27"/>
      <c r="P27"/>
      <c r="Q27"/>
      <c r="R27"/>
      <c r="S27"/>
      <c r="T27"/>
      <c r="U27" s="2">
        <v>270</v>
      </c>
      <c r="V27" s="2">
        <v>149</v>
      </c>
      <c r="W27" t="s">
        <v>145</v>
      </c>
      <c r="X27" t="s">
        <v>51</v>
      </c>
      <c r="Y27" s="6" t="s">
        <v>145</v>
      </c>
      <c r="Z27" t="s">
        <v>35</v>
      </c>
      <c r="AA27" t="s">
        <v>35</v>
      </c>
      <c r="AB27" s="7" t="s">
        <v>272</v>
      </c>
      <c r="AC27" s="5" t="s">
        <v>51</v>
      </c>
      <c r="AD27" s="7" t="s">
        <v>272</v>
      </c>
      <c r="AE27" s="7" t="s">
        <v>35</v>
      </c>
      <c r="AF27" s="5" t="s">
        <v>308</v>
      </c>
      <c r="AG27"/>
      <c r="AH27"/>
      <c r="AI27"/>
      <c r="AJ27" t="s">
        <v>136</v>
      </c>
      <c r="AK27"/>
      <c r="AL27">
        <v>2717</v>
      </c>
      <c r="AM27" t="s">
        <v>218</v>
      </c>
      <c r="AN27"/>
      <c r="AO27" s="7" t="s">
        <v>335</v>
      </c>
      <c r="AP27" s="5"/>
      <c r="AQ27" s="5"/>
      <c r="AR27" s="5" t="s">
        <v>364</v>
      </c>
      <c r="AS27" s="7" t="s">
        <v>444</v>
      </c>
      <c r="AT27" s="5" t="s">
        <v>444</v>
      </c>
      <c r="AU27" s="5" t="s">
        <v>445</v>
      </c>
      <c r="AV27" s="5" t="s">
        <v>446</v>
      </c>
      <c r="AW27" s="11">
        <f t="shared" si="0"/>
        <v>59</v>
      </c>
      <c r="AX27" s="5" t="s">
        <v>596</v>
      </c>
      <c r="AY27" s="5"/>
      <c r="AZ27" s="5"/>
      <c r="BA27" s="5"/>
      <c r="BB27" s="5"/>
      <c r="BC27" s="5" t="s">
        <v>597</v>
      </c>
      <c r="BD27" s="5"/>
      <c r="BE27" s="5"/>
      <c r="BF27" s="5"/>
      <c r="BG27" s="5"/>
      <c r="BH27" s="5" t="s">
        <v>598</v>
      </c>
      <c r="BI27" s="5"/>
      <c r="BJ27" s="5"/>
      <c r="BK27" s="5"/>
      <c r="BL27" s="5" t="s">
        <v>489</v>
      </c>
      <c r="BM27" s="5" t="s">
        <v>599</v>
      </c>
      <c r="BN27" s="5" t="s">
        <v>526</v>
      </c>
      <c r="BO27" s="5" t="s">
        <v>518</v>
      </c>
      <c r="BP27" s="5"/>
      <c r="BQ27" s="5" t="s">
        <v>600</v>
      </c>
      <c r="BR27" s="5"/>
      <c r="BS27" s="5"/>
      <c r="BT27" s="5"/>
      <c r="BU27" s="5"/>
      <c r="BV27" s="5"/>
      <c r="BW27" s="5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 s="1" t="s">
        <v>653</v>
      </c>
    </row>
    <row r="28" spans="1:110" ht="12" customHeight="1" x14ac:dyDescent="0.75">
      <c r="A28" t="s">
        <v>10</v>
      </c>
      <c r="B28" t="s">
        <v>134</v>
      </c>
      <c r="C28" t="s">
        <v>53</v>
      </c>
      <c r="D28" s="4" t="s">
        <v>238</v>
      </c>
      <c r="E28" t="s">
        <v>249</v>
      </c>
      <c r="F28" s="4" t="s">
        <v>238</v>
      </c>
      <c r="G28"/>
      <c r="H28" s="3" t="s">
        <v>54</v>
      </c>
      <c r="I28"/>
      <c r="J28"/>
      <c r="K28"/>
      <c r="L28"/>
      <c r="M28"/>
      <c r="N28"/>
      <c r="O28"/>
      <c r="P28"/>
      <c r="Q28"/>
      <c r="R28"/>
      <c r="S28"/>
      <c r="T28"/>
      <c r="U28" s="2">
        <v>271</v>
      </c>
      <c r="V28" s="2">
        <v>150</v>
      </c>
      <c r="W28" t="s">
        <v>145</v>
      </c>
      <c r="X28" t="s">
        <v>51</v>
      </c>
      <c r="Y28" s="6" t="s">
        <v>145</v>
      </c>
      <c r="Z28" t="s">
        <v>192</v>
      </c>
      <c r="AA28" t="s">
        <v>192</v>
      </c>
      <c r="AB28" s="7" t="s">
        <v>273</v>
      </c>
      <c r="AC28" s="5" t="s">
        <v>51</v>
      </c>
      <c r="AD28" s="7" t="s">
        <v>273</v>
      </c>
      <c r="AE28" s="7" t="s">
        <v>192</v>
      </c>
      <c r="AF28" s="5" t="s">
        <v>309</v>
      </c>
      <c r="AG28"/>
      <c r="AH28"/>
      <c r="AI28"/>
      <c r="AJ28" t="s">
        <v>186</v>
      </c>
      <c r="AK28"/>
      <c r="AL28">
        <v>2717</v>
      </c>
      <c r="AM28" t="s">
        <v>74</v>
      </c>
      <c r="AN28"/>
      <c r="AO28" s="7" t="s">
        <v>336</v>
      </c>
      <c r="AP28" s="5"/>
      <c r="AQ28" s="5"/>
      <c r="AR28" s="5" t="s">
        <v>365</v>
      </c>
      <c r="AS28" s="7" t="s">
        <v>447</v>
      </c>
      <c r="AT28" s="5" t="s">
        <v>447</v>
      </c>
      <c r="AU28" s="5" t="s">
        <v>448</v>
      </c>
      <c r="AV28" s="5" t="s">
        <v>448</v>
      </c>
      <c r="AW28" s="11">
        <f t="shared" si="0"/>
        <v>36</v>
      </c>
      <c r="AX28" s="5" t="s">
        <v>601</v>
      </c>
      <c r="AY28" s="5" t="s">
        <v>496</v>
      </c>
      <c r="AZ28" s="5" t="s">
        <v>602</v>
      </c>
      <c r="BA28" s="5"/>
      <c r="BB28" s="5"/>
      <c r="BC28" s="5"/>
      <c r="BD28" s="5"/>
      <c r="BE28" s="5"/>
      <c r="BF28" s="5"/>
      <c r="BG28" s="5"/>
      <c r="BH28" s="5" t="s">
        <v>603</v>
      </c>
      <c r="BI28" s="5"/>
      <c r="BJ28" s="5"/>
      <c r="BK28" s="5"/>
      <c r="BL28" s="5"/>
      <c r="BM28" s="5"/>
      <c r="BN28" s="5"/>
      <c r="BO28" s="5" t="s">
        <v>518</v>
      </c>
      <c r="BP28" s="5"/>
      <c r="BQ28" s="5" t="s">
        <v>604</v>
      </c>
      <c r="BR28" s="5"/>
      <c r="BS28" s="5"/>
      <c r="BT28" s="5"/>
      <c r="BU28" s="5"/>
      <c r="BV28" s="5"/>
      <c r="BW28" s="5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 s="1" t="s">
        <v>653</v>
      </c>
    </row>
    <row r="29" spans="1:110" ht="12" customHeight="1" x14ac:dyDescent="0.75">
      <c r="A29" t="s">
        <v>10</v>
      </c>
      <c r="B29" t="s">
        <v>134</v>
      </c>
      <c r="C29" t="s">
        <v>53</v>
      </c>
      <c r="D29" s="4" t="s">
        <v>238</v>
      </c>
      <c r="E29" t="s">
        <v>249</v>
      </c>
      <c r="F29" s="4" t="s">
        <v>238</v>
      </c>
      <c r="G29"/>
      <c r="H29" s="3" t="s">
        <v>54</v>
      </c>
      <c r="I29"/>
      <c r="J29"/>
      <c r="K29"/>
      <c r="L29"/>
      <c r="M29"/>
      <c r="N29"/>
      <c r="O29"/>
      <c r="P29"/>
      <c r="Q29"/>
      <c r="R29"/>
      <c r="S29"/>
      <c r="T29"/>
      <c r="U29" s="2">
        <v>272</v>
      </c>
      <c r="V29" s="2">
        <v>151</v>
      </c>
      <c r="W29" t="s">
        <v>145</v>
      </c>
      <c r="X29" t="s">
        <v>51</v>
      </c>
      <c r="Y29" s="6" t="s">
        <v>145</v>
      </c>
      <c r="Z29" t="s">
        <v>128</v>
      </c>
      <c r="AA29" t="s">
        <v>128</v>
      </c>
      <c r="AB29" s="7" t="s">
        <v>274</v>
      </c>
      <c r="AC29" s="5" t="s">
        <v>51</v>
      </c>
      <c r="AD29" s="7" t="s">
        <v>274</v>
      </c>
      <c r="AE29" s="7" t="s">
        <v>128</v>
      </c>
      <c r="AF29" s="5" t="s">
        <v>310</v>
      </c>
      <c r="AG29"/>
      <c r="AH29"/>
      <c r="AI29"/>
      <c r="AJ29" t="s">
        <v>168</v>
      </c>
      <c r="AK29"/>
      <c r="AL29">
        <v>2717</v>
      </c>
      <c r="AM29" t="s">
        <v>48</v>
      </c>
      <c r="AN29"/>
      <c r="AO29" s="7" t="s">
        <v>337</v>
      </c>
      <c r="AP29" s="10" t="s">
        <v>343</v>
      </c>
      <c r="AQ29" s="10" t="s">
        <v>344</v>
      </c>
      <c r="AR29" s="5" t="s">
        <v>366</v>
      </c>
      <c r="AS29" s="7" t="s">
        <v>449</v>
      </c>
      <c r="AT29" s="5" t="s">
        <v>449</v>
      </c>
      <c r="AU29" s="5" t="s">
        <v>450</v>
      </c>
      <c r="AV29" s="5" t="s">
        <v>451</v>
      </c>
      <c r="AW29" s="11">
        <f t="shared" si="0"/>
        <v>57</v>
      </c>
      <c r="AX29" s="5" t="s">
        <v>605</v>
      </c>
      <c r="AY29" s="5" t="s">
        <v>606</v>
      </c>
      <c r="AZ29" s="5" t="s">
        <v>607</v>
      </c>
      <c r="BA29" s="5"/>
      <c r="BB29" s="5"/>
      <c r="BC29" s="5" t="s">
        <v>608</v>
      </c>
      <c r="BD29" s="5" t="s">
        <v>556</v>
      </c>
      <c r="BE29" s="5"/>
      <c r="BF29" s="5"/>
      <c r="BG29" s="5"/>
      <c r="BH29" s="5" t="s">
        <v>609</v>
      </c>
      <c r="BI29" s="5"/>
      <c r="BJ29" s="5"/>
      <c r="BK29" s="5"/>
      <c r="BL29" s="12" t="s">
        <v>489</v>
      </c>
      <c r="BM29" s="5"/>
      <c r="BN29" s="5" t="s">
        <v>526</v>
      </c>
      <c r="BO29" s="5" t="s">
        <v>518</v>
      </c>
      <c r="BP29" s="5"/>
      <c r="BQ29" s="5" t="s">
        <v>610</v>
      </c>
      <c r="BR29" s="5"/>
      <c r="BS29" s="5"/>
      <c r="BT29" s="5"/>
      <c r="BU29" s="5"/>
      <c r="BV29" s="5"/>
      <c r="BW29" s="5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 s="1" t="s">
        <v>653</v>
      </c>
    </row>
    <row r="30" spans="1:110" ht="12" customHeight="1" x14ac:dyDescent="0.75">
      <c r="A30" t="s">
        <v>10</v>
      </c>
      <c r="B30" t="s">
        <v>134</v>
      </c>
      <c r="C30" t="s">
        <v>53</v>
      </c>
      <c r="D30" s="4" t="s">
        <v>238</v>
      </c>
      <c r="E30" t="s">
        <v>249</v>
      </c>
      <c r="F30" s="4" t="s">
        <v>238</v>
      </c>
      <c r="G30"/>
      <c r="H30" s="3" t="s">
        <v>54</v>
      </c>
      <c r="I30"/>
      <c r="J30"/>
      <c r="K30"/>
      <c r="L30"/>
      <c r="M30"/>
      <c r="N30"/>
      <c r="O30"/>
      <c r="P30"/>
      <c r="Q30"/>
      <c r="R30"/>
      <c r="S30"/>
      <c r="T30"/>
      <c r="U30" s="2">
        <v>273</v>
      </c>
      <c r="V30" s="2">
        <v>152</v>
      </c>
      <c r="W30" t="s">
        <v>145</v>
      </c>
      <c r="X30" t="s">
        <v>51</v>
      </c>
      <c r="Y30" s="6" t="s">
        <v>145</v>
      </c>
      <c r="Z30" t="s">
        <v>122</v>
      </c>
      <c r="AA30" t="s">
        <v>122</v>
      </c>
      <c r="AB30" s="7" t="s">
        <v>275</v>
      </c>
      <c r="AC30" s="5" t="s">
        <v>51</v>
      </c>
      <c r="AD30" s="7" t="s">
        <v>275</v>
      </c>
      <c r="AE30" s="7" t="s">
        <v>275</v>
      </c>
      <c r="AF30" s="5" t="s">
        <v>311</v>
      </c>
      <c r="AG30"/>
      <c r="AH30"/>
      <c r="AI30"/>
      <c r="AJ30" t="s">
        <v>211</v>
      </c>
      <c r="AK30"/>
      <c r="AL30">
        <v>2717</v>
      </c>
      <c r="AM30" t="s">
        <v>93</v>
      </c>
      <c r="AN30"/>
      <c r="AO30" s="9" t="s">
        <v>338</v>
      </c>
      <c r="AP30" s="5"/>
      <c r="AQ30" s="5"/>
      <c r="AR30" s="5" t="s">
        <v>367</v>
      </c>
      <c r="AS30" s="9" t="s">
        <v>452</v>
      </c>
      <c r="AT30" s="12" t="s">
        <v>452</v>
      </c>
      <c r="AU30" s="5" t="s">
        <v>453</v>
      </c>
      <c r="AV30" s="5" t="s">
        <v>454</v>
      </c>
      <c r="AW30" s="11">
        <f t="shared" si="0"/>
        <v>59</v>
      </c>
      <c r="AX30" s="12" t="s">
        <v>611</v>
      </c>
      <c r="AY30" s="12" t="s">
        <v>612</v>
      </c>
      <c r="AZ30" s="12" t="s">
        <v>613</v>
      </c>
      <c r="BA30" s="12" t="s">
        <v>614</v>
      </c>
      <c r="BB30" s="12"/>
      <c r="BC30" s="12" t="s">
        <v>615</v>
      </c>
      <c r="BD30" s="12"/>
      <c r="BE30" s="12"/>
      <c r="BF30" s="12"/>
      <c r="BG30" s="12" t="s">
        <v>616</v>
      </c>
      <c r="BH30" s="12" t="s">
        <v>617</v>
      </c>
      <c r="BI30" s="12"/>
      <c r="BJ30" s="12"/>
      <c r="BK30" s="12"/>
      <c r="BL30" s="12" t="s">
        <v>489</v>
      </c>
      <c r="BM30" s="12"/>
      <c r="BN30" s="12"/>
      <c r="BO30" s="12" t="s">
        <v>518</v>
      </c>
      <c r="BP30" s="5"/>
      <c r="BQ30" s="5" t="s">
        <v>618</v>
      </c>
      <c r="BR30" s="5"/>
      <c r="BS30" s="5"/>
      <c r="BT30" s="5"/>
      <c r="BU30" s="5"/>
      <c r="BV30" s="5"/>
      <c r="BW30" s="5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 s="1" t="s">
        <v>653</v>
      </c>
    </row>
    <row r="31" spans="1:110" ht="12" customHeight="1" x14ac:dyDescent="0.75">
      <c r="A31" t="s">
        <v>10</v>
      </c>
      <c r="B31" t="s">
        <v>134</v>
      </c>
      <c r="C31" t="s">
        <v>53</v>
      </c>
      <c r="D31" s="4" t="s">
        <v>238</v>
      </c>
      <c r="E31" t="s">
        <v>249</v>
      </c>
      <c r="F31" s="4" t="s">
        <v>238</v>
      </c>
      <c r="G31"/>
      <c r="H31" s="3" t="s">
        <v>54</v>
      </c>
      <c r="I31"/>
      <c r="J31"/>
      <c r="K31"/>
      <c r="L31"/>
      <c r="M31"/>
      <c r="N31"/>
      <c r="O31"/>
      <c r="P31"/>
      <c r="Q31"/>
      <c r="R31"/>
      <c r="S31"/>
      <c r="T31"/>
      <c r="U31" s="2">
        <v>274</v>
      </c>
      <c r="V31" s="2">
        <v>153</v>
      </c>
      <c r="W31" t="s">
        <v>145</v>
      </c>
      <c r="X31" t="s">
        <v>51</v>
      </c>
      <c r="Y31" s="6" t="s">
        <v>145</v>
      </c>
      <c r="Z31" t="s">
        <v>181</v>
      </c>
      <c r="AA31" t="s">
        <v>181</v>
      </c>
      <c r="AB31" s="7" t="s">
        <v>276</v>
      </c>
      <c r="AC31" s="5" t="s">
        <v>51</v>
      </c>
      <c r="AD31" s="7" t="s">
        <v>276</v>
      </c>
      <c r="AE31" s="7" t="s">
        <v>276</v>
      </c>
      <c r="AF31" s="5" t="s">
        <v>312</v>
      </c>
      <c r="AG31"/>
      <c r="AH31"/>
      <c r="AI31"/>
      <c r="AJ31" t="s">
        <v>31</v>
      </c>
      <c r="AK31"/>
      <c r="AL31">
        <v>2717</v>
      </c>
      <c r="AM31" t="s">
        <v>150</v>
      </c>
      <c r="AN31"/>
      <c r="AO31" s="9" t="s">
        <v>338</v>
      </c>
      <c r="AP31" s="5"/>
      <c r="AQ31" s="5"/>
      <c r="AR31" s="5" t="s">
        <v>368</v>
      </c>
      <c r="AS31" s="9" t="s">
        <v>455</v>
      </c>
      <c r="AT31" s="12" t="s">
        <v>455</v>
      </c>
      <c r="AU31" s="5" t="s">
        <v>456</v>
      </c>
      <c r="AV31" s="5" t="s">
        <v>457</v>
      </c>
      <c r="AW31" s="11">
        <f t="shared" si="0"/>
        <v>55</v>
      </c>
      <c r="AX31" s="12" t="s">
        <v>611</v>
      </c>
      <c r="AY31" s="12" t="s">
        <v>612</v>
      </c>
      <c r="AZ31" s="12" t="s">
        <v>613</v>
      </c>
      <c r="BA31" s="12" t="s">
        <v>619</v>
      </c>
      <c r="BB31" s="12"/>
      <c r="BC31" s="12" t="s">
        <v>620</v>
      </c>
      <c r="BD31" s="12"/>
      <c r="BE31" s="12"/>
      <c r="BF31" s="12"/>
      <c r="BG31" s="12" t="s">
        <v>616</v>
      </c>
      <c r="BH31" s="12" t="s">
        <v>617</v>
      </c>
      <c r="BI31" s="12"/>
      <c r="BJ31" s="12"/>
      <c r="BK31" s="12"/>
      <c r="BL31" s="12" t="s">
        <v>489</v>
      </c>
      <c r="BM31" s="12"/>
      <c r="BN31" s="12"/>
      <c r="BO31" s="12" t="s">
        <v>518</v>
      </c>
      <c r="BP31" s="5"/>
      <c r="BQ31" s="5" t="s">
        <v>618</v>
      </c>
      <c r="BR31" s="5"/>
      <c r="BS31" s="5"/>
      <c r="BT31" s="5"/>
      <c r="BU31" s="5"/>
      <c r="BV31" s="5"/>
      <c r="BW31" s="5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 s="1" t="s">
        <v>653</v>
      </c>
    </row>
    <row r="32" spans="1:110" ht="12" customHeight="1" x14ac:dyDescent="0.75">
      <c r="A32" t="s">
        <v>10</v>
      </c>
      <c r="B32" t="s">
        <v>134</v>
      </c>
      <c r="C32" t="s">
        <v>53</v>
      </c>
      <c r="D32" s="4" t="s">
        <v>238</v>
      </c>
      <c r="E32" t="s">
        <v>249</v>
      </c>
      <c r="F32" s="4" t="s">
        <v>238</v>
      </c>
      <c r="G32"/>
      <c r="H32" s="3" t="s">
        <v>54</v>
      </c>
      <c r="I32"/>
      <c r="J32"/>
      <c r="K32"/>
      <c r="L32"/>
      <c r="M32"/>
      <c r="N32"/>
      <c r="O32"/>
      <c r="P32"/>
      <c r="Q32"/>
      <c r="R32"/>
      <c r="S32"/>
      <c r="T32"/>
      <c r="U32" s="2">
        <v>275</v>
      </c>
      <c r="V32" s="2">
        <v>154</v>
      </c>
      <c r="W32" t="s">
        <v>145</v>
      </c>
      <c r="X32" t="s">
        <v>51</v>
      </c>
      <c r="Y32" s="6" t="s">
        <v>145</v>
      </c>
      <c r="Z32" t="s">
        <v>56</v>
      </c>
      <c r="AA32" t="s">
        <v>56</v>
      </c>
      <c r="AB32" s="7" t="s">
        <v>277</v>
      </c>
      <c r="AC32" s="5" t="s">
        <v>51</v>
      </c>
      <c r="AD32" s="7" t="s">
        <v>277</v>
      </c>
      <c r="AE32" s="7" t="s">
        <v>277</v>
      </c>
      <c r="AF32" s="5" t="s">
        <v>313</v>
      </c>
      <c r="AG32"/>
      <c r="AH32"/>
      <c r="AI32"/>
      <c r="AJ32" t="s">
        <v>130</v>
      </c>
      <c r="AK32"/>
      <c r="AL32">
        <v>2717</v>
      </c>
      <c r="AM32" t="s">
        <v>13</v>
      </c>
      <c r="AN32"/>
      <c r="AO32" s="9" t="s">
        <v>338</v>
      </c>
      <c r="AP32" s="5"/>
      <c r="AQ32" s="5"/>
      <c r="AR32" s="5" t="s">
        <v>369</v>
      </c>
      <c r="AS32" s="9" t="s">
        <v>458</v>
      </c>
      <c r="AT32" s="12" t="s">
        <v>458</v>
      </c>
      <c r="AU32" s="5" t="s">
        <v>459</v>
      </c>
      <c r="AV32" s="5" t="s">
        <v>459</v>
      </c>
      <c r="AW32" s="11">
        <f t="shared" si="0"/>
        <v>56</v>
      </c>
      <c r="AX32" s="12" t="s">
        <v>611</v>
      </c>
      <c r="AY32" s="12" t="s">
        <v>612</v>
      </c>
      <c r="AZ32" s="12" t="s">
        <v>613</v>
      </c>
      <c r="BA32" s="5" t="s">
        <v>621</v>
      </c>
      <c r="BB32" s="5"/>
      <c r="BC32" s="5" t="s">
        <v>622</v>
      </c>
      <c r="BD32" s="5"/>
      <c r="BE32" s="5"/>
      <c r="BF32" s="5"/>
      <c r="BG32" s="12" t="s">
        <v>616</v>
      </c>
      <c r="BH32" s="5"/>
      <c r="BI32" s="5"/>
      <c r="BJ32" s="5"/>
      <c r="BK32" s="5"/>
      <c r="BL32" s="12" t="s">
        <v>489</v>
      </c>
      <c r="BM32" s="5"/>
      <c r="BN32" s="5"/>
      <c r="BO32" s="12" t="s">
        <v>518</v>
      </c>
      <c r="BP32" s="5"/>
      <c r="BQ32" s="5" t="s">
        <v>618</v>
      </c>
      <c r="BR32" s="5"/>
      <c r="BS32" s="5"/>
      <c r="BT32" s="5"/>
      <c r="BU32" s="5"/>
      <c r="BV32" s="5"/>
      <c r="BW32" s="5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 s="1" t="s">
        <v>653</v>
      </c>
    </row>
    <row r="33" spans="1:110" ht="12" customHeight="1" x14ac:dyDescent="0.75">
      <c r="A33" t="s">
        <v>10</v>
      </c>
      <c r="B33" t="s">
        <v>134</v>
      </c>
      <c r="C33" t="s">
        <v>53</v>
      </c>
      <c r="D33" s="4" t="s">
        <v>238</v>
      </c>
      <c r="E33" t="s">
        <v>249</v>
      </c>
      <c r="F33" s="4" t="s">
        <v>238</v>
      </c>
      <c r="G33"/>
      <c r="H33" s="3" t="s">
        <v>54</v>
      </c>
      <c r="I33"/>
      <c r="J33"/>
      <c r="K33"/>
      <c r="L33"/>
      <c r="M33"/>
      <c r="N33"/>
      <c r="O33"/>
      <c r="P33"/>
      <c r="Q33"/>
      <c r="R33"/>
      <c r="S33"/>
      <c r="T33"/>
      <c r="U33" s="2">
        <v>277</v>
      </c>
      <c r="V33" s="2">
        <v>156</v>
      </c>
      <c r="W33" t="s">
        <v>145</v>
      </c>
      <c r="X33" t="s">
        <v>51</v>
      </c>
      <c r="Y33" s="6" t="s">
        <v>145</v>
      </c>
      <c r="Z33" t="s">
        <v>185</v>
      </c>
      <c r="AA33" t="s">
        <v>185</v>
      </c>
      <c r="AB33" s="7" t="s">
        <v>278</v>
      </c>
      <c r="AC33" s="5" t="s">
        <v>51</v>
      </c>
      <c r="AD33" s="7" t="s">
        <v>278</v>
      </c>
      <c r="AE33" s="7" t="s">
        <v>185</v>
      </c>
      <c r="AF33" s="5" t="s">
        <v>314</v>
      </c>
      <c r="AG33"/>
      <c r="AH33"/>
      <c r="AI33"/>
      <c r="AJ33" t="s">
        <v>38</v>
      </c>
      <c r="AK33"/>
      <c r="AL33">
        <v>2717</v>
      </c>
      <c r="AM33" t="s">
        <v>37</v>
      </c>
      <c r="AN33"/>
      <c r="AO33" s="7" t="s">
        <v>339</v>
      </c>
      <c r="AP33" s="5"/>
      <c r="AQ33" s="5"/>
      <c r="AR33" s="5" t="s">
        <v>370</v>
      </c>
      <c r="AS33" s="7" t="s">
        <v>460</v>
      </c>
      <c r="AT33" s="5" t="s">
        <v>460</v>
      </c>
      <c r="AU33" s="5" t="s">
        <v>461</v>
      </c>
      <c r="AV33" s="5" t="s">
        <v>462</v>
      </c>
      <c r="AW33" s="11">
        <f t="shared" si="0"/>
        <v>58</v>
      </c>
      <c r="AX33" s="5" t="s">
        <v>623</v>
      </c>
      <c r="AY33" s="5"/>
      <c r="AZ33" s="5" t="s">
        <v>624</v>
      </c>
      <c r="BA33" s="5"/>
      <c r="BB33" s="5"/>
      <c r="BC33" s="5"/>
      <c r="BD33" s="5"/>
      <c r="BE33" s="5"/>
      <c r="BF33" s="5"/>
      <c r="BG33" s="5" t="s">
        <v>625</v>
      </c>
      <c r="BH33" s="5" t="s">
        <v>626</v>
      </c>
      <c r="BI33" s="5"/>
      <c r="BJ33" s="5"/>
      <c r="BK33" s="5"/>
      <c r="BL33" s="12" t="s">
        <v>489</v>
      </c>
      <c r="BM33" s="5"/>
      <c r="BN33" s="5" t="s">
        <v>491</v>
      </c>
      <c r="BO33" s="12" t="s">
        <v>518</v>
      </c>
      <c r="BP33" s="5" t="s">
        <v>521</v>
      </c>
      <c r="BQ33" s="5" t="s">
        <v>627</v>
      </c>
      <c r="BR33" s="5"/>
      <c r="BS33" s="5"/>
      <c r="BT33" s="5"/>
      <c r="BU33" s="5"/>
      <c r="BV33" s="5"/>
      <c r="BW33" s="5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 s="1" t="s">
        <v>653</v>
      </c>
    </row>
    <row r="34" spans="1:110" ht="12" customHeight="1" x14ac:dyDescent="0.75">
      <c r="A34" t="s">
        <v>10</v>
      </c>
      <c r="B34" t="s">
        <v>134</v>
      </c>
      <c r="C34" t="s">
        <v>53</v>
      </c>
      <c r="D34" s="4" t="s">
        <v>238</v>
      </c>
      <c r="E34" t="s">
        <v>249</v>
      </c>
      <c r="F34" s="4" t="s">
        <v>238</v>
      </c>
      <c r="G34"/>
      <c r="H34" s="3" t="s">
        <v>54</v>
      </c>
      <c r="I34"/>
      <c r="J34"/>
      <c r="K34"/>
      <c r="L34"/>
      <c r="M34"/>
      <c r="N34"/>
      <c r="O34"/>
      <c r="P34"/>
      <c r="Q34"/>
      <c r="R34"/>
      <c r="S34"/>
      <c r="T34"/>
      <c r="U34" s="2">
        <v>296</v>
      </c>
      <c r="V34" s="2">
        <v>175</v>
      </c>
      <c r="W34" t="s">
        <v>113</v>
      </c>
      <c r="X34" t="s">
        <v>113</v>
      </c>
      <c r="Y34" s="4" t="s">
        <v>250</v>
      </c>
      <c r="Z34" t="s">
        <v>212</v>
      </c>
      <c r="AA34" t="s">
        <v>212</v>
      </c>
      <c r="AB34" s="7" t="s">
        <v>212</v>
      </c>
      <c r="AC34" s="5" t="s">
        <v>286</v>
      </c>
      <c r="AD34" s="7" t="s">
        <v>212</v>
      </c>
      <c r="AE34" s="7" t="s">
        <v>212</v>
      </c>
      <c r="AF34" s="5" t="s">
        <v>287</v>
      </c>
      <c r="AG34"/>
      <c r="AH34"/>
      <c r="AI34"/>
      <c r="AJ34" t="s">
        <v>161</v>
      </c>
      <c r="AK34"/>
      <c r="AL34">
        <v>3223</v>
      </c>
      <c r="AM34" t="s">
        <v>231</v>
      </c>
      <c r="AN34"/>
      <c r="AO34" s="9" t="s">
        <v>326</v>
      </c>
      <c r="AP34" s="5"/>
      <c r="AQ34" s="5"/>
      <c r="AR34" s="5" t="s">
        <v>161</v>
      </c>
      <c r="AS34" s="7" t="s">
        <v>390</v>
      </c>
      <c r="AT34" s="5" t="s">
        <v>390</v>
      </c>
      <c r="AU34" s="5" t="s">
        <v>391</v>
      </c>
      <c r="AV34" s="5" t="s">
        <v>391</v>
      </c>
      <c r="AW34" s="11">
        <f t="shared" si="0"/>
        <v>35</v>
      </c>
      <c r="AX34" s="5" t="s">
        <v>503</v>
      </c>
      <c r="AY34" s="5" t="s">
        <v>504</v>
      </c>
      <c r="AZ34" s="5" t="s">
        <v>505</v>
      </c>
      <c r="BA34" s="5"/>
      <c r="BB34" s="5"/>
      <c r="BC34" s="5" t="s">
        <v>506</v>
      </c>
      <c r="BD34" s="5"/>
      <c r="BE34" s="5"/>
      <c r="BF34" s="5"/>
      <c r="BG34" s="5"/>
      <c r="BH34" s="5" t="s">
        <v>507</v>
      </c>
      <c r="BI34" s="5"/>
      <c r="BJ34" s="5"/>
      <c r="BK34" s="5" t="s">
        <v>508</v>
      </c>
      <c r="BL34" s="5"/>
      <c r="BM34" s="5"/>
      <c r="BN34" s="5"/>
      <c r="BO34" s="5"/>
      <c r="BP34" s="5" t="s">
        <v>509</v>
      </c>
      <c r="BQ34" s="5" t="s">
        <v>484</v>
      </c>
      <c r="BR34" s="5"/>
      <c r="BS34" s="5" t="s">
        <v>157</v>
      </c>
      <c r="BT34" s="5"/>
      <c r="BU34" s="5"/>
      <c r="BV34" s="5"/>
      <c r="BW34" s="5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 s="1" t="s">
        <v>653</v>
      </c>
    </row>
    <row r="35" spans="1:110" ht="12" customHeight="1" x14ac:dyDescent="0.75">
      <c r="A35" t="s">
        <v>10</v>
      </c>
      <c r="B35" t="s">
        <v>134</v>
      </c>
      <c r="C35" t="s">
        <v>53</v>
      </c>
      <c r="D35" s="4" t="s">
        <v>238</v>
      </c>
      <c r="E35" t="s">
        <v>249</v>
      </c>
      <c r="F35" s="4" t="s">
        <v>238</v>
      </c>
      <c r="G35"/>
      <c r="H35" s="3" t="s">
        <v>54</v>
      </c>
      <c r="I35"/>
      <c r="J35"/>
      <c r="K35"/>
      <c r="L35"/>
      <c r="M35"/>
      <c r="N35"/>
      <c r="O35"/>
      <c r="P35"/>
      <c r="Q35"/>
      <c r="R35"/>
      <c r="S35"/>
      <c r="T35"/>
      <c r="U35" s="2">
        <v>297</v>
      </c>
      <c r="V35" s="2">
        <v>176</v>
      </c>
      <c r="W35" t="s">
        <v>66</v>
      </c>
      <c r="X35" t="s">
        <v>223</v>
      </c>
      <c r="Y35" s="6" t="s">
        <v>251</v>
      </c>
      <c r="Z35" t="s">
        <v>219</v>
      </c>
      <c r="AA35">
        <v>106400</v>
      </c>
      <c r="AB35" s="7">
        <v>106400</v>
      </c>
      <c r="AC35" s="5" t="s">
        <v>223</v>
      </c>
      <c r="AD35" s="7">
        <v>106400</v>
      </c>
      <c r="AE35" s="7">
        <v>106400</v>
      </c>
      <c r="AF35" s="5" t="s">
        <v>315</v>
      </c>
      <c r="AG35"/>
      <c r="AH35"/>
      <c r="AI35"/>
      <c r="AJ35" t="s">
        <v>183</v>
      </c>
      <c r="AK35"/>
      <c r="AL35">
        <v>3925</v>
      </c>
      <c r="AM35" t="s">
        <v>241</v>
      </c>
      <c r="AN35"/>
      <c r="AO35" s="7" t="s">
        <v>340</v>
      </c>
      <c r="AP35" s="5"/>
      <c r="AQ35" s="5"/>
      <c r="AR35" s="5" t="s">
        <v>371</v>
      </c>
      <c r="AS35" s="7" t="s">
        <v>463</v>
      </c>
      <c r="AT35" s="5" t="s">
        <v>463</v>
      </c>
      <c r="AU35" s="5" t="s">
        <v>464</v>
      </c>
      <c r="AV35" s="5" t="s">
        <v>464</v>
      </c>
      <c r="AW35" s="11">
        <f t="shared" si="0"/>
        <v>29</v>
      </c>
      <c r="AX35" s="5" t="s">
        <v>494</v>
      </c>
      <c r="AY35" s="5" t="s">
        <v>628</v>
      </c>
      <c r="AZ35" s="5"/>
      <c r="BA35" s="5"/>
      <c r="BB35" s="5"/>
      <c r="BC35" s="5"/>
      <c r="BD35" s="5"/>
      <c r="BE35" s="5"/>
      <c r="BF35" s="5"/>
      <c r="BG35" s="5"/>
      <c r="BH35" s="5" t="s">
        <v>629</v>
      </c>
      <c r="BI35" s="5"/>
      <c r="BJ35" s="5"/>
      <c r="BK35" s="5"/>
      <c r="BL35" s="5" t="s">
        <v>500</v>
      </c>
      <c r="BM35" s="5"/>
      <c r="BN35" s="5" t="s">
        <v>491</v>
      </c>
      <c r="BO35" s="5"/>
      <c r="BP35" s="5"/>
      <c r="BQ35" s="5" t="s">
        <v>630</v>
      </c>
      <c r="BR35" s="5"/>
      <c r="BS35" s="5"/>
      <c r="BT35" s="5"/>
      <c r="BU35" s="5"/>
      <c r="BV35" s="5"/>
      <c r="BW35" s="5"/>
      <c r="BX35"/>
      <c r="BY35"/>
      <c r="BZ35"/>
      <c r="CA35"/>
      <c r="CB35"/>
      <c r="CC35"/>
      <c r="CD35"/>
      <c r="CE35"/>
      <c r="CF35"/>
      <c r="CG35"/>
      <c r="CH35"/>
      <c r="CI35"/>
      <c r="CJ35"/>
      <c r="CK35"/>
      <c r="CL35"/>
      <c r="CM35"/>
      <c r="CN35"/>
      <c r="CO35"/>
      <c r="CP35"/>
      <c r="CQ35"/>
      <c r="CR35"/>
      <c r="CS35"/>
      <c r="CT35"/>
      <c r="CU35"/>
      <c r="CV35"/>
      <c r="CW35"/>
      <c r="CX35"/>
      <c r="CY35"/>
      <c r="CZ35"/>
      <c r="DA35"/>
      <c r="DB35"/>
      <c r="DC35"/>
      <c r="DD35"/>
      <c r="DE35"/>
      <c r="DF35" s="1" t="s">
        <v>653</v>
      </c>
    </row>
    <row r="36" spans="1:110" ht="12" customHeight="1" x14ac:dyDescent="0.75">
      <c r="A36" t="s">
        <v>10</v>
      </c>
      <c r="B36" t="s">
        <v>134</v>
      </c>
      <c r="C36" t="s">
        <v>53</v>
      </c>
      <c r="D36" s="4" t="s">
        <v>238</v>
      </c>
      <c r="E36" t="s">
        <v>249</v>
      </c>
      <c r="F36" s="4" t="s">
        <v>238</v>
      </c>
      <c r="G36"/>
      <c r="H36" s="3" t="s">
        <v>54</v>
      </c>
      <c r="I36"/>
      <c r="J36"/>
      <c r="K36"/>
      <c r="L36"/>
      <c r="M36"/>
      <c r="N36"/>
      <c r="O36"/>
      <c r="P36"/>
      <c r="Q36"/>
      <c r="R36"/>
      <c r="S36"/>
      <c r="T36"/>
      <c r="U36" s="2">
        <v>298</v>
      </c>
      <c r="V36" s="2">
        <v>177</v>
      </c>
      <c r="W36" t="s">
        <v>66</v>
      </c>
      <c r="X36" t="s">
        <v>223</v>
      </c>
      <c r="Y36" s="6" t="s">
        <v>251</v>
      </c>
      <c r="Z36" t="s">
        <v>21</v>
      </c>
      <c r="AA36">
        <v>106410</v>
      </c>
      <c r="AB36" s="7">
        <v>106410</v>
      </c>
      <c r="AC36" s="5" t="s">
        <v>223</v>
      </c>
      <c r="AD36" s="7">
        <v>106410</v>
      </c>
      <c r="AE36" s="7">
        <v>106410</v>
      </c>
      <c r="AF36" s="5" t="s">
        <v>316</v>
      </c>
      <c r="AG36"/>
      <c r="AH36"/>
      <c r="AI36"/>
      <c r="AJ36" t="s">
        <v>146</v>
      </c>
      <c r="AK36"/>
      <c r="AL36">
        <v>3925</v>
      </c>
      <c r="AM36" t="s">
        <v>159</v>
      </c>
      <c r="AN36"/>
      <c r="AO36" s="7" t="s">
        <v>336</v>
      </c>
      <c r="AP36" s="5"/>
      <c r="AQ36" s="5"/>
      <c r="AR36" s="5" t="s">
        <v>372</v>
      </c>
      <c r="AS36" s="7" t="s">
        <v>465</v>
      </c>
      <c r="AT36" s="5" t="s">
        <v>465</v>
      </c>
      <c r="AU36" s="5" t="s">
        <v>466</v>
      </c>
      <c r="AV36" s="5" t="s">
        <v>466</v>
      </c>
      <c r="AW36" s="11">
        <f t="shared" si="0"/>
        <v>32</v>
      </c>
      <c r="AX36" s="5" t="s">
        <v>631</v>
      </c>
      <c r="AY36" s="5"/>
      <c r="AZ36" s="5"/>
      <c r="BA36" s="5"/>
      <c r="BB36" s="5"/>
      <c r="BC36" s="5"/>
      <c r="BD36" s="5"/>
      <c r="BE36" s="5"/>
      <c r="BF36" s="5"/>
      <c r="BG36" s="5"/>
      <c r="BH36" s="5" t="s">
        <v>629</v>
      </c>
      <c r="BI36" s="5"/>
      <c r="BJ36" s="5"/>
      <c r="BK36" s="5"/>
      <c r="BL36" s="5" t="s">
        <v>489</v>
      </c>
      <c r="BM36" s="5"/>
      <c r="BN36" s="5" t="s">
        <v>491</v>
      </c>
      <c r="BO36" s="5"/>
      <c r="BP36" s="5"/>
      <c r="BQ36" s="5" t="s">
        <v>632</v>
      </c>
      <c r="BR36" s="5"/>
      <c r="BS36" s="5"/>
      <c r="BT36" s="5"/>
      <c r="BU36" s="5"/>
      <c r="BV36" s="5"/>
      <c r="BW36" s="5"/>
      <c r="BX36"/>
      <c r="BY36"/>
      <c r="BZ36"/>
      <c r="CA36"/>
      <c r="CB36"/>
      <c r="CC36"/>
      <c r="CD36"/>
      <c r="CE36"/>
      <c r="CF36"/>
      <c r="CG36"/>
      <c r="CH36"/>
      <c r="CI36"/>
      <c r="CJ36"/>
      <c r="CK36"/>
      <c r="CL36"/>
      <c r="CM36"/>
      <c r="CN36"/>
      <c r="CO36"/>
      <c r="CP36"/>
      <c r="CQ36"/>
      <c r="CR36"/>
      <c r="CS36"/>
      <c r="CT36"/>
      <c r="CU36"/>
      <c r="CV36"/>
      <c r="CW36"/>
      <c r="CX36"/>
      <c r="CY36"/>
      <c r="CZ36"/>
      <c r="DA36"/>
      <c r="DB36"/>
      <c r="DC36"/>
      <c r="DD36"/>
      <c r="DE36"/>
      <c r="DF36" s="1" t="s">
        <v>653</v>
      </c>
    </row>
    <row r="37" spans="1:110" ht="12" customHeight="1" x14ac:dyDescent="0.75">
      <c r="A37" t="s">
        <v>10</v>
      </c>
      <c r="B37" t="s">
        <v>134</v>
      </c>
      <c r="C37" t="s">
        <v>53</v>
      </c>
      <c r="D37" s="4" t="s">
        <v>238</v>
      </c>
      <c r="E37" t="s">
        <v>249</v>
      </c>
      <c r="F37" s="4" t="s">
        <v>238</v>
      </c>
      <c r="G37"/>
      <c r="H37" s="3" t="s">
        <v>54</v>
      </c>
      <c r="I37"/>
      <c r="J37"/>
      <c r="K37"/>
      <c r="L37"/>
      <c r="M37"/>
      <c r="N37"/>
      <c r="O37"/>
      <c r="P37"/>
      <c r="Q37"/>
      <c r="R37"/>
      <c r="S37"/>
      <c r="T37"/>
      <c r="U37" s="2">
        <v>299</v>
      </c>
      <c r="V37" s="2">
        <v>178</v>
      </c>
      <c r="W37" t="s">
        <v>66</v>
      </c>
      <c r="X37" t="s">
        <v>223</v>
      </c>
      <c r="Y37" s="6" t="s">
        <v>251</v>
      </c>
      <c r="Z37" t="s">
        <v>7</v>
      </c>
      <c r="AA37">
        <v>106450</v>
      </c>
      <c r="AB37" s="7">
        <v>106450</v>
      </c>
      <c r="AC37" s="5" t="s">
        <v>223</v>
      </c>
      <c r="AD37" s="7">
        <v>106450</v>
      </c>
      <c r="AE37" s="7">
        <v>106450</v>
      </c>
      <c r="AF37" s="5" t="s">
        <v>317</v>
      </c>
      <c r="AG37"/>
      <c r="AH37"/>
      <c r="AI37"/>
      <c r="AJ37" t="s">
        <v>100</v>
      </c>
      <c r="AK37"/>
      <c r="AL37">
        <v>3925</v>
      </c>
      <c r="AM37" t="s">
        <v>208</v>
      </c>
      <c r="AN37"/>
      <c r="AO37" s="7" t="s">
        <v>336</v>
      </c>
      <c r="AP37" s="5"/>
      <c r="AQ37" s="5"/>
      <c r="AR37" s="5" t="s">
        <v>373</v>
      </c>
      <c r="AS37" s="7" t="s">
        <v>467</v>
      </c>
      <c r="AT37" s="5" t="s">
        <v>467</v>
      </c>
      <c r="AU37" s="5" t="s">
        <v>468</v>
      </c>
      <c r="AV37" s="5" t="s">
        <v>468</v>
      </c>
      <c r="AW37" s="11">
        <f t="shared" si="0"/>
        <v>45</v>
      </c>
      <c r="AX37" s="5" t="s">
        <v>631</v>
      </c>
      <c r="AY37" s="5"/>
      <c r="AZ37" s="5"/>
      <c r="BA37" s="5"/>
      <c r="BB37" s="5"/>
      <c r="BC37" s="5"/>
      <c r="BD37" s="5"/>
      <c r="BE37" s="5"/>
      <c r="BF37" s="5"/>
      <c r="BG37" s="5"/>
      <c r="BH37" s="5" t="s">
        <v>633</v>
      </c>
      <c r="BI37" s="5"/>
      <c r="BJ37" s="5"/>
      <c r="BK37" s="5"/>
      <c r="BL37" s="5" t="s">
        <v>489</v>
      </c>
      <c r="BM37" s="5"/>
      <c r="BN37" s="5" t="s">
        <v>491</v>
      </c>
      <c r="BO37" s="5"/>
      <c r="BP37" s="5" t="s">
        <v>634</v>
      </c>
      <c r="BQ37" s="5" t="s">
        <v>635</v>
      </c>
      <c r="BR37" s="5"/>
      <c r="BS37" s="5"/>
      <c r="BT37" s="5"/>
      <c r="BU37" s="5"/>
      <c r="BV37" s="5"/>
      <c r="BW37" s="5"/>
      <c r="BX37"/>
      <c r="BY37"/>
      <c r="BZ37"/>
      <c r="CA37"/>
      <c r="CB37"/>
      <c r="CC37"/>
      <c r="CD37"/>
      <c r="CE37"/>
      <c r="CF37"/>
      <c r="CG37"/>
      <c r="CH37"/>
      <c r="CI37"/>
      <c r="CJ37"/>
      <c r="CK37"/>
      <c r="CL37"/>
      <c r="CM37"/>
      <c r="CN37"/>
      <c r="CO37"/>
      <c r="CP37"/>
      <c r="CQ37"/>
      <c r="CR37"/>
      <c r="CS37"/>
      <c r="CT37"/>
      <c r="CU37"/>
      <c r="CV37"/>
      <c r="CW37"/>
      <c r="CX37"/>
      <c r="CY37"/>
      <c r="CZ37"/>
      <c r="DA37"/>
      <c r="DB37"/>
      <c r="DC37"/>
      <c r="DD37"/>
      <c r="DE37"/>
      <c r="DF37" s="1" t="s">
        <v>653</v>
      </c>
    </row>
    <row r="38" spans="1:110" ht="12" customHeight="1" x14ac:dyDescent="0.75">
      <c r="A38" t="s">
        <v>10</v>
      </c>
      <c r="B38" t="s">
        <v>134</v>
      </c>
      <c r="C38" t="s">
        <v>53</v>
      </c>
      <c r="D38" s="4" t="s">
        <v>238</v>
      </c>
      <c r="E38" t="s">
        <v>249</v>
      </c>
      <c r="F38" s="4" t="s">
        <v>238</v>
      </c>
      <c r="G38"/>
      <c r="H38" s="3" t="s">
        <v>54</v>
      </c>
      <c r="I38"/>
      <c r="J38"/>
      <c r="K38"/>
      <c r="L38"/>
      <c r="M38"/>
      <c r="N38"/>
      <c r="O38"/>
      <c r="P38"/>
      <c r="Q38"/>
      <c r="R38"/>
      <c r="S38"/>
      <c r="T38"/>
      <c r="U38" s="2">
        <v>300</v>
      </c>
      <c r="V38" s="2">
        <v>179</v>
      </c>
      <c r="W38" t="s">
        <v>66</v>
      </c>
      <c r="X38" t="s">
        <v>223</v>
      </c>
      <c r="Y38" s="6" t="s">
        <v>251</v>
      </c>
      <c r="Z38" t="s">
        <v>194</v>
      </c>
      <c r="AA38" t="s">
        <v>194</v>
      </c>
      <c r="AB38" s="7" t="s">
        <v>279</v>
      </c>
      <c r="AC38" s="5" t="s">
        <v>223</v>
      </c>
      <c r="AD38" s="7" t="s">
        <v>279</v>
      </c>
      <c r="AE38" s="7" t="s">
        <v>194</v>
      </c>
      <c r="AF38" s="5" t="s">
        <v>318</v>
      </c>
      <c r="AG38"/>
      <c r="AH38"/>
      <c r="AI38"/>
      <c r="AJ38" t="s">
        <v>55</v>
      </c>
      <c r="AK38"/>
      <c r="AL38">
        <v>3925</v>
      </c>
      <c r="AM38" t="s">
        <v>110</v>
      </c>
      <c r="AN38"/>
      <c r="AO38" s="7" t="s">
        <v>341</v>
      </c>
      <c r="AP38" s="5"/>
      <c r="AQ38" s="5"/>
      <c r="AR38" s="5" t="s">
        <v>374</v>
      </c>
      <c r="AS38" s="7" t="s">
        <v>469</v>
      </c>
      <c r="AT38" s="5" t="s">
        <v>469</v>
      </c>
      <c r="AU38" s="5" t="s">
        <v>470</v>
      </c>
      <c r="AV38" s="5" t="s">
        <v>470</v>
      </c>
      <c r="AW38" s="11">
        <f t="shared" si="0"/>
        <v>33</v>
      </c>
      <c r="AX38" s="5" t="s">
        <v>510</v>
      </c>
      <c r="AY38" s="5" t="s">
        <v>511</v>
      </c>
      <c r="AZ38" s="5"/>
      <c r="BA38" s="5"/>
      <c r="BB38" s="5"/>
      <c r="BC38" s="5"/>
      <c r="BD38" s="5"/>
      <c r="BE38" s="5"/>
      <c r="BF38" s="5"/>
      <c r="BG38" s="5"/>
      <c r="BH38" s="5" t="s">
        <v>636</v>
      </c>
      <c r="BI38" s="5"/>
      <c r="BJ38" s="5"/>
      <c r="BK38" s="5"/>
      <c r="BL38" s="5" t="s">
        <v>500</v>
      </c>
      <c r="BM38" s="5"/>
      <c r="BN38" s="5" t="s">
        <v>491</v>
      </c>
      <c r="BO38" s="5"/>
      <c r="BP38" s="5"/>
      <c r="BQ38" s="5" t="s">
        <v>637</v>
      </c>
      <c r="BR38" s="5"/>
      <c r="BS38" s="5"/>
      <c r="BT38" s="5"/>
      <c r="BU38" s="5"/>
      <c r="BV38" s="5"/>
      <c r="BW38" s="5"/>
      <c r="BX38"/>
      <c r="BY38"/>
      <c r="BZ38"/>
      <c r="CA38"/>
      <c r="CB38"/>
      <c r="CC38"/>
      <c r="CD38"/>
      <c r="CE38"/>
      <c r="CF38"/>
      <c r="CG38"/>
      <c r="CH38"/>
      <c r="CI38"/>
      <c r="CJ38"/>
      <c r="CK38"/>
      <c r="CL38"/>
      <c r="CM38"/>
      <c r="CN38"/>
      <c r="CO38"/>
      <c r="CP38"/>
      <c r="CQ38"/>
      <c r="CR38"/>
      <c r="CS38"/>
      <c r="CT38"/>
      <c r="CU38"/>
      <c r="CV38"/>
      <c r="CW38"/>
      <c r="CX38"/>
      <c r="CY38"/>
      <c r="CZ38"/>
      <c r="DA38"/>
      <c r="DB38"/>
      <c r="DC38"/>
      <c r="DD38"/>
      <c r="DE38"/>
      <c r="DF38" s="1" t="s">
        <v>653</v>
      </c>
    </row>
    <row r="39" spans="1:110" ht="12" customHeight="1" x14ac:dyDescent="0.75">
      <c r="A39" t="s">
        <v>10</v>
      </c>
      <c r="B39" t="s">
        <v>134</v>
      </c>
      <c r="C39" t="s">
        <v>53</v>
      </c>
      <c r="D39" s="4" t="s">
        <v>238</v>
      </c>
      <c r="E39" t="s">
        <v>249</v>
      </c>
      <c r="F39" s="4" t="s">
        <v>238</v>
      </c>
      <c r="G39"/>
      <c r="H39" s="3" t="s">
        <v>54</v>
      </c>
      <c r="I39"/>
      <c r="J39"/>
      <c r="K39"/>
      <c r="L39"/>
      <c r="M39"/>
      <c r="N39"/>
      <c r="O39"/>
      <c r="P39"/>
      <c r="Q39"/>
      <c r="R39"/>
      <c r="S39"/>
      <c r="T39"/>
      <c r="U39" s="2">
        <v>301</v>
      </c>
      <c r="V39" s="2">
        <v>180</v>
      </c>
      <c r="W39" t="s">
        <v>66</v>
      </c>
      <c r="X39" t="s">
        <v>223</v>
      </c>
      <c r="Y39" s="6" t="s">
        <v>251</v>
      </c>
      <c r="Z39" t="s">
        <v>239</v>
      </c>
      <c r="AA39">
        <v>200796</v>
      </c>
      <c r="AB39" s="7">
        <v>200796</v>
      </c>
      <c r="AC39" s="5" t="s">
        <v>223</v>
      </c>
      <c r="AD39" s="7">
        <v>200796</v>
      </c>
      <c r="AE39" s="7">
        <v>200796</v>
      </c>
      <c r="AF39" s="5" t="s">
        <v>319</v>
      </c>
      <c r="AG39"/>
      <c r="AH39"/>
      <c r="AI39"/>
      <c r="AJ39" t="s">
        <v>228</v>
      </c>
      <c r="AK39"/>
      <c r="AL39">
        <v>3925</v>
      </c>
      <c r="AM39" t="s">
        <v>6</v>
      </c>
      <c r="AN39"/>
      <c r="AO39" s="7" t="s">
        <v>340</v>
      </c>
      <c r="AP39" s="5"/>
      <c r="AQ39" s="5"/>
      <c r="AR39" s="5" t="s">
        <v>375</v>
      </c>
      <c r="AS39" s="7" t="s">
        <v>471</v>
      </c>
      <c r="AT39" s="5" t="s">
        <v>471</v>
      </c>
      <c r="AU39" s="5" t="s">
        <v>472</v>
      </c>
      <c r="AV39" s="5" t="s">
        <v>472</v>
      </c>
      <c r="AW39" s="11">
        <f t="shared" si="0"/>
        <v>43</v>
      </c>
      <c r="AX39" s="5" t="s">
        <v>638</v>
      </c>
      <c r="AY39" s="5" t="s">
        <v>511</v>
      </c>
      <c r="AZ39" s="5" t="s">
        <v>639</v>
      </c>
      <c r="BA39" s="5"/>
      <c r="BB39" s="5"/>
      <c r="BC39" s="5"/>
      <c r="BD39" s="5"/>
      <c r="BE39" s="5"/>
      <c r="BF39" s="5"/>
      <c r="BG39" s="5"/>
      <c r="BH39" s="5" t="s">
        <v>640</v>
      </c>
      <c r="BI39" s="5"/>
      <c r="BJ39" s="5"/>
      <c r="BK39" s="5"/>
      <c r="BL39" s="5" t="s">
        <v>500</v>
      </c>
      <c r="BM39" s="5"/>
      <c r="BN39" s="5" t="s">
        <v>491</v>
      </c>
      <c r="BO39" s="5"/>
      <c r="BP39" s="5"/>
      <c r="BQ39" s="5" t="s">
        <v>641</v>
      </c>
      <c r="BR39" s="5"/>
      <c r="BS39" s="5"/>
      <c r="BT39" s="5"/>
      <c r="BU39" s="5"/>
      <c r="BV39" s="5"/>
      <c r="BW39" s="5"/>
      <c r="BX39"/>
      <c r="BY39"/>
      <c r="BZ39"/>
      <c r="CA39"/>
      <c r="CB39"/>
      <c r="CC39"/>
      <c r="CD39"/>
      <c r="CE39"/>
      <c r="CF39"/>
      <c r="CG39"/>
      <c r="CH39"/>
      <c r="CI39"/>
      <c r="CJ39"/>
      <c r="CK39"/>
      <c r="CL39"/>
      <c r="CM39"/>
      <c r="CN39"/>
      <c r="CO39"/>
      <c r="CP39"/>
      <c r="CQ39"/>
      <c r="CR39"/>
      <c r="CS39"/>
      <c r="CT39"/>
      <c r="CU39"/>
      <c r="CV39"/>
      <c r="CW39"/>
      <c r="CX39"/>
      <c r="CY39"/>
      <c r="CZ39"/>
      <c r="DA39"/>
      <c r="DB39"/>
      <c r="DC39"/>
      <c r="DD39"/>
      <c r="DE39"/>
      <c r="DF39" s="1" t="s">
        <v>653</v>
      </c>
    </row>
    <row r="40" spans="1:110" ht="12" customHeight="1" x14ac:dyDescent="0.75">
      <c r="A40" t="s">
        <v>10</v>
      </c>
      <c r="B40" t="s">
        <v>134</v>
      </c>
      <c r="C40" t="s">
        <v>53</v>
      </c>
      <c r="D40" s="4" t="s">
        <v>238</v>
      </c>
      <c r="E40" t="s">
        <v>249</v>
      </c>
      <c r="F40" s="4" t="s">
        <v>238</v>
      </c>
      <c r="G40"/>
      <c r="H40" s="3" t="s">
        <v>54</v>
      </c>
      <c r="I40"/>
      <c r="J40"/>
      <c r="K40"/>
      <c r="L40"/>
      <c r="M40"/>
      <c r="N40"/>
      <c r="O40"/>
      <c r="P40"/>
      <c r="Q40"/>
      <c r="R40"/>
      <c r="S40"/>
      <c r="T40"/>
      <c r="U40" s="2">
        <v>302</v>
      </c>
      <c r="V40" s="2">
        <v>181</v>
      </c>
      <c r="W40" t="s">
        <v>66</v>
      </c>
      <c r="X40" t="s">
        <v>223</v>
      </c>
      <c r="Y40" s="6" t="s">
        <v>251</v>
      </c>
      <c r="Z40" t="s">
        <v>65</v>
      </c>
      <c r="AA40">
        <v>200812</v>
      </c>
      <c r="AB40" s="7">
        <v>200812</v>
      </c>
      <c r="AC40" s="5" t="s">
        <v>223</v>
      </c>
      <c r="AD40" s="7">
        <v>200812</v>
      </c>
      <c r="AE40" s="7">
        <v>200812</v>
      </c>
      <c r="AF40" s="5" t="s">
        <v>320</v>
      </c>
      <c r="AG40"/>
      <c r="AH40"/>
      <c r="AI40"/>
      <c r="AJ40" t="s">
        <v>190</v>
      </c>
      <c r="AK40"/>
      <c r="AL40">
        <v>3925</v>
      </c>
      <c r="AM40" t="s">
        <v>121</v>
      </c>
      <c r="AN40"/>
      <c r="AO40" s="7" t="s">
        <v>340</v>
      </c>
      <c r="AP40" s="5"/>
      <c r="AQ40" s="5"/>
      <c r="AR40" s="5" t="s">
        <v>376</v>
      </c>
      <c r="AS40" s="7" t="s">
        <v>473</v>
      </c>
      <c r="AT40" s="5" t="s">
        <v>473</v>
      </c>
      <c r="AU40" s="5" t="s">
        <v>474</v>
      </c>
      <c r="AV40" s="5" t="s">
        <v>474</v>
      </c>
      <c r="AW40" s="11">
        <f t="shared" si="0"/>
        <v>34</v>
      </c>
      <c r="AX40" s="5" t="s">
        <v>642</v>
      </c>
      <c r="AY40" s="5" t="s">
        <v>643</v>
      </c>
      <c r="AZ40" s="5"/>
      <c r="BA40" s="5"/>
      <c r="BB40" s="5"/>
      <c r="BC40" s="5"/>
      <c r="BD40" s="5"/>
      <c r="BE40" s="5"/>
      <c r="BF40" s="5"/>
      <c r="BG40" s="5"/>
      <c r="BH40" s="5" t="s">
        <v>629</v>
      </c>
      <c r="BI40" s="5"/>
      <c r="BJ40" s="5"/>
      <c r="BK40" s="5"/>
      <c r="BL40" s="5" t="s">
        <v>500</v>
      </c>
      <c r="BM40" s="5"/>
      <c r="BN40" s="5" t="s">
        <v>491</v>
      </c>
      <c r="BO40" s="5"/>
      <c r="BP40" s="5"/>
      <c r="BQ40" s="5" t="s">
        <v>644</v>
      </c>
      <c r="BR40" s="5"/>
      <c r="BS40" s="5"/>
      <c r="BT40" s="5"/>
      <c r="BU40" s="5"/>
      <c r="BV40" s="5"/>
      <c r="BW40" s="5"/>
      <c r="BX40"/>
      <c r="BY40"/>
      <c r="BZ40"/>
      <c r="CA40"/>
      <c r="CB40"/>
      <c r="CC40"/>
      <c r="CD40"/>
      <c r="CE40"/>
      <c r="CF40"/>
      <c r="CG40"/>
      <c r="CH40"/>
      <c r="CI40"/>
      <c r="CJ40"/>
      <c r="CK40"/>
      <c r="CL40"/>
      <c r="CM40"/>
      <c r="CN40"/>
      <c r="CO40"/>
      <c r="CP40"/>
      <c r="CQ40"/>
      <c r="CR40"/>
      <c r="CS40"/>
      <c r="CT40"/>
      <c r="CU40"/>
      <c r="CV40"/>
      <c r="CW40"/>
      <c r="CX40"/>
      <c r="CY40"/>
      <c r="CZ40"/>
      <c r="DA40"/>
      <c r="DB40"/>
      <c r="DC40"/>
      <c r="DD40"/>
      <c r="DE40"/>
      <c r="DF40" s="1" t="s">
        <v>653</v>
      </c>
    </row>
    <row r="41" spans="1:110" ht="12" customHeight="1" x14ac:dyDescent="0.75">
      <c r="A41" t="s">
        <v>10</v>
      </c>
      <c r="B41" t="s">
        <v>134</v>
      </c>
      <c r="C41" t="s">
        <v>53</v>
      </c>
      <c r="D41" s="4" t="s">
        <v>238</v>
      </c>
      <c r="E41" t="s">
        <v>249</v>
      </c>
      <c r="F41" s="4" t="s">
        <v>238</v>
      </c>
      <c r="G41"/>
      <c r="H41" s="3" t="s">
        <v>54</v>
      </c>
      <c r="I41"/>
      <c r="J41"/>
      <c r="K41"/>
      <c r="L41"/>
      <c r="M41"/>
      <c r="N41"/>
      <c r="O41"/>
      <c r="P41"/>
      <c r="Q41"/>
      <c r="R41"/>
      <c r="S41"/>
      <c r="T41"/>
      <c r="U41" s="2">
        <v>303</v>
      </c>
      <c r="V41" s="2">
        <v>182</v>
      </c>
      <c r="W41" t="s">
        <v>66</v>
      </c>
      <c r="X41" t="s">
        <v>223</v>
      </c>
      <c r="Y41" s="6" t="s">
        <v>251</v>
      </c>
      <c r="Z41" t="s">
        <v>232</v>
      </c>
      <c r="AA41">
        <v>201202</v>
      </c>
      <c r="AB41" s="7">
        <v>201202</v>
      </c>
      <c r="AC41" s="5" t="s">
        <v>223</v>
      </c>
      <c r="AD41" s="7">
        <v>201202</v>
      </c>
      <c r="AE41" s="7">
        <v>201202</v>
      </c>
      <c r="AF41" s="5" t="s">
        <v>321</v>
      </c>
      <c r="AG41"/>
      <c r="AH41"/>
      <c r="AI41"/>
      <c r="AJ41" t="s">
        <v>19</v>
      </c>
      <c r="AK41"/>
      <c r="AL41">
        <v>3925</v>
      </c>
      <c r="AM41" t="s">
        <v>32</v>
      </c>
      <c r="AN41"/>
      <c r="AO41" s="7" t="s">
        <v>340</v>
      </c>
      <c r="AP41" s="5"/>
      <c r="AQ41" s="5"/>
      <c r="AR41" s="5" t="s">
        <v>377</v>
      </c>
      <c r="AS41" s="7" t="s">
        <v>475</v>
      </c>
      <c r="AT41" s="5" t="s">
        <v>475</v>
      </c>
      <c r="AU41" s="5" t="s">
        <v>476</v>
      </c>
      <c r="AV41" s="5" t="s">
        <v>476</v>
      </c>
      <c r="AW41" s="11">
        <f t="shared" si="0"/>
        <v>45</v>
      </c>
      <c r="AX41" s="5" t="s">
        <v>645</v>
      </c>
      <c r="AY41" s="5" t="s">
        <v>646</v>
      </c>
      <c r="AZ41" s="5" t="s">
        <v>647</v>
      </c>
      <c r="BA41" s="5"/>
      <c r="BB41" s="5"/>
      <c r="BC41" s="5"/>
      <c r="BD41" s="5"/>
      <c r="BE41" s="5"/>
      <c r="BF41" s="5"/>
      <c r="BG41" s="5"/>
      <c r="BH41" s="5" t="s">
        <v>648</v>
      </c>
      <c r="BI41" s="5"/>
      <c r="BJ41" s="5"/>
      <c r="BK41" s="5"/>
      <c r="BL41" s="5"/>
      <c r="BM41" s="5"/>
      <c r="BN41" s="5"/>
      <c r="BO41" s="5"/>
      <c r="BP41" s="5"/>
      <c r="BQ41" s="5" t="s">
        <v>649</v>
      </c>
      <c r="BR41" s="5"/>
      <c r="BS41" s="5"/>
      <c r="BT41" s="5"/>
      <c r="BU41" s="5"/>
      <c r="BV41" s="5"/>
      <c r="BW41" s="5"/>
      <c r="BX41"/>
      <c r="BY41"/>
      <c r="BZ41"/>
      <c r="CA41"/>
      <c r="CB41"/>
      <c r="CC41"/>
      <c r="CD41"/>
      <c r="CE41"/>
      <c r="CF41"/>
      <c r="CG41"/>
      <c r="CH41"/>
      <c r="CI41"/>
      <c r="CJ41"/>
      <c r="CK41"/>
      <c r="CL41"/>
      <c r="CM41"/>
      <c r="CN41"/>
      <c r="CO41"/>
      <c r="CP41"/>
      <c r="CQ41"/>
      <c r="CR41"/>
      <c r="CS41"/>
      <c r="CT41"/>
      <c r="CU41"/>
      <c r="CV41"/>
      <c r="CW41"/>
      <c r="CX41"/>
      <c r="CY41"/>
      <c r="CZ41"/>
      <c r="DA41"/>
      <c r="DB41"/>
      <c r="DC41"/>
      <c r="DD41"/>
      <c r="DE41"/>
      <c r="DF41" s="1" t="s">
        <v>653</v>
      </c>
    </row>
    <row r="42" spans="1:110" ht="12" customHeight="1" x14ac:dyDescent="0.75">
      <c r="A42" t="s">
        <v>10</v>
      </c>
      <c r="B42" t="s">
        <v>173</v>
      </c>
      <c r="C42" t="s">
        <v>53</v>
      </c>
      <c r="D42" s="4" t="s">
        <v>238</v>
      </c>
      <c r="E42" t="s">
        <v>249</v>
      </c>
      <c r="F42" s="4" t="s">
        <v>238</v>
      </c>
      <c r="G42"/>
      <c r="H42" s="3" t="s">
        <v>54</v>
      </c>
      <c r="I42"/>
      <c r="J42"/>
      <c r="K42"/>
      <c r="L42"/>
      <c r="M42"/>
      <c r="N42"/>
      <c r="O42"/>
      <c r="P42"/>
      <c r="Q42"/>
      <c r="R42"/>
      <c r="S42"/>
      <c r="T42"/>
      <c r="U42" s="2">
        <v>304</v>
      </c>
      <c r="V42" s="2">
        <v>1</v>
      </c>
      <c r="W42" t="s">
        <v>200</v>
      </c>
      <c r="X42"/>
      <c r="Y42" s="6" t="s">
        <v>252</v>
      </c>
      <c r="Z42" t="s">
        <v>91</v>
      </c>
      <c r="AA42" t="s">
        <v>91</v>
      </c>
      <c r="AB42" s="7" t="s">
        <v>280</v>
      </c>
      <c r="AC42" s="5" t="s">
        <v>322</v>
      </c>
      <c r="AD42" s="7" t="s">
        <v>280</v>
      </c>
      <c r="AE42" s="7" t="s">
        <v>91</v>
      </c>
      <c r="AF42" s="5" t="s">
        <v>323</v>
      </c>
      <c r="AG42"/>
      <c r="AH42"/>
      <c r="AI42"/>
      <c r="AJ42" t="s">
        <v>148</v>
      </c>
      <c r="AK42"/>
      <c r="AL42">
        <v>1945</v>
      </c>
      <c r="AM42" t="s">
        <v>202</v>
      </c>
      <c r="AN42"/>
      <c r="AO42" s="7" t="s">
        <v>342</v>
      </c>
      <c r="AP42" s="5"/>
      <c r="AQ42" s="5"/>
      <c r="AR42" s="5" t="s">
        <v>378</v>
      </c>
      <c r="AS42" s="7" t="s">
        <v>477</v>
      </c>
      <c r="AT42" s="5" t="s">
        <v>477</v>
      </c>
      <c r="AU42" s="5" t="s">
        <v>478</v>
      </c>
      <c r="AV42" s="5" t="s">
        <v>479</v>
      </c>
      <c r="AW42" s="11">
        <f t="shared" si="0"/>
        <v>60</v>
      </c>
      <c r="AX42" s="5" t="s">
        <v>521</v>
      </c>
      <c r="AY42" s="5" t="s">
        <v>650</v>
      </c>
      <c r="AZ42" s="5"/>
      <c r="BA42" s="5"/>
      <c r="BB42" s="5"/>
      <c r="BC42" s="5"/>
      <c r="BD42" s="5"/>
      <c r="BE42" s="5"/>
      <c r="BF42" s="5"/>
      <c r="BG42" s="5"/>
      <c r="BH42" s="5" t="s">
        <v>651</v>
      </c>
      <c r="BI42" s="5"/>
      <c r="BJ42" s="5"/>
      <c r="BK42" s="5"/>
      <c r="BL42" s="5" t="s">
        <v>489</v>
      </c>
      <c r="BM42" s="5"/>
      <c r="BN42" s="5" t="s">
        <v>491</v>
      </c>
      <c r="BO42" s="12" t="s">
        <v>518</v>
      </c>
      <c r="BP42" s="5"/>
      <c r="BQ42" s="5" t="s">
        <v>652</v>
      </c>
      <c r="BR42" s="5"/>
      <c r="BS42" s="5"/>
      <c r="BT42" s="5"/>
      <c r="BU42" s="5"/>
      <c r="BV42" s="5" t="s">
        <v>485</v>
      </c>
      <c r="BW42" s="5"/>
      <c r="BX42"/>
      <c r="BY42"/>
      <c r="BZ42"/>
      <c r="CA42"/>
      <c r="CB42"/>
      <c r="CC42"/>
      <c r="CD42"/>
      <c r="CE42"/>
      <c r="CF42"/>
      <c r="CG42"/>
      <c r="CH42"/>
      <c r="CI42"/>
      <c r="CJ42"/>
      <c r="CK42"/>
      <c r="CL42"/>
      <c r="CM42"/>
      <c r="CN42"/>
      <c r="CO42"/>
      <c r="CP42"/>
      <c r="CQ42"/>
      <c r="CR42"/>
      <c r="CS42"/>
      <c r="CT42"/>
      <c r="CU42"/>
      <c r="CV42"/>
      <c r="CW42"/>
      <c r="CX42"/>
      <c r="CY42"/>
      <c r="CZ42"/>
      <c r="DA42"/>
      <c r="DB42"/>
      <c r="DC42"/>
      <c r="DD42"/>
      <c r="DE42"/>
      <c r="DF42" s="1" t="s">
        <v>653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328125" defaultRowHeight="14.75" x14ac:dyDescent="0.7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Akshatha</cp:lastModifiedBy>
  <dcterms:created xsi:type="dcterms:W3CDTF">2013-06-26T05:33:36Z</dcterms:created>
  <dcterms:modified xsi:type="dcterms:W3CDTF">2023-06-20T13:37:16Z</dcterms:modified>
  <cp:category/>
</cp:coreProperties>
</file>