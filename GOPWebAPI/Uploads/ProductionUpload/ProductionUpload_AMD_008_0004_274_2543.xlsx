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13_ncr:1_{F8130A55-4E4E-40B6-A9D1-B619352AED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<sst xmlns="http://schemas.openxmlformats.org/spreadsheetml/2006/main" count="500" uniqueCount="143">
  <si>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</si>
  <si>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BIEMER VESSEL SPREADER 16CM-56.60.16-MEDICON</t>
  </si>
  <si>
    <t>Production User</t>
  </si>
  <si>
    <t>GIVEN ITEM NAME</t>
  </si>
  <si>
    <t>MORSE RIB SPREADER F ADULTS-54.18.55-MEDICON</t>
  </si>
  <si>
    <t>CONSIGNMENT</t>
  </si>
  <si>
    <t>PROLENE MESH 15*15 PMM101 (6*6IN)</t>
  </si>
  <si>
    <t>Aster Aadhar Kolhapur- OP, Aster Aadhar Kolhapur-IP</t>
  </si>
  <si>
    <t>PROCESSED Y/N</t>
  </si>
  <si>
    <t>MEDORAH TRIPLE LUMEN NEEDLE KNIFE REF NO 6821 7FR 6MM</t>
  </si>
  <si>
    <t>MEDORAH TRIPLE LUMEN SPHINCTEROTOME WITH INSULATED WIRE REF NO 6725</t>
  </si>
  <si>
    <t>Status</t>
  </si>
  <si>
    <t>INTRA OCCULAR LENS IQ TORIC SN6AT9 POWER 14.5-ALCON</t>
  </si>
  <si>
    <t>COMMENTS</t>
  </si>
  <si>
    <t>PRODUCT CREATED TIM</t>
  </si>
  <si>
    <t>RESPONSIBLE PERSON</t>
  </si>
  <si>
    <t>PREDMET 10ML EYE DROPS</t>
  </si>
  <si>
    <t>INTRA OCCULAR LENS IQ TORIC SN6AT9 POWER 15.5-ALCON</t>
  </si>
  <si>
    <t>INTRA OCCULAR LENS SENSAR POWER 15-JOHNSON&amp;JOHNSON</t>
  </si>
  <si>
    <t>SHINGRIX VACCINE (50MCG/0.5ML) POWDER AND SOLVENT FOR SUSPENSION FOR INJECTION</t>
  </si>
  <si>
    <t>SIGMA STAB GVF INS SIZE 3.8MM-158123008</t>
  </si>
  <si>
    <t>MEDORAH JAQUAR ERCP GUIDE WIRE REF NO 5350 STRAIGHT DIA 0.35INCH WRKING LENGTH 450CM</t>
  </si>
  <si>
    <t>LULICAN 100ML SHAMPOO</t>
  </si>
  <si>
    <t>FAS-3 KIT 1GM</t>
  </si>
  <si>
    <t>LIPI EZ 10 MG TAB</t>
  </si>
  <si>
    <t>CUTEFON 2.5 MG INJ (FONDAPARINUX SODIUM INJECTION USP)-GLAND</t>
  </si>
  <si>
    <t>TAXONOMY</t>
  </si>
  <si>
    <t>BALLOON CATHETER CORONARY 2.7X15 MM NC TREK-ABBOTT</t>
  </si>
  <si>
    <t>RIGID LOOP ADJUSTABLE CORTICAL IMPLANT. STANDARD-232447</t>
  </si>
  <si>
    <t>Q-METH 40MG INJECTION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</si>
  <si>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</si>
  <si>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FINAL PRODUCT CREATED CODE</t>
  </si>
  <si>
    <t>ELTROXIN 88MCG TABLET</t>
  </si>
  <si>
    <t>REQUEST DATE</t>
  </si>
  <si>
    <t>UNIT</t>
  </si>
  <si>
    <t>STENT CORONARY 2.75MM X 44MM YUKON CHOICE FLEX YCFX27544 -TRANSLUMINA</t>
  </si>
  <si>
    <t>PRODUCT CREATED DATE</t>
  </si>
  <si>
    <t>P</t>
  </si>
  <si>
    <t>Aster Medcity Kochi- Pharmacy OP IO, Aster Medcity Kochi- Pharmacy IP IO, Aster Medcity Kochi- Capex IO, Aster Medcity Kochi- Service IO</t>
  </si>
  <si>
    <t>Sanghamitra Ongole- IP, Sanghamitra Ongole- OP</t>
  </si>
  <si>
    <t>PROHANCE D 400GM VANILA POWDER</t>
  </si>
  <si>
    <t>STATUS - MODIFY/NEW/REJECT</t>
  </si>
  <si>
    <t>MEDORAH JAQUAR ERCP GUIDE WIRE REF NO 5250 STRAIGHT DIA 0.25INCH WRKING LENGTH 450CM</t>
  </si>
  <si>
    <t>FINAL PRODUCT CREATED ITEM NAME</t>
  </si>
  <si>
    <t>INTRA OCCULAR LENS SENSAR POWER 14-JOHNSON&amp;JOHNSON</t>
  </si>
  <si>
    <t>PROCESSED CATEGORY</t>
  </si>
  <si>
    <t>Whitefield Hospital IP, Whitefield Hospital OP</t>
  </si>
  <si>
    <t>ULTRABRAID 2 WHITE SUTURE AND NEEDLE ASSEMBLY 38" 72200886 SMITH NEPHEW</t>
  </si>
  <si>
    <t>SYQ</t>
  </si>
  <si>
    <t>ENTRALIN EDTA 1GM INJ</t>
  </si>
  <si>
    <t>SACUVAL 200 MG TABLET</t>
  </si>
  <si>
    <t>REMARKS IF ISSUES MARK AS "E"</t>
  </si>
  <si>
    <t>Aster Medcity Kochi- Pharmacy OP IO, Aster Medcity Kochi- Pharmacy IP IO</t>
  </si>
  <si>
    <t>RECIVE CATEGORY</t>
  </si>
  <si>
    <t>SACUVAL 50 MG TABLET</t>
  </si>
  <si>
    <t>YES</t>
  </si>
  <si>
    <t>SLNO</t>
  </si>
  <si>
    <t>PROHANCE HP POWDER (VANILA) SUN PHARMA 400GM</t>
  </si>
  <si>
    <t>SURGICARB 355ML DRINK (COMPLEX CARBOHYDRATE PRESURGERY DRINK)</t>
  </si>
  <si>
    <t>I</t>
  </si>
  <si>
    <t>Production Comments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</si>
  <si>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</si>
  <si>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</si>
  <si>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</si>
  <si>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</si>
  <si>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</si>
  <si>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DEFRIJET FCT 360MG TABLET</t>
  </si>
  <si>
    <t>RV Hospital OP</t>
  </si>
  <si>
    <t>SACUVAL 100MG TABLET</t>
  </si>
  <si>
    <t>HOHENFELLNER SCISSORS CVD.255MM-BC639R-AESCULAP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</si>
  <si>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</si>
  <si>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</si>
  <si>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</si>
  <si>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EDETATE - 37.5MG/0.25ML INJECTION</t>
  </si>
  <si>
    <t>MILAGRO ADVANCE INTERFERENCE SCREW . ABSORBABLE – TCP/PLGA. 10 X 23MM-231819*DEPUY MITEK</t>
  </si>
  <si>
    <t>REQUEST TIME</t>
  </si>
  <si>
    <t>MODIFY</t>
  </si>
  <si>
    <t>Direct / Pharmaceutical Drugs / Endocrine &amp; Metabolic System / Thyroid Hormones / THYROXINE SODIUM</t>
  </si>
  <si>
    <t>SNEHAJA</t>
  </si>
  <si>
    <t>Y</t>
  </si>
  <si>
    <t>NEW</t>
  </si>
  <si>
    <t>Direct / Pharmaceutical Drugs / Allergy &amp; Immune System / Vaccines, Antisera &amp; Immunologicals / VARICELLA-ZOSTER VACCINE</t>
  </si>
  <si>
    <t>Direct / Pharmaceutical Drugs / Anti-Infectives (Systemic) / Antibacterial Combinations / MEROPENEM</t>
  </si>
  <si>
    <t>ENTRALIN EDTA 1GM INJECTION</t>
  </si>
  <si>
    <t>new</t>
  </si>
  <si>
    <t>m</t>
  </si>
  <si>
    <t>Direct / Medical Consumables / Intravenous And Arterial Cannulas And Catheters And Accessories / Guidewires / Guidewires</t>
  </si>
  <si>
    <t>GUIDEWIRE TRIPLE LUMEN SPHINCTEROTOME WITH INSULATED 6725 -MEDORAH</t>
  </si>
  <si>
    <t>Direct.Medical Consumables.Needles - Injection Aspiration &amp; Accessories.Needles - Injection Aspiration &amp; Accessories.</t>
  </si>
  <si>
    <t xml:space="preserve">NEEDLE KNIFE 6MM 7FR TRIPLE LUMEN 6821 -MEDORAH </t>
  </si>
  <si>
    <t>GUIDEWIRE 0.25INCH X 450CM STRAIGHT JAQUAR ERCP 5250 -MEDORAH</t>
  </si>
  <si>
    <t>ERCP GUIDEWIRE(5350-STRAIGHT- .035 X 450)- JAQUAR -(REUSABLE) -MEDORAH</t>
  </si>
  <si>
    <t>Direct / Pharmaceutical Drugs / Cardiovascular &amp; Hematopoietic System / Calcium Antagonists / DISODIUM EDETATE</t>
  </si>
  <si>
    <t>EDETATE 37.5MG/0.25ML INJECTION</t>
  </si>
  <si>
    <t>c</t>
  </si>
  <si>
    <t>Direct / Prostheses And Implants / Surgical Stents / Coronary Stent</t>
  </si>
  <si>
    <t>Direct.Medical Consumables.Wound Closure.Non- Absorbable Suture.Polypropylene</t>
  </si>
  <si>
    <t>Direct / Medical Consumables / Needles - Injection Aspiration &amp; Accessories / Needles - Injection Aspiration &amp; Accessories</t>
  </si>
  <si>
    <t>ULTRABRAID  2 WHITE SUTURE AND NEEDLE ASSEMBLY  38" 72200886 -SMITH &amp; NEPHEW</t>
  </si>
  <si>
    <t>C</t>
  </si>
  <si>
    <t>Direct / Medical Consumables / Intravenous And Arterial Cannulas And Catheters And Accessories / Catheters / Catheters, Angioplasty</t>
  </si>
  <si>
    <t>PTCA BALLOON CATHETER NC TREK 2.75 X 15MM (8)</t>
  </si>
  <si>
    <t>Direct / Prostheses And Implants / Orthopedic Trauma Implants / Bone Screw</t>
  </si>
  <si>
    <t>RIGID LOOP ADJUSTABLE STANDARD BUTTON 232447 DEPUY</t>
  </si>
  <si>
    <t>INTERFERENCE SCREW 10MM X 23MM ABSORBABLE TCP/PLGA MILAGRO ADVANCE 231819 -DEPUY MITEK</t>
  </si>
  <si>
    <t>Direct / Pharmaceutical Drugs / Cardiovascular &amp; Hematopoietic System / Angiotensin Ii Antagonists / SACUBITRIL + VALSARTAN</t>
  </si>
  <si>
    <t>3-A-BW22-HW-AG53-CK46-X-00001</t>
  </si>
  <si>
    <t>SACUVAL 50MG TABLET</t>
  </si>
  <si>
    <t>3-A-BW22-HW-AG53-BC51-X-00001</t>
  </si>
  <si>
    <t>Direct / Surgical Consumables / Surgical Consumables Miscellaneous / Intra Ocular/Contact Lens</t>
  </si>
  <si>
    <t>INTRA OCCULAR LENS IQ TORIC SN6AT9 POWER 14.5 -ALCON</t>
  </si>
  <si>
    <t>INTRA OCCULAR LENS IQ TORIC SN6AT9 POWER 15.5 -ALCON</t>
  </si>
  <si>
    <t>Direct.Surgical Consumables.Surgical Consumables Miscellaneous.Intra Ocular/Contact Lens.</t>
  </si>
  <si>
    <t>INTRA OCCULAR LENS SENSAR POWER 14 -JOHNSON&amp;JOHNSON</t>
  </si>
  <si>
    <t>INTRA OCCULAR LENS SENSAR POWER 15 -JOHNSON&amp;JOHNSON</t>
  </si>
  <si>
    <t>SACUVAL 200MG TABLET</t>
  </si>
  <si>
    <t>3-A-BW22-HW-AG53-CL08-X-00001</t>
  </si>
  <si>
    <t>Direct.Non-Pharma.Health Supplements &amp; Food.Supplements &amp; Adjuvant Therapy.NUTRITION POWDER</t>
  </si>
  <si>
    <t>PROHANCE HP 400GM VANILA POWDER</t>
  </si>
  <si>
    <t>Direct / Pharmaceutical Drugs / Antidotes, Detoxifying Agents &amp; Drugs Used In Substance Dependence / Antidotes, Detoxifying Agents &amp; Drugs Used In Substance Dependence / DEFERASIROX</t>
  </si>
  <si>
    <t>3-A-AW18-HW-FM28-BK21-X-00001</t>
  </si>
  <si>
    <t>Direct / Pharmaceutical Drugs / Cardiovascular &amp; Hematopoietic System / Dyslipidaemic Agents / ATORVASTATIN + EZETIMIBE</t>
  </si>
  <si>
    <t>LIPI EZ 10MG TABLET</t>
  </si>
  <si>
    <t>3-A-AJ08-HW-CP54-AM46-X-00001</t>
  </si>
  <si>
    <t>3-K-BM4-BE13-JG71-XX09-00001</t>
  </si>
  <si>
    <t>Direct / Prostheses And Implants / Knee Joint Implants / Tibial Insert</t>
  </si>
  <si>
    <t>3-D-AK5-XX-CT05-XX09-00118</t>
  </si>
  <si>
    <t>Direct / Pharmaceutical Drugs / Hormones / Corticosteroid Hormones / METHYL PREDISOLONE SODIUM SUCCINATE</t>
  </si>
  <si>
    <t>3-A-CF64-DF-KP08-BN42-X-00001</t>
  </si>
  <si>
    <t xml:space="preserve">NEW </t>
  </si>
  <si>
    <t>Direct / Pharmaceutical Drugs / Cardiovascular &amp; Hematopoietic System / Anticoagulants, Antiplatelets &amp; Fibrinolytics (Thrombolytics) / FONDAPARINUX SODIUM</t>
  </si>
  <si>
    <t>CUTEFON 2.5MG INJECTION (FONDAPARINUX SODIUM INJECTION USP)-GLAND</t>
  </si>
  <si>
    <t>Direct / Medical Consumables / Patient Care Products / Soap/Shampoo / LULICONAZOLE + SALICYLIC ACID + ZINC PYRITHIONE</t>
  </si>
  <si>
    <t>Indirect.Medical &amp; Surgical Instruments.Other Medical &amp; Surgical Instruments.Surgical Instruments.Surgical Instruments Other</t>
  </si>
  <si>
    <t>MORSE RIB SPREADER F ADULTS-54.18.55 -MEDICON</t>
  </si>
  <si>
    <t>BIEMER VESSEL SPREADER 16CM-56.60.16 -MEDICON</t>
  </si>
  <si>
    <t>MODIFY-REJECTED</t>
  </si>
  <si>
    <t>Direct / Pharmaceutical Drugs / Eye / Ophthalmic Decongestants, Anesthetics, Anti-Inflammatories / PREDNISOLONE ACETATE</t>
  </si>
  <si>
    <t>Indirect / Medical &amp; Surgical Instruments / Other Medical &amp; Surgical Instruments / Surgical Instruments / Surgical Instruments Other</t>
  </si>
  <si>
    <t>HOHENFELLNER SCISSORS CURVED.255MM-BC639R-AESCULAP</t>
  </si>
  <si>
    <t>Direct / Pharmaceutical Drugs / Dermatological &amp; Personal Care / Topical Antifungals &amp; Antiparasites / AZITHROMYCIN + FLUCONAZOLE + SECNIDAZOLE</t>
  </si>
  <si>
    <t>FAS-3 KIT 1GM -HETERO HEALTHCARE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</si>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</sst>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8" fillId="0" borderId="0" xfId="0" applyFont="1" applyBorder="1"/>
    <xf numFmtId="0" fontId="6" fillId="0" borderId="0" xfId="0" applyFont="1" applyBorder="1" applyAlignment="1">
      <alignment horizontal="center"/>
    </xf>
    <xf numFmtId="20" fontId="6" fillId="0" borderId="0" xfId="0" applyNumberFormat="1" applyFont="1" applyBorder="1"/>
    <xf numFmtId="20" fontId="6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8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7" fillId="0" borderId="1" xfId="0" applyFont="1"/>
    <xf numFmtId="0" fontId="10" fillId="0" borderId="1" xfId="0" applyFont="1" applyAlignment="1">
      <alignment horizontal="left"/>
    </xf>
    <xf numFmtId="0" fontId="9" fillId="0" borderId="1" xfId="0" applyFont="1"/>
    <xf numFmtId="0" fontId="0" fillId="0" borderId="2" xfId="0" applyBorder="1"/>
    <xf numFmtId="20" fontId="7" fillId="0" borderId="1" xfId="0" applyNumberFormat="1" applyFont="1"/>
    <xf numFmtId="14" fontId="7" fillId="0" borderId="1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topLeftCell="N7" workbookViewId="0">
      <selection activeCell="V2" sqref="V2:W3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2.44140625" style="1" customWidth="1"/>
    <col min="9" max="9" width="93.5546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56</v>
      </c>
      <c r="B1" s="2" t="s">
        <v>2</v>
      </c>
      <c r="C1" s="2" t="s">
        <v>71</v>
      </c>
      <c r="D1" s="3" t="s">
        <v>33</v>
      </c>
      <c r="E1" s="3" t="s">
        <v>75</v>
      </c>
      <c r="F1" s="3" t="s">
        <v>53</v>
      </c>
      <c r="G1" s="3" t="s">
        <v>5</v>
      </c>
      <c r="H1" s="3" t="s">
        <v>34</v>
      </c>
      <c r="I1" s="3" t="s">
        <v>3</v>
      </c>
      <c r="J1" s="4" t="s">
        <v>41</v>
      </c>
      <c r="K1" s="4" t="s">
        <v>45</v>
      </c>
      <c r="L1" s="4" t="s">
        <v>26</v>
      </c>
      <c r="M1" s="4" t="s">
        <v>15</v>
      </c>
      <c r="N1" s="4" t="s">
        <v>8</v>
      </c>
      <c r="O1" s="4" t="s">
        <v>36</v>
      </c>
      <c r="P1" s="4" t="s">
        <v>14</v>
      </c>
      <c r="Q1" s="4" t="s">
        <v>43</v>
      </c>
      <c r="R1" s="4" t="s">
        <v>31</v>
      </c>
      <c r="S1" s="4" t="s">
        <v>65</v>
      </c>
      <c r="T1" s="4" t="s">
        <v>51</v>
      </c>
      <c r="U1" s="4" t="s">
        <v>13</v>
      </c>
      <c r="V1" s="1" t="s">
        <v>11</v>
      </c>
      <c r="W1" s="1" t="s">
        <v>60</v>
      </c>
    </row>
    <row r="2" spans="1:23" ht="12" customHeight="1" x14ac:dyDescent="0.3">
      <c r="A2">
        <v>96</v>
      </c>
      <c r="B2" s="5" t="s">
        <v>48</v>
      </c>
      <c r="C2" s="5" t="s">
        <v>62</v>
      </c>
      <c r="D2" s="6">
        <v>45174</v>
      </c>
      <c r="E2" s="7">
        <v>0.81805555555555598</v>
      </c>
      <c r="F2" s="5" t="s">
        <v>37</v>
      </c>
      <c r="G2" s="5" t="s">
        <v>70</v>
      </c>
      <c r="H2" s="8" t="s">
        <v>0</v>
      </c>
      <c r="I2" s="8" t="s">
        <v>32</v>
      </c>
      <c r="J2" t="s">
        <v>76</v>
      </c>
      <c r="K2" t="s">
        <v>37</v>
      </c>
      <c r="L2" s="14" t="s">
        <v>77</v>
      </c>
      <c r="M2" t="s">
        <v>78</v>
      </c>
      <c r="N2" s="15" t="s">
        <v>79</v>
      </c>
      <c r="O2" s="16"/>
      <c r="P2" s="17"/>
      <c r="Q2" s="18" t="s">
        <v>32</v>
      </c>
      <c r="R2"/>
      <c r="S2" s="17">
        <f t="shared" ref="S2:S36" si="0">P2-E2</f>
        <v>-0.81805555555555598</v>
      </c>
      <c r="T2" s="5"/>
      <c r="U2" s="9"/>
      <c r="V2" s="1" t="s">
        <v>142</v>
      </c>
      <c r="W2" s="1" t="s">
        <v>142</v>
      </c>
    </row>
    <row r="3" spans="1:23" ht="12" customHeight="1" x14ac:dyDescent="0.3">
      <c r="A3">
        <v>97</v>
      </c>
      <c r="B3" s="5" t="s">
        <v>48</v>
      </c>
      <c r="C3" s="5" t="s">
        <v>62</v>
      </c>
      <c r="D3" s="6">
        <v>45204</v>
      </c>
      <c r="E3" s="7">
        <v>0.27638888888888902</v>
      </c>
      <c r="F3" s="5"/>
      <c r="G3" s="5"/>
      <c r="H3" s="8" t="s">
        <v>0</v>
      </c>
      <c r="I3" s="8" t="s">
        <v>19</v>
      </c>
      <c r="J3" t="s">
        <v>80</v>
      </c>
      <c r="K3" t="s">
        <v>37</v>
      </c>
      <c r="L3" s="14" t="s">
        <v>81</v>
      </c>
      <c r="M3" t="s">
        <v>78</v>
      </c>
      <c r="N3" s="15" t="s">
        <v>79</v>
      </c>
      <c r="O3" s="16"/>
      <c r="P3" s="17"/>
      <c r="Q3" s="18" t="s">
        <v>19</v>
      </c>
      <c r="R3"/>
      <c r="S3" s="17">
        <f t="shared" si="0"/>
        <v>-0.27638888888888902</v>
      </c>
      <c r="T3" s="5"/>
      <c r="U3" s="9"/>
      <c r="V3" s="1" t="s">
        <v>142</v>
      </c>
      <c r="W3" s="1" t="s">
        <v>142</v>
      </c>
    </row>
    <row r="4" spans="1:23" ht="12" customHeight="1" x14ac:dyDescent="0.3">
      <c r="A4">
        <v>98</v>
      </c>
      <c r="B4" s="5" t="s">
        <v>48</v>
      </c>
      <c r="C4" s="5" t="s">
        <v>62</v>
      </c>
      <c r="D4" s="6">
        <v>45204</v>
      </c>
      <c r="E4" s="7">
        <v>0.36180555555555599</v>
      </c>
      <c r="F4" s="5" t="s">
        <v>61</v>
      </c>
      <c r="G4" s="5" t="s">
        <v>70</v>
      </c>
      <c r="H4" s="8" t="s">
        <v>72</v>
      </c>
      <c r="I4" s="8" t="s">
        <v>49</v>
      </c>
      <c r="J4" t="s">
        <v>80</v>
      </c>
      <c r="K4" t="s">
        <v>37</v>
      </c>
      <c r="L4" t="s">
        <v>82</v>
      </c>
      <c r="M4" t="s">
        <v>78</v>
      </c>
      <c r="N4" s="15" t="s">
        <v>79</v>
      </c>
      <c r="O4" s="16"/>
      <c r="P4" s="17"/>
      <c r="Q4" s="18" t="s">
        <v>83</v>
      </c>
      <c r="R4"/>
      <c r="S4" s="17">
        <f t="shared" si="0"/>
        <v>-0.36180555555555599</v>
      </c>
      <c r="T4" s="5"/>
      <c r="U4" s="5"/>
      <c r="V4" s="1" t="s">
        <v>142</v>
      </c>
      <c r="W4" s="1" t="s">
        <v>142</v>
      </c>
    </row>
    <row r="5" spans="1:23" ht="12" customHeight="1" x14ac:dyDescent="0.3">
      <c r="A5">
        <v>99</v>
      </c>
      <c r="B5" s="5" t="s">
        <v>48</v>
      </c>
      <c r="C5" s="5" t="s">
        <v>62</v>
      </c>
      <c r="D5" s="6">
        <v>45204</v>
      </c>
      <c r="E5" s="11">
        <v>0.250694444444444</v>
      </c>
      <c r="F5" s="5" t="s">
        <v>61</v>
      </c>
      <c r="G5" s="5" t="s">
        <v>70</v>
      </c>
      <c r="H5" s="5" t="s">
        <v>72</v>
      </c>
      <c r="I5" s="5" t="s">
        <v>10</v>
      </c>
      <c r="J5" t="s">
        <v>84</v>
      </c>
      <c r="K5" t="s">
        <v>85</v>
      </c>
      <c r="L5" t="s">
        <v>86</v>
      </c>
      <c r="M5" t="s">
        <v>78</v>
      </c>
      <c r="N5" s="15" t="s">
        <v>79</v>
      </c>
      <c r="O5" s="16"/>
      <c r="P5" s="17"/>
      <c r="Q5" t="s">
        <v>87</v>
      </c>
      <c r="R5"/>
      <c r="S5" s="17">
        <f t="shared" si="0"/>
        <v>-0.250694444444444</v>
      </c>
      <c r="T5" s="5"/>
      <c r="U5" s="5"/>
      <c r="V5" s="1" t="s">
        <v>142</v>
      </c>
      <c r="W5" s="1" t="s">
        <v>142</v>
      </c>
    </row>
    <row r="6" spans="1:23" ht="12" customHeight="1" x14ac:dyDescent="0.3">
      <c r="A6">
        <v>100</v>
      </c>
      <c r="B6" s="5" t="s">
        <v>48</v>
      </c>
      <c r="C6" s="5" t="s">
        <v>62</v>
      </c>
      <c r="D6" s="6">
        <v>45204</v>
      </c>
      <c r="E6" s="11">
        <v>0.25486111111111098</v>
      </c>
      <c r="F6" s="5" t="s">
        <v>61</v>
      </c>
      <c r="G6" s="5" t="s">
        <v>70</v>
      </c>
      <c r="H6" s="5" t="s">
        <v>72</v>
      </c>
      <c r="I6" s="5" t="s">
        <v>9</v>
      </c>
      <c r="J6" t="s">
        <v>84</v>
      </c>
      <c r="K6" t="s">
        <v>85</v>
      </c>
      <c r="L6" t="s">
        <v>88</v>
      </c>
      <c r="M6" t="s">
        <v>78</v>
      </c>
      <c r="N6" s="15" t="s">
        <v>79</v>
      </c>
      <c r="O6" s="16"/>
      <c r="P6" s="17"/>
      <c r="Q6" t="s">
        <v>89</v>
      </c>
      <c r="R6"/>
      <c r="S6" s="17">
        <f t="shared" si="0"/>
        <v>-0.25486111111111098</v>
      </c>
      <c r="T6" s="5"/>
      <c r="U6" s="9"/>
      <c r="V6" s="1" t="s">
        <v>142</v>
      </c>
      <c r="W6" s="1" t="s">
        <v>142</v>
      </c>
    </row>
    <row r="7" spans="1:23" ht="12" customHeight="1" x14ac:dyDescent="0.3">
      <c r="A7">
        <v>101</v>
      </c>
      <c r="B7" s="5" t="s">
        <v>48</v>
      </c>
      <c r="C7" s="5" t="s">
        <v>62</v>
      </c>
      <c r="D7" s="6">
        <v>45204</v>
      </c>
      <c r="E7" s="11">
        <v>0.25763888888888897</v>
      </c>
      <c r="F7" s="5" t="s">
        <v>61</v>
      </c>
      <c r="G7" s="5" t="s">
        <v>70</v>
      </c>
      <c r="H7" s="5" t="s">
        <v>72</v>
      </c>
      <c r="I7" s="5" t="s">
        <v>42</v>
      </c>
      <c r="J7" t="s">
        <v>84</v>
      </c>
      <c r="K7" t="s">
        <v>85</v>
      </c>
      <c r="L7" t="s">
        <v>86</v>
      </c>
      <c r="M7" t="s">
        <v>78</v>
      </c>
      <c r="N7" s="15" t="s">
        <v>79</v>
      </c>
      <c r="O7" s="16"/>
      <c r="P7" s="17"/>
      <c r="Q7" t="s">
        <v>90</v>
      </c>
      <c r="R7"/>
      <c r="S7" s="17">
        <f t="shared" si="0"/>
        <v>-0.25763888888888897</v>
      </c>
      <c r="T7" s="5"/>
      <c r="U7" s="5"/>
      <c r="V7" s="1" t="s">
        <v>142</v>
      </c>
      <c r="W7" s="1" t="s">
        <v>142</v>
      </c>
    </row>
    <row r="8" spans="1:23" ht="12" customHeight="1" x14ac:dyDescent="0.3">
      <c r="A8">
        <v>102</v>
      </c>
      <c r="B8" s="5" t="s">
        <v>48</v>
      </c>
      <c r="C8" s="5" t="s">
        <v>62</v>
      </c>
      <c r="D8" s="6">
        <v>45204</v>
      </c>
      <c r="E8" s="11">
        <v>0.25902777777777802</v>
      </c>
      <c r="F8" s="5" t="s">
        <v>61</v>
      </c>
      <c r="G8" s="5" t="s">
        <v>70</v>
      </c>
      <c r="H8" s="5" t="s">
        <v>72</v>
      </c>
      <c r="I8" s="5" t="s">
        <v>21</v>
      </c>
      <c r="J8"/>
      <c r="K8"/>
      <c r="L8" s="14" t="s">
        <v>86</v>
      </c>
      <c r="M8" t="s">
        <v>78</v>
      </c>
      <c r="N8" s="15" t="s">
        <v>79</v>
      </c>
      <c r="O8" s="16"/>
      <c r="P8" s="17"/>
      <c r="Q8" t="s">
        <v>91</v>
      </c>
      <c r="R8"/>
      <c r="S8" s="17">
        <f t="shared" si="0"/>
        <v>-0.25902777777777802</v>
      </c>
      <c r="T8" s="5"/>
      <c r="U8" s="9"/>
      <c r="V8" s="1" t="s">
        <v>142</v>
      </c>
      <c r="W8" s="1" t="s">
        <v>142</v>
      </c>
    </row>
    <row r="9" spans="1:23" ht="12" customHeight="1" x14ac:dyDescent="0.3">
      <c r="A9">
        <v>103</v>
      </c>
      <c r="B9" s="5" t="s">
        <v>48</v>
      </c>
      <c r="C9" s="5" t="s">
        <v>62</v>
      </c>
      <c r="D9" s="6">
        <v>45204</v>
      </c>
      <c r="E9" s="10"/>
      <c r="F9" s="5"/>
      <c r="G9" s="5"/>
      <c r="H9" s="8" t="s">
        <v>30</v>
      </c>
      <c r="I9" s="8" t="s">
        <v>73</v>
      </c>
      <c r="J9" t="s">
        <v>80</v>
      </c>
      <c r="K9" t="s">
        <v>37</v>
      </c>
      <c r="L9" s="19" t="s">
        <v>92</v>
      </c>
      <c r="M9" t="s">
        <v>78</v>
      </c>
      <c r="N9" s="15" t="s">
        <v>79</v>
      </c>
      <c r="O9" s="16"/>
      <c r="P9" s="17"/>
      <c r="Q9" s="18" t="s">
        <v>93</v>
      </c>
      <c r="R9"/>
      <c r="S9" s="17">
        <f t="shared" si="0"/>
        <v>0</v>
      </c>
      <c r="T9" s="5"/>
      <c r="U9" s="5"/>
      <c r="V9" s="1" t="s">
        <v>142</v>
      </c>
      <c r="W9" s="1" t="s">
        <v>142</v>
      </c>
    </row>
    <row r="10" spans="1:23" ht="12" customHeight="1" x14ac:dyDescent="0.3">
      <c r="A10">
        <v>104</v>
      </c>
      <c r="B10" s="5" t="s">
        <v>48</v>
      </c>
      <c r="C10" s="5" t="s">
        <v>62</v>
      </c>
      <c r="D10" s="6">
        <v>45204</v>
      </c>
      <c r="E10" s="7">
        <v>0.47569444444444398</v>
      </c>
      <c r="F10" s="5" t="s">
        <v>61</v>
      </c>
      <c r="G10" s="5" t="s">
        <v>55</v>
      </c>
      <c r="H10" s="13" t="s">
        <v>63</v>
      </c>
      <c r="I10" s="13" t="s">
        <v>35</v>
      </c>
      <c r="J10" t="s">
        <v>84</v>
      </c>
      <c r="K10" t="s">
        <v>94</v>
      </c>
      <c r="L10" s="14" t="s">
        <v>95</v>
      </c>
      <c r="M10" t="s">
        <v>78</v>
      </c>
      <c r="N10" s="15" t="s">
        <v>79</v>
      </c>
      <c r="O10" s="16"/>
      <c r="P10" s="17"/>
      <c r="Q10" s="20" t="s">
        <v>35</v>
      </c>
      <c r="R10"/>
      <c r="S10" s="17">
        <f t="shared" si="0"/>
        <v>-0.47569444444444398</v>
      </c>
      <c r="T10" s="5"/>
      <c r="U10" s="5"/>
      <c r="V10" s="1" t="s">
        <v>142</v>
      </c>
      <c r="W10" s="1" t="s">
        <v>142</v>
      </c>
    </row>
    <row r="11" spans="1:23" ht="12" customHeight="1" x14ac:dyDescent="0.3">
      <c r="A11">
        <v>105</v>
      </c>
      <c r="B11" s="5" t="s">
        <v>48</v>
      </c>
      <c r="C11" s="5" t="s">
        <v>62</v>
      </c>
      <c r="D11" s="6">
        <v>45204</v>
      </c>
      <c r="E11" s="11">
        <v>0.47638888888888897</v>
      </c>
      <c r="F11" s="5" t="s">
        <v>61</v>
      </c>
      <c r="G11" s="5" t="s">
        <v>70</v>
      </c>
      <c r="H11" s="5" t="s">
        <v>46</v>
      </c>
      <c r="I11" s="5" t="s">
        <v>6</v>
      </c>
      <c r="J11"/>
      <c r="K11"/>
      <c r="L11" s="14" t="s">
        <v>96</v>
      </c>
      <c r="M11" t="s">
        <v>78</v>
      </c>
      <c r="N11" s="15" t="s">
        <v>79</v>
      </c>
      <c r="O11" s="16"/>
      <c r="P11" s="17"/>
      <c r="Q11"/>
      <c r="R11"/>
      <c r="S11" s="17">
        <f t="shared" si="0"/>
        <v>-0.47638888888888897</v>
      </c>
      <c r="T11" s="5"/>
      <c r="U11" s="9"/>
      <c r="V11" s="1" t="s">
        <v>142</v>
      </c>
      <c r="W11" s="1" t="s">
        <v>142</v>
      </c>
    </row>
    <row r="12" spans="1:23" ht="12" customHeight="1" x14ac:dyDescent="0.3">
      <c r="A12">
        <v>106</v>
      </c>
      <c r="B12" s="5" t="s">
        <v>48</v>
      </c>
      <c r="C12" s="5" t="s">
        <v>62</v>
      </c>
      <c r="D12" s="6">
        <v>45204</v>
      </c>
      <c r="E12" s="7">
        <v>0.44583333333333303</v>
      </c>
      <c r="F12" s="5" t="s">
        <v>61</v>
      </c>
      <c r="G12" s="5" t="s">
        <v>70</v>
      </c>
      <c r="H12" s="8" t="s">
        <v>30</v>
      </c>
      <c r="I12" s="5" t="s">
        <v>47</v>
      </c>
      <c r="J12" t="s">
        <v>80</v>
      </c>
      <c r="K12" t="s">
        <v>61</v>
      </c>
      <c r="L12" s="14" t="s">
        <v>97</v>
      </c>
      <c r="M12" t="s">
        <v>78</v>
      </c>
      <c r="N12" s="15" t="s">
        <v>79</v>
      </c>
      <c r="O12" s="16"/>
      <c r="P12" s="17"/>
      <c r="Q12" s="21" t="s">
        <v>98</v>
      </c>
      <c r="R12"/>
      <c r="S12" s="17">
        <f t="shared" si="0"/>
        <v>-0.44583333333333303</v>
      </c>
      <c r="T12" s="5"/>
      <c r="U12" s="9"/>
      <c r="V12" s="1" t="s">
        <v>142</v>
      </c>
      <c r="W12" s="1" t="s">
        <v>142</v>
      </c>
    </row>
    <row r="13" spans="1:23" ht="12" customHeight="1" x14ac:dyDescent="0.3">
      <c r="A13">
        <v>107</v>
      </c>
      <c r="B13" s="5" t="s">
        <v>48</v>
      </c>
      <c r="C13" s="5" t="s">
        <v>62</v>
      </c>
      <c r="D13" s="6">
        <v>45204</v>
      </c>
      <c r="E13" s="7">
        <v>0.500694444444444</v>
      </c>
      <c r="F13" s="5" t="s">
        <v>61</v>
      </c>
      <c r="G13" s="5" t="s">
        <v>55</v>
      </c>
      <c r="H13" s="5"/>
      <c r="I13" s="8" t="s">
        <v>27</v>
      </c>
      <c r="J13" t="s">
        <v>76</v>
      </c>
      <c r="K13" t="s">
        <v>99</v>
      </c>
      <c r="L13" s="14" t="s">
        <v>100</v>
      </c>
      <c r="M13" t="s">
        <v>78</v>
      </c>
      <c r="N13" s="15" t="s">
        <v>79</v>
      </c>
      <c r="O13" s="16"/>
      <c r="P13" s="17"/>
      <c r="Q13" t="s">
        <v>101</v>
      </c>
      <c r="R13"/>
      <c r="S13" s="17">
        <f t="shared" si="0"/>
        <v>-0.500694444444444</v>
      </c>
      <c r="T13" s="5"/>
      <c r="U13" s="9"/>
      <c r="V13" s="1" t="s">
        <v>142</v>
      </c>
      <c r="W13" s="1" t="s">
        <v>142</v>
      </c>
    </row>
    <row r="14" spans="1:23" ht="12" customHeight="1" x14ac:dyDescent="0.3">
      <c r="A14">
        <v>108</v>
      </c>
      <c r="B14" s="5" t="s">
        <v>48</v>
      </c>
      <c r="C14" s="5" t="s">
        <v>62</v>
      </c>
      <c r="D14" s="6">
        <v>45204</v>
      </c>
      <c r="E14" s="7">
        <v>0.45486111111111099</v>
      </c>
      <c r="F14" s="5" t="s">
        <v>61</v>
      </c>
      <c r="G14" s="5" t="s">
        <v>55</v>
      </c>
      <c r="H14" s="8" t="s">
        <v>64</v>
      </c>
      <c r="I14" s="8" t="s">
        <v>28</v>
      </c>
      <c r="J14" t="s">
        <v>80</v>
      </c>
      <c r="K14" t="s">
        <v>99</v>
      </c>
      <c r="L14" s="14" t="s">
        <v>102</v>
      </c>
      <c r="M14" t="s">
        <v>78</v>
      </c>
      <c r="N14" s="15" t="s">
        <v>79</v>
      </c>
      <c r="O14" s="16"/>
      <c r="P14" s="17"/>
      <c r="Q14" t="s">
        <v>103</v>
      </c>
      <c r="R14"/>
      <c r="S14" s="17">
        <f t="shared" si="0"/>
        <v>-0.45486111111111099</v>
      </c>
      <c r="T14" s="5"/>
      <c r="U14" s="9"/>
      <c r="V14" s="1" t="s">
        <v>142</v>
      </c>
      <c r="W14" s="1" t="s">
        <v>142</v>
      </c>
    </row>
    <row r="15" spans="1:23" ht="12" customHeight="1" x14ac:dyDescent="0.3">
      <c r="A15">
        <v>109</v>
      </c>
      <c r="B15" s="5" t="s">
        <v>48</v>
      </c>
      <c r="C15" s="5" t="s">
        <v>62</v>
      </c>
      <c r="D15" s="6">
        <v>45204</v>
      </c>
      <c r="E15" s="12">
        <v>0.454166666666667</v>
      </c>
      <c r="F15" s="5"/>
      <c r="G15" s="5"/>
      <c r="H15" s="8" t="s">
        <v>64</v>
      </c>
      <c r="I15" s="5" t="s">
        <v>74</v>
      </c>
      <c r="J15"/>
      <c r="K15"/>
      <c r="L15"/>
      <c r="M15" t="s">
        <v>78</v>
      </c>
      <c r="N15" s="15" t="s">
        <v>79</v>
      </c>
      <c r="O15" s="16"/>
      <c r="P15" s="17"/>
      <c r="Q15" s="14" t="s">
        <v>104</v>
      </c>
      <c r="R15"/>
      <c r="S15" s="17">
        <f t="shared" si="0"/>
        <v>-0.454166666666667</v>
      </c>
      <c r="T15" s="5"/>
      <c r="U15" s="9"/>
      <c r="V15" s="1" t="s">
        <v>142</v>
      </c>
      <c r="W15" s="1" t="s">
        <v>142</v>
      </c>
    </row>
    <row r="16" spans="1:23" ht="12" customHeight="1" x14ac:dyDescent="0.3">
      <c r="A16">
        <v>110</v>
      </c>
      <c r="B16" s="5" t="s">
        <v>48</v>
      </c>
      <c r="C16" s="5" t="s">
        <v>62</v>
      </c>
      <c r="D16" s="6">
        <v>45204</v>
      </c>
      <c r="E16" s="7">
        <v>0.51875000000000004</v>
      </c>
      <c r="F16" s="5"/>
      <c r="G16" s="5"/>
      <c r="H16" s="8" t="s">
        <v>67</v>
      </c>
      <c r="I16" s="8" t="s">
        <v>68</v>
      </c>
      <c r="J16" t="s">
        <v>80</v>
      </c>
      <c r="K16" t="s">
        <v>37</v>
      </c>
      <c r="L16" s="14" t="s">
        <v>105</v>
      </c>
      <c r="M16" t="s">
        <v>78</v>
      </c>
      <c r="N16" s="15" t="s">
        <v>79</v>
      </c>
      <c r="O16" s="16"/>
      <c r="P16" s="22">
        <v>0.65763888888888888</v>
      </c>
      <c r="Q16" s="18" t="s">
        <v>68</v>
      </c>
      <c r="R16" s="20" t="s">
        <v>106</v>
      </c>
      <c r="S16" s="17">
        <f t="shared" si="0"/>
        <v>0.13888888888888884</v>
      </c>
      <c r="T16" s="5"/>
      <c r="U16" s="5"/>
      <c r="V16" s="1" t="s">
        <v>142</v>
      </c>
      <c r="W16" s="1" t="s">
        <v>142</v>
      </c>
    </row>
    <row r="17" spans="1:23" ht="12" customHeight="1" x14ac:dyDescent="0.3">
      <c r="A17">
        <v>111</v>
      </c>
      <c r="B17" s="5" t="s">
        <v>48</v>
      </c>
      <c r="C17" s="5" t="s">
        <v>62</v>
      </c>
      <c r="D17" s="6">
        <v>45204</v>
      </c>
      <c r="E17" s="7">
        <v>0.51666666666666705</v>
      </c>
      <c r="F17" s="5"/>
      <c r="G17" s="5"/>
      <c r="H17" s="8" t="s">
        <v>67</v>
      </c>
      <c r="I17" s="8" t="s">
        <v>54</v>
      </c>
      <c r="J17" t="s">
        <v>80</v>
      </c>
      <c r="K17" t="s">
        <v>37</v>
      </c>
      <c r="L17" s="14" t="s">
        <v>105</v>
      </c>
      <c r="M17" t="s">
        <v>78</v>
      </c>
      <c r="N17" s="15" t="s">
        <v>79</v>
      </c>
      <c r="O17" s="16"/>
      <c r="P17" s="17">
        <v>0.78888888888888886</v>
      </c>
      <c r="Q17" t="s">
        <v>107</v>
      </c>
      <c r="R17" s="20" t="s">
        <v>108</v>
      </c>
      <c r="S17" s="17">
        <f t="shared" si="0"/>
        <v>0.27222222222222181</v>
      </c>
      <c r="T17" s="5"/>
      <c r="U17" s="5"/>
      <c r="V17" s="1" t="s">
        <v>142</v>
      </c>
      <c r="W17" s="1" t="s">
        <v>142</v>
      </c>
    </row>
    <row r="18" spans="1:23" ht="12" customHeight="1" x14ac:dyDescent="0.3">
      <c r="A18">
        <v>112</v>
      </c>
      <c r="B18" s="5" t="s">
        <v>48</v>
      </c>
      <c r="C18" s="5" t="s">
        <v>62</v>
      </c>
      <c r="D18" s="6">
        <v>45204</v>
      </c>
      <c r="E18" s="7">
        <v>0.51944444444444404</v>
      </c>
      <c r="F18" s="5" t="s">
        <v>61</v>
      </c>
      <c r="G18" s="5" t="s">
        <v>70</v>
      </c>
      <c r="H18" s="8" t="s">
        <v>64</v>
      </c>
      <c r="I18" s="8" t="s">
        <v>12</v>
      </c>
      <c r="J18" t="s">
        <v>80</v>
      </c>
      <c r="K18" t="s">
        <v>61</v>
      </c>
      <c r="L18" s="14" t="s">
        <v>109</v>
      </c>
      <c r="M18" t="s">
        <v>78</v>
      </c>
      <c r="N18" s="15" t="s">
        <v>79</v>
      </c>
      <c r="O18" s="16"/>
      <c r="P18" s="17"/>
      <c r="Q18" t="s">
        <v>110</v>
      </c>
      <c r="R18"/>
      <c r="S18" s="17">
        <f t="shared" si="0"/>
        <v>-0.51944444444444404</v>
      </c>
      <c r="T18" s="5"/>
      <c r="U18" s="5"/>
      <c r="V18" s="1" t="s">
        <v>142</v>
      </c>
      <c r="W18" s="1" t="s">
        <v>142</v>
      </c>
    </row>
    <row r="19" spans="1:23" ht="12" customHeight="1" x14ac:dyDescent="0.3">
      <c r="A19">
        <v>113</v>
      </c>
      <c r="B19" s="5" t="s">
        <v>48</v>
      </c>
      <c r="C19" s="5" t="s">
        <v>62</v>
      </c>
      <c r="D19" s="6">
        <v>45204</v>
      </c>
      <c r="E19" s="10"/>
      <c r="F19" s="5" t="s">
        <v>61</v>
      </c>
      <c r="G19" s="5" t="s">
        <v>70</v>
      </c>
      <c r="H19" s="8" t="s">
        <v>64</v>
      </c>
      <c r="I19" s="8" t="s">
        <v>17</v>
      </c>
      <c r="J19" t="s">
        <v>80</v>
      </c>
      <c r="K19" t="s">
        <v>61</v>
      </c>
      <c r="L19" s="14" t="s">
        <v>109</v>
      </c>
      <c r="M19" t="s">
        <v>78</v>
      </c>
      <c r="N19" s="15" t="s">
        <v>79</v>
      </c>
      <c r="O19" s="16"/>
      <c r="P19" s="17"/>
      <c r="Q19" t="s">
        <v>111</v>
      </c>
      <c r="R19"/>
      <c r="S19" s="17">
        <f t="shared" si="0"/>
        <v>0</v>
      </c>
      <c r="T19" s="5"/>
      <c r="U19" s="5"/>
      <c r="V19" s="1" t="s">
        <v>142</v>
      </c>
      <c r="W19" s="1" t="s">
        <v>142</v>
      </c>
    </row>
    <row r="20" spans="1:23" ht="12" customHeight="1" x14ac:dyDescent="0.3">
      <c r="A20">
        <v>114</v>
      </c>
      <c r="B20" s="5" t="s">
        <v>48</v>
      </c>
      <c r="C20" s="5" t="s">
        <v>62</v>
      </c>
      <c r="D20" s="6">
        <v>45204</v>
      </c>
      <c r="E20" s="10"/>
      <c r="F20" s="5" t="s">
        <v>61</v>
      </c>
      <c r="G20" s="5" t="s">
        <v>70</v>
      </c>
      <c r="H20" s="8" t="s">
        <v>64</v>
      </c>
      <c r="I20" s="8" t="s">
        <v>44</v>
      </c>
      <c r="J20" t="s">
        <v>80</v>
      </c>
      <c r="K20" t="s">
        <v>61</v>
      </c>
      <c r="L20" s="21" t="s">
        <v>112</v>
      </c>
      <c r="M20" t="s">
        <v>78</v>
      </c>
      <c r="N20" s="15" t="s">
        <v>79</v>
      </c>
      <c r="O20" s="16"/>
      <c r="P20" s="17"/>
      <c r="Q20" t="s">
        <v>113</v>
      </c>
      <c r="R20"/>
      <c r="S20" s="17">
        <f t="shared" si="0"/>
        <v>0</v>
      </c>
      <c r="T20" s="5"/>
      <c r="U20" s="5"/>
      <c r="V20" s="1" t="s">
        <v>142</v>
      </c>
      <c r="W20" s="1" t="s">
        <v>142</v>
      </c>
    </row>
    <row r="21" spans="1:23" ht="12" customHeight="1" x14ac:dyDescent="0.3">
      <c r="A21">
        <v>115</v>
      </c>
      <c r="B21" s="5" t="s">
        <v>48</v>
      </c>
      <c r="C21" s="5" t="s">
        <v>62</v>
      </c>
      <c r="D21" s="6">
        <v>45204</v>
      </c>
      <c r="E21" s="10"/>
      <c r="F21" s="5" t="s">
        <v>61</v>
      </c>
      <c r="G21" s="5" t="s">
        <v>70</v>
      </c>
      <c r="H21" s="8" t="s">
        <v>64</v>
      </c>
      <c r="I21" s="8" t="s">
        <v>18</v>
      </c>
      <c r="J21" t="s">
        <v>80</v>
      </c>
      <c r="K21" t="s">
        <v>61</v>
      </c>
      <c r="L21" s="21" t="s">
        <v>112</v>
      </c>
      <c r="M21" t="s">
        <v>78</v>
      </c>
      <c r="N21" s="15" t="s">
        <v>79</v>
      </c>
      <c r="O21" s="16"/>
      <c r="P21" s="17"/>
      <c r="Q21" t="s">
        <v>114</v>
      </c>
      <c r="R21"/>
      <c r="S21" s="17">
        <f t="shared" si="0"/>
        <v>0</v>
      </c>
      <c r="T21" s="5"/>
      <c r="U21" s="5"/>
      <c r="V21" s="1" t="s">
        <v>142</v>
      </c>
      <c r="W21" s="1" t="s">
        <v>142</v>
      </c>
    </row>
    <row r="22" spans="1:23" ht="12" customHeight="1" x14ac:dyDescent="0.3">
      <c r="A22">
        <v>116</v>
      </c>
      <c r="B22" s="5" t="s">
        <v>48</v>
      </c>
      <c r="C22" s="5" t="s">
        <v>62</v>
      </c>
      <c r="D22" s="6">
        <v>45204</v>
      </c>
      <c r="E22" s="7">
        <v>0.52430555555555602</v>
      </c>
      <c r="F22" s="5" t="s">
        <v>37</v>
      </c>
      <c r="G22" s="5" t="s">
        <v>70</v>
      </c>
      <c r="H22" s="8" t="s">
        <v>67</v>
      </c>
      <c r="I22" s="8" t="s">
        <v>50</v>
      </c>
      <c r="J22" t="s">
        <v>80</v>
      </c>
      <c r="K22" t="s">
        <v>37</v>
      </c>
      <c r="L22" s="14" t="s">
        <v>105</v>
      </c>
      <c r="M22" t="s">
        <v>78</v>
      </c>
      <c r="N22" s="15" t="s">
        <v>79</v>
      </c>
      <c r="O22" s="16"/>
      <c r="P22" s="22">
        <v>0.65694444444444444</v>
      </c>
      <c r="Q22" t="s">
        <v>115</v>
      </c>
      <c r="R22" s="20" t="s">
        <v>116</v>
      </c>
      <c r="S22" s="17">
        <f t="shared" si="0"/>
        <v>0.13263888888888842</v>
      </c>
      <c r="T22" s="5"/>
      <c r="U22" s="9"/>
      <c r="V22" s="1" t="s">
        <v>142</v>
      </c>
      <c r="W22" s="1" t="s">
        <v>142</v>
      </c>
    </row>
    <row r="23" spans="1:23" ht="12" customHeight="1" x14ac:dyDescent="0.3">
      <c r="A23">
        <v>117</v>
      </c>
      <c r="B23" s="5" t="s">
        <v>48</v>
      </c>
      <c r="C23" s="5" t="s">
        <v>62</v>
      </c>
      <c r="D23" s="6">
        <v>45204</v>
      </c>
      <c r="E23" s="7">
        <v>0.55208333333333304</v>
      </c>
      <c r="F23" s="5" t="s">
        <v>37</v>
      </c>
      <c r="G23" s="5" t="s">
        <v>70</v>
      </c>
      <c r="H23" s="8" t="s">
        <v>46</v>
      </c>
      <c r="I23" s="8" t="s">
        <v>40</v>
      </c>
      <c r="J23" t="s">
        <v>76</v>
      </c>
      <c r="K23" t="s">
        <v>37</v>
      </c>
      <c r="L23" s="21" t="s">
        <v>117</v>
      </c>
      <c r="M23" t="s">
        <v>78</v>
      </c>
      <c r="N23" s="15" t="s">
        <v>79</v>
      </c>
      <c r="O23" s="16"/>
      <c r="P23" s="17"/>
      <c r="Q23" s="18" t="s">
        <v>40</v>
      </c>
      <c r="R23"/>
      <c r="S23" s="17">
        <f t="shared" si="0"/>
        <v>-0.55208333333333304</v>
      </c>
      <c r="T23" s="5"/>
      <c r="U23" s="5"/>
      <c r="V23" s="1" t="s">
        <v>142</v>
      </c>
      <c r="W23" s="1" t="s">
        <v>142</v>
      </c>
    </row>
    <row r="24" spans="1:23" ht="12" customHeight="1" x14ac:dyDescent="0.3">
      <c r="A24">
        <v>118</v>
      </c>
      <c r="B24" s="5" t="s">
        <v>48</v>
      </c>
      <c r="C24" s="5" t="s">
        <v>62</v>
      </c>
      <c r="D24" s="6">
        <v>45204</v>
      </c>
      <c r="E24" s="7">
        <v>0.55486111111111103</v>
      </c>
      <c r="F24" s="5" t="s">
        <v>37</v>
      </c>
      <c r="G24" s="5" t="s">
        <v>70</v>
      </c>
      <c r="H24" s="8" t="s">
        <v>46</v>
      </c>
      <c r="I24" s="8" t="s">
        <v>57</v>
      </c>
      <c r="J24" t="s">
        <v>76</v>
      </c>
      <c r="K24" t="s">
        <v>37</v>
      </c>
      <c r="L24" s="21" t="s">
        <v>117</v>
      </c>
      <c r="M24" t="s">
        <v>78</v>
      </c>
      <c r="N24" s="15" t="s">
        <v>79</v>
      </c>
      <c r="O24" s="16"/>
      <c r="P24" s="17"/>
      <c r="Q24" t="s">
        <v>118</v>
      </c>
      <c r="R24"/>
      <c r="S24" s="17">
        <f t="shared" si="0"/>
        <v>-0.55486111111111103</v>
      </c>
      <c r="T24" s="5"/>
      <c r="U24" s="9"/>
      <c r="V24" s="1" t="s">
        <v>142</v>
      </c>
      <c r="W24" s="1" t="s">
        <v>142</v>
      </c>
    </row>
    <row r="25" spans="1:23" ht="12" customHeight="1" x14ac:dyDescent="0.3">
      <c r="A25">
        <v>119</v>
      </c>
      <c r="B25" s="5" t="s">
        <v>48</v>
      </c>
      <c r="C25" s="5" t="s">
        <v>62</v>
      </c>
      <c r="D25" s="6">
        <v>45204</v>
      </c>
      <c r="E25" s="7">
        <v>0.57847222222222205</v>
      </c>
      <c r="F25" s="5" t="s">
        <v>37</v>
      </c>
      <c r="G25" s="5" t="s">
        <v>70</v>
      </c>
      <c r="H25" s="8" t="s">
        <v>52</v>
      </c>
      <c r="I25" s="8" t="s">
        <v>66</v>
      </c>
      <c r="J25" t="s">
        <v>80</v>
      </c>
      <c r="K25" t="s">
        <v>37</v>
      </c>
      <c r="L25" s="19" t="s">
        <v>119</v>
      </c>
      <c r="M25" t="s">
        <v>78</v>
      </c>
      <c r="N25" s="15" t="s">
        <v>79</v>
      </c>
      <c r="O25" s="23">
        <v>45056</v>
      </c>
      <c r="P25" s="22">
        <v>0.65902777777777777</v>
      </c>
      <c r="Q25" s="18" t="s">
        <v>66</v>
      </c>
      <c r="R25" s="20" t="s">
        <v>120</v>
      </c>
      <c r="S25" s="17">
        <f t="shared" si="0"/>
        <v>8.0555555555555713E-2</v>
      </c>
      <c r="T25" s="5"/>
      <c r="U25" s="9"/>
      <c r="V25" s="1" t="s">
        <v>142</v>
      </c>
      <c r="W25" s="1" t="s">
        <v>142</v>
      </c>
    </row>
    <row r="26" spans="1:23" ht="12" customHeight="1" x14ac:dyDescent="0.3">
      <c r="A26">
        <v>120</v>
      </c>
      <c r="B26" s="5" t="s">
        <v>48</v>
      </c>
      <c r="C26" s="5" t="s">
        <v>62</v>
      </c>
      <c r="D26" s="6">
        <v>45204</v>
      </c>
      <c r="E26" s="7">
        <v>0.63194444444444398</v>
      </c>
      <c r="F26" s="5" t="s">
        <v>37</v>
      </c>
      <c r="G26" s="5" t="s">
        <v>70</v>
      </c>
      <c r="H26" s="8" t="s">
        <v>7</v>
      </c>
      <c r="I26" s="8" t="s">
        <v>24</v>
      </c>
      <c r="J26" t="s">
        <v>80</v>
      </c>
      <c r="K26" t="s">
        <v>37</v>
      </c>
      <c r="L26" s="14" t="s">
        <v>121</v>
      </c>
      <c r="M26" t="s">
        <v>78</v>
      </c>
      <c r="N26" s="15" t="s">
        <v>79</v>
      </c>
      <c r="O26" s="23">
        <v>45056</v>
      </c>
      <c r="P26" s="22">
        <v>0.68819444444444444</v>
      </c>
      <c r="Q26" t="s">
        <v>122</v>
      </c>
      <c r="R26" s="20" t="s">
        <v>123</v>
      </c>
      <c r="S26" s="17">
        <f t="shared" si="0"/>
        <v>5.6250000000000466E-2</v>
      </c>
      <c r="T26" s="5"/>
      <c r="U26" s="5"/>
      <c r="V26" s="1" t="s">
        <v>142</v>
      </c>
      <c r="W26" s="1" t="s">
        <v>142</v>
      </c>
    </row>
    <row r="27" spans="1:23" ht="12" customHeight="1" x14ac:dyDescent="0.3">
      <c r="A27">
        <v>121</v>
      </c>
      <c r="B27" s="5" t="s">
        <v>48</v>
      </c>
      <c r="C27" s="5" t="s">
        <v>62</v>
      </c>
      <c r="D27" s="6">
        <v>45174</v>
      </c>
      <c r="E27" s="7">
        <v>0.79930555555555605</v>
      </c>
      <c r="F27" s="5" t="s">
        <v>61</v>
      </c>
      <c r="G27" s="5" t="s">
        <v>70</v>
      </c>
      <c r="H27" s="8" t="s">
        <v>46</v>
      </c>
      <c r="I27" s="8" t="s">
        <v>58</v>
      </c>
      <c r="J27" t="s">
        <v>76</v>
      </c>
      <c r="K27" t="s">
        <v>37</v>
      </c>
      <c r="L27"/>
      <c r="M27" t="s">
        <v>78</v>
      </c>
      <c r="N27" s="15" t="s">
        <v>79</v>
      </c>
      <c r="O27" s="23">
        <v>45056</v>
      </c>
      <c r="P27" s="22">
        <v>0.68819444444444444</v>
      </c>
      <c r="Q27" s="18" t="s">
        <v>58</v>
      </c>
      <c r="R27" s="20" t="s">
        <v>124</v>
      </c>
      <c r="S27" s="17">
        <f t="shared" si="0"/>
        <v>-0.1111111111111116</v>
      </c>
      <c r="T27" s="5"/>
      <c r="U27" s="5"/>
      <c r="V27" s="1" t="s">
        <v>142</v>
      </c>
      <c r="W27" s="1" t="s">
        <v>142</v>
      </c>
    </row>
    <row r="28" spans="1:23" ht="12" customHeight="1" x14ac:dyDescent="0.3">
      <c r="A28">
        <v>122</v>
      </c>
      <c r="B28" s="5" t="s">
        <v>48</v>
      </c>
      <c r="C28" s="5" t="s">
        <v>62</v>
      </c>
      <c r="D28" s="6">
        <v>45204</v>
      </c>
      <c r="E28" s="7">
        <v>0.67430555555555605</v>
      </c>
      <c r="F28" s="5" t="s">
        <v>61</v>
      </c>
      <c r="G28" s="5" t="s">
        <v>70</v>
      </c>
      <c r="H28" s="8" t="s">
        <v>7</v>
      </c>
      <c r="I28" s="5" t="s">
        <v>20</v>
      </c>
      <c r="J28" t="s">
        <v>76</v>
      </c>
      <c r="K28" t="s">
        <v>61</v>
      </c>
      <c r="L28" s="14" t="s">
        <v>125</v>
      </c>
      <c r="M28" t="s">
        <v>78</v>
      </c>
      <c r="N28" s="15" t="s">
        <v>79</v>
      </c>
      <c r="O28" s="23">
        <v>45056</v>
      </c>
      <c r="P28" s="22">
        <v>0.68888888888888899</v>
      </c>
      <c r="Q28" t="s">
        <v>20</v>
      </c>
      <c r="R28" s="20" t="s">
        <v>126</v>
      </c>
      <c r="S28" s="17">
        <f t="shared" si="0"/>
        <v>1.4583333333332948E-2</v>
      </c>
      <c r="T28" s="5"/>
      <c r="U28" s="5"/>
      <c r="V28" s="1" t="s">
        <v>142</v>
      </c>
      <c r="W28" s="1" t="s">
        <v>142</v>
      </c>
    </row>
    <row r="29" spans="1:23" ht="12" customHeight="1" x14ac:dyDescent="0.3">
      <c r="A29">
        <v>123</v>
      </c>
      <c r="B29" s="5" t="s">
        <v>48</v>
      </c>
      <c r="C29" s="5" t="s">
        <v>62</v>
      </c>
      <c r="D29" s="6">
        <v>45204</v>
      </c>
      <c r="E29" s="7">
        <v>0.67986111111111103</v>
      </c>
      <c r="F29" s="5" t="s">
        <v>37</v>
      </c>
      <c r="G29" s="5" t="s">
        <v>70</v>
      </c>
      <c r="H29" s="8" t="s">
        <v>7</v>
      </c>
      <c r="I29" s="13" t="s">
        <v>29</v>
      </c>
      <c r="J29" t="s">
        <v>76</v>
      </c>
      <c r="K29" t="s">
        <v>37</v>
      </c>
      <c r="L29" s="14" t="s">
        <v>127</v>
      </c>
      <c r="M29" t="s">
        <v>78</v>
      </c>
      <c r="N29" s="15" t="s">
        <v>79</v>
      </c>
      <c r="O29" s="23">
        <v>45056</v>
      </c>
      <c r="P29" s="22">
        <v>0.68888888888888899</v>
      </c>
      <c r="Q29" s="20" t="s">
        <v>29</v>
      </c>
      <c r="R29" s="20" t="s">
        <v>128</v>
      </c>
      <c r="S29" s="17">
        <f t="shared" si="0"/>
        <v>9.0277777777779677E-3</v>
      </c>
      <c r="T29" s="5"/>
      <c r="U29" s="5"/>
      <c r="V29" s="1" t="s">
        <v>142</v>
      </c>
      <c r="W29" s="1" t="s">
        <v>142</v>
      </c>
    </row>
    <row r="30" spans="1:23" ht="12" customHeight="1" x14ac:dyDescent="0.3">
      <c r="A30">
        <v>124</v>
      </c>
      <c r="B30" s="5" t="s">
        <v>48</v>
      </c>
      <c r="C30" s="5" t="s">
        <v>62</v>
      </c>
      <c r="D30" s="6">
        <v>45204</v>
      </c>
      <c r="E30" s="7">
        <v>0.68402777777777801</v>
      </c>
      <c r="F30" s="5" t="s">
        <v>37</v>
      </c>
      <c r="G30" s="5" t="s">
        <v>70</v>
      </c>
      <c r="H30" s="8" t="s">
        <v>7</v>
      </c>
      <c r="I30" s="5" t="s">
        <v>25</v>
      </c>
      <c r="J30" t="s">
        <v>129</v>
      </c>
      <c r="K30" t="s">
        <v>37</v>
      </c>
      <c r="L30" s="19" t="s">
        <v>130</v>
      </c>
      <c r="M30" t="s">
        <v>78</v>
      </c>
      <c r="N30" s="15" t="s">
        <v>79</v>
      </c>
      <c r="O30" s="16"/>
      <c r="P30" s="17"/>
      <c r="Q30" t="s">
        <v>131</v>
      </c>
      <c r="R30"/>
      <c r="S30" s="17">
        <f t="shared" si="0"/>
        <v>-0.68402777777777801</v>
      </c>
      <c r="T30" s="5"/>
      <c r="U30" s="5"/>
      <c r="V30" s="1" t="s">
        <v>142</v>
      </c>
      <c r="W30" s="1" t="s">
        <v>142</v>
      </c>
    </row>
    <row r="31" spans="1:23" ht="12" customHeight="1" x14ac:dyDescent="0.3">
      <c r="A31">
        <v>125</v>
      </c>
      <c r="B31" s="5" t="s">
        <v>48</v>
      </c>
      <c r="C31" s="5" t="s">
        <v>62</v>
      </c>
      <c r="D31" s="6">
        <v>45204</v>
      </c>
      <c r="E31" s="7">
        <v>0.72916666666666696</v>
      </c>
      <c r="F31" s="5" t="s">
        <v>37</v>
      </c>
      <c r="G31" s="5" t="s">
        <v>70</v>
      </c>
      <c r="H31" s="8" t="s">
        <v>52</v>
      </c>
      <c r="I31" s="8" t="s">
        <v>22</v>
      </c>
      <c r="J31" t="s">
        <v>76</v>
      </c>
      <c r="K31" t="s">
        <v>37</v>
      </c>
      <c r="L31" s="14" t="s">
        <v>132</v>
      </c>
      <c r="M31" t="s">
        <v>78</v>
      </c>
      <c r="N31" s="15" t="s">
        <v>79</v>
      </c>
      <c r="O31" s="16"/>
      <c r="P31" s="17"/>
      <c r="Q31" s="18" t="s">
        <v>22</v>
      </c>
      <c r="R31"/>
      <c r="S31" s="17">
        <f t="shared" si="0"/>
        <v>-0.72916666666666696</v>
      </c>
      <c r="T31" s="5"/>
      <c r="U31" s="5"/>
      <c r="V31" s="1" t="s">
        <v>142</v>
      </c>
      <c r="W31" s="1" t="s">
        <v>142</v>
      </c>
    </row>
    <row r="32" spans="1:23" ht="12" customHeight="1" x14ac:dyDescent="0.3">
      <c r="A32">
        <v>126</v>
      </c>
      <c r="B32" s="5" t="s">
        <v>48</v>
      </c>
      <c r="C32" s="5" t="s">
        <v>62</v>
      </c>
      <c r="D32" s="6">
        <v>45204</v>
      </c>
      <c r="E32" s="7">
        <v>0.73472222222222205</v>
      </c>
      <c r="F32" s="5" t="s">
        <v>59</v>
      </c>
      <c r="G32" s="5" t="s">
        <v>70</v>
      </c>
      <c r="H32" s="8" t="s">
        <v>38</v>
      </c>
      <c r="I32" s="5" t="s">
        <v>4</v>
      </c>
      <c r="J32" t="s">
        <v>129</v>
      </c>
      <c r="K32" t="s">
        <v>59</v>
      </c>
      <c r="L32" t="s">
        <v>133</v>
      </c>
      <c r="M32" t="s">
        <v>78</v>
      </c>
      <c r="N32" s="15" t="s">
        <v>79</v>
      </c>
      <c r="O32" s="16"/>
      <c r="P32" s="17"/>
      <c r="Q32" t="s">
        <v>134</v>
      </c>
      <c r="R32"/>
      <c r="S32" s="17">
        <f t="shared" si="0"/>
        <v>-0.73472222222222205</v>
      </c>
      <c r="T32" s="5"/>
      <c r="U32" s="5"/>
      <c r="V32" s="1" t="s">
        <v>142</v>
      </c>
      <c r="W32" s="1" t="s">
        <v>142</v>
      </c>
    </row>
    <row r="33" spans="1:23" ht="12" customHeight="1" x14ac:dyDescent="0.3">
      <c r="A33">
        <v>127</v>
      </c>
      <c r="B33" s="5" t="s">
        <v>48</v>
      </c>
      <c r="C33" s="5" t="s">
        <v>62</v>
      </c>
      <c r="D33" s="6">
        <v>45204</v>
      </c>
      <c r="E33" s="7">
        <v>0.73819444444444404</v>
      </c>
      <c r="F33" s="5" t="s">
        <v>59</v>
      </c>
      <c r="G33" s="5" t="s">
        <v>70</v>
      </c>
      <c r="H33" s="8" t="s">
        <v>38</v>
      </c>
      <c r="I33" s="5" t="s">
        <v>1</v>
      </c>
      <c r="J33" t="s">
        <v>129</v>
      </c>
      <c r="K33" t="s">
        <v>59</v>
      </c>
      <c r="L33" t="s">
        <v>133</v>
      </c>
      <c r="M33" t="s">
        <v>78</v>
      </c>
      <c r="N33" s="15" t="s">
        <v>79</v>
      </c>
      <c r="O33" s="16"/>
      <c r="P33" s="17"/>
      <c r="Q33" t="s">
        <v>135</v>
      </c>
      <c r="R33"/>
      <c r="S33" s="17">
        <f t="shared" si="0"/>
        <v>-0.73819444444444404</v>
      </c>
      <c r="T33" s="5"/>
      <c r="U33" s="5"/>
      <c r="V33" s="1" t="s">
        <v>142</v>
      </c>
      <c r="W33" s="1" t="s">
        <v>142</v>
      </c>
    </row>
    <row r="34" spans="1:23" ht="12" customHeight="1" x14ac:dyDescent="0.3">
      <c r="A34">
        <v>128</v>
      </c>
      <c r="B34" s="5" t="s">
        <v>48</v>
      </c>
      <c r="C34" s="5" t="s">
        <v>62</v>
      </c>
      <c r="D34" s="6">
        <v>45204</v>
      </c>
      <c r="E34" s="7">
        <v>0.73333333333333295</v>
      </c>
      <c r="F34" s="5" t="s">
        <v>37</v>
      </c>
      <c r="G34" s="5" t="s">
        <v>70</v>
      </c>
      <c r="H34" s="8" t="s">
        <v>64</v>
      </c>
      <c r="I34" s="8" t="s">
        <v>16</v>
      </c>
      <c r="J34" t="s">
        <v>136</v>
      </c>
      <c r="K34" t="s">
        <v>37</v>
      </c>
      <c r="L34" s="14" t="s">
        <v>137</v>
      </c>
      <c r="M34" t="s">
        <v>78</v>
      </c>
      <c r="N34" s="15" t="s">
        <v>79</v>
      </c>
      <c r="O34" s="16"/>
      <c r="P34" s="17"/>
      <c r="Q34"/>
      <c r="R34"/>
      <c r="S34" s="17">
        <f t="shared" si="0"/>
        <v>-0.73333333333333295</v>
      </c>
      <c r="T34" s="5"/>
      <c r="U34" s="5"/>
      <c r="V34" s="1" t="s">
        <v>142</v>
      </c>
      <c r="W34" s="1" t="s">
        <v>142</v>
      </c>
    </row>
    <row r="35" spans="1:23" ht="12" customHeight="1" x14ac:dyDescent="0.3">
      <c r="A35">
        <v>129</v>
      </c>
      <c r="B35" s="5" t="s">
        <v>48</v>
      </c>
      <c r="C35" s="5" t="s">
        <v>62</v>
      </c>
      <c r="D35" s="6">
        <v>45204</v>
      </c>
      <c r="E35" s="7">
        <v>0.77430555555555503</v>
      </c>
      <c r="F35" s="5" t="s">
        <v>59</v>
      </c>
      <c r="G35" s="5" t="s">
        <v>70</v>
      </c>
      <c r="H35" s="8" t="s">
        <v>38</v>
      </c>
      <c r="I35" s="5" t="s">
        <v>69</v>
      </c>
      <c r="J35" t="s">
        <v>80</v>
      </c>
      <c r="K35" t="s">
        <v>59</v>
      </c>
      <c r="L35" s="14" t="s">
        <v>138</v>
      </c>
      <c r="M35" t="s">
        <v>78</v>
      </c>
      <c r="N35" s="15" t="s">
        <v>79</v>
      </c>
      <c r="O35" s="16"/>
      <c r="P35" s="17"/>
      <c r="Q35" s="14" t="s">
        <v>139</v>
      </c>
      <c r="R35"/>
      <c r="S35" s="17">
        <f t="shared" si="0"/>
        <v>-0.77430555555555503</v>
      </c>
      <c r="T35" s="5"/>
      <c r="U35" s="5"/>
      <c r="V35" s="1" t="s">
        <v>142</v>
      </c>
      <c r="W35" s="1" t="s">
        <v>142</v>
      </c>
    </row>
    <row r="36" spans="1:23" ht="12" customHeight="1" x14ac:dyDescent="0.3">
      <c r="A36">
        <v>130</v>
      </c>
      <c r="B36" s="5" t="s">
        <v>48</v>
      </c>
      <c r="C36" s="5" t="s">
        <v>62</v>
      </c>
      <c r="D36" s="6">
        <v>45204</v>
      </c>
      <c r="E36" s="7">
        <v>0.77777777777777801</v>
      </c>
      <c r="F36" s="5" t="s">
        <v>37</v>
      </c>
      <c r="G36" s="5" t="s">
        <v>70</v>
      </c>
      <c r="H36" s="8" t="s">
        <v>39</v>
      </c>
      <c r="I36" s="8" t="s">
        <v>23</v>
      </c>
      <c r="J36" t="s">
        <v>76</v>
      </c>
      <c r="K36" t="s">
        <v>37</v>
      </c>
      <c r="L36" s="14" t="s">
        <v>140</v>
      </c>
      <c r="M36" t="s">
        <v>78</v>
      </c>
      <c r="N36" s="15" t="s">
        <v>79</v>
      </c>
      <c r="O36" s="16"/>
      <c r="P36" s="17"/>
      <c r="Q36" t="s">
        <v>141</v>
      </c>
      <c r="R36"/>
      <c r="S36" s="17">
        <f t="shared" si="0"/>
        <v>-0.77777777777777801</v>
      </c>
      <c r="T36" s="5"/>
      <c r="U36" s="5"/>
      <c r="V36" s="1" t="s">
        <v>142</v>
      </c>
      <c r="W36" s="1" t="s">
        <v>142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2023-05-10T14:48:29Z</dcterms:modified>
  <cp:category/>
</cp:coreProperties>
</file>