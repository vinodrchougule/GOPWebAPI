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551E5770-FBF2-4022-A300-F66BBA4E24CC}" xr6:coauthVersionLast="47" xr6:coauthVersionMax="47" xr10:uidLastSave="{00000000-0000-0000-0000-000000000000}"/>
  <bookViews>
    <workbookView xWindow="-108" yWindow="-108" windowWidth="23256" windowHeight="12456" xr2:uid="{3203F96B-7214-41C1-B09F-50C9D9801A49}"/>
  </bookViews>
  <sheets>
    <sheet name="Sheet1" sheetId="1" r:id="rId1"/>
  </sheets>
  <definedNames>
    <definedName name="_xlnm._FilterDatabase" localSheetId="0" hidden="1">Sheet1!$A$1:$CG$54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4" i="1" l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</calcChain>
</file>

<file path=xl/sharedStrings.xml><?xml version="1.0" encoding="utf-8"?>
<sst xmlns="http://schemas.openxmlformats.org/spreadsheetml/2006/main" count="2073" uniqueCount="913">
  <si>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</si>
  <si>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</si>
  <si>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</si>
  <si>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</si>
  <si>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</si>
  <si>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</si>
  <si>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</si>
  <si>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</si>
  <si>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</si>
  <si>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</si>
  <si>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</si>
  <si>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</si>
  <si>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</si>
  <si>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</si>
  <si>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</si>
  <si>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</si>
  <si>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</si>
  <si>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</si>
  <si>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ProdigoReferenceID</t>
  </si>
  <si>
    <t>PackagingString</t>
  </si>
  <si>
    <t>ImageURL</t>
  </si>
  <si>
    <t>ClientUOM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</si>
  <si>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</si>
  <si>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</si>
  <si>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</si>
  <si>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</si>
  <si>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</si>
  <si>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</si>
  <si>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</si>
  <si>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</si>
  <si>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</si>
  <si>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LongDescription</t>
  </si>
  <si>
    <t>ShortDescription</t>
  </si>
  <si>
    <t>HCPCS</t>
  </si>
  <si>
    <t>BrandName</t>
  </si>
  <si>
    <t>UNSPSC</t>
  </si>
  <si>
    <t>UNSPSCDescription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</si>
  <si>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</si>
  <si>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</si>
  <si>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</si>
  <si>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</si>
  <si>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</si>
  <si>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</si>
  <si>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</si>
  <si>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</si>
  <si>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</si>
  <si>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</si>
  <si>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</si>
  <si>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</si>
  <si>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</si>
  <si>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</si>
  <si>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</si>
  <si>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</si>
  <si>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</si>
  <si>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</si>
  <si>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</si>
  <si>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</si>
  <si>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</si>
  <si>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</si>
  <si>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BrandName1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</si>
  <si>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</si>
  <si>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</si>
  <si>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</si>
  <si>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</si>
  <si>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</si>
  <si>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</si>
  <si>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</si>
  <si>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</si>
  <si>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</si>
  <si>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UNSPSC1</t>
  </si>
  <si>
    <t>Standardized UNSPSC1</t>
  </si>
  <si>
    <t>UNSPSC Description1</t>
  </si>
  <si>
    <t>HCPCS1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</si>
  <si>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</si>
  <si>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</si>
  <si>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</si>
  <si>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</si>
  <si>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</si>
  <si>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</si>
  <si>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</si>
  <si>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</si>
  <si>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</si>
  <si>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</si>
  <si>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</si>
  <si>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</si>
  <si>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PDG-Honor</t>
  </si>
  <si>
    <t>091</t>
  </si>
  <si>
    <t>CGM</t>
  </si>
  <si>
    <t>Data Enrichment</t>
  </si>
  <si>
    <t>39412160</t>
  </si>
  <si>
    <t>(1/EA)</t>
  </si>
  <si>
    <t>https://api.edirx.com/WorkflowFileUploads/DocumentConsole/898111F7-5620-4D3A-936A-26F5EB0A9219.jpg</t>
  </si>
  <si>
    <t>EA</t>
  </si>
  <si>
    <t>ABBVIE</t>
  </si>
  <si>
    <t>133SFV12T</t>
  </si>
  <si>
    <t>ABBVIE_133SFV12T</t>
  </si>
  <si>
    <t>EXPANDER TISSUE GEL 5.3 CM PROJECTION 12X12.5 400 CC BREAST ROUND SMOOTH STYLE 133SFVT FULL HEIGHT VARIABLE WITH SUTURE TAB NATRELLE</t>
  </si>
  <si>
    <t>EXPANDER TISSUE GEL 5.3 CM PROJECTION 12X12.5 CM 400 CC BREAST ROUND SMOOTH STYLE 133SFVT FULL HEIGHT VARIABLE PROJECTION WITH SUTURE TAB NATRELLE</t>
  </si>
  <si>
    <t>NATRELLE</t>
  </si>
  <si>
    <t>42295509</t>
  </si>
  <si>
    <t>Plastic or cosmetic tissue expanders or sets</t>
  </si>
  <si>
    <t>40673112</t>
  </si>
  <si>
    <t>CARDINAL HEALTH</t>
  </si>
  <si>
    <t>301215016</t>
  </si>
  <si>
    <t>CARDINAL</t>
  </si>
  <si>
    <t>CARDINAL_301215016</t>
  </si>
  <si>
    <t>40673111</t>
  </si>
  <si>
    <t>100207151807</t>
  </si>
  <si>
    <t>CARDINAL_100207151807</t>
  </si>
  <si>
    <t>9804633</t>
  </si>
  <si>
    <t>https://api.edirx.com/WorkflowFileUploads/DocumentConsole/8455C5DB-3927-4408-86AA-B421B0D0A6D0.JPG</t>
  </si>
  <si>
    <t>PC</t>
  </si>
  <si>
    <t>04038653260195</t>
  </si>
  <si>
    <t>AESCULAP</t>
  </si>
  <si>
    <t>PO600R</t>
  </si>
  <si>
    <t>BRAUN</t>
  </si>
  <si>
    <t>BRAUN_PO600R</t>
  </si>
  <si>
    <t>INSERT SCISSOR HOOK 5X310 MM MONOPOLAR STRAIGHT BLUNTBLUNT SINGLE ACTION NON STERILE ADTEC REUSABLE SCISSORS JAW INSERTS 12 1/4 310 MM DIAM. 5 BLUNT/BLUNT NONSTERILE</t>
  </si>
  <si>
    <t>INSERT SCISSOR HOOK 5X310 MM MONOPOLAR STRAIGHT BLUNTBLUNT SINGLE ACTION NON STERILE ADTEC REUSABLE</t>
  </si>
  <si>
    <t>ADTEC</t>
  </si>
  <si>
    <t>42294906</t>
  </si>
  <si>
    <t>Endoscopic cutting instruments</t>
  </si>
  <si>
    <t>2729987</t>
  </si>
  <si>
    <t>https://api.edirx.com/workflowfileuploads/documentconsole/43493407-B145-496A-B565-EC57B51324AD.jpg</t>
  </si>
  <si>
    <t>04038653029259</t>
  </si>
  <si>
    <t>BN034R</t>
  </si>
  <si>
    <t>BRAUN_BN034R</t>
  </si>
  <si>
    <t>PROBE SURGICAL STRAIGHT 2.5X145 MM WITH EYE 5 3/4IN 145 MM DIAM. 250</t>
  </si>
  <si>
    <t>PROBE SURGICAL STRAIGHT 2.5X145 MM WITH EYE</t>
  </si>
  <si>
    <t>42292603</t>
  </si>
  <si>
    <t>Surgical probes or directors</t>
  </si>
  <si>
    <t>11791537</t>
  </si>
  <si>
    <t>https://api.edirx.com/workflowfileuploads/documentconsole/91E8A17C-0AA6-488D-825E-85B9CDCAC6B1.JPG</t>
  </si>
  <si>
    <t>00888867250543</t>
  </si>
  <si>
    <t>ARTHREX</t>
  </si>
  <si>
    <t>AR950113S</t>
  </si>
  <si>
    <t>ARTHREX_AR950113S</t>
  </si>
  <si>
    <t>UNIVERS REVERS APEX STEM SIZE 13</t>
  </si>
  <si>
    <t>C1776</t>
  </si>
  <si>
    <t>UNIVERS REVERS APEX</t>
  </si>
  <si>
    <t>42321903</t>
  </si>
  <si>
    <t>Humeral stems</t>
  </si>
  <si>
    <t>6756987</t>
  </si>
  <si>
    <t>https://api.edirx.com/WorkflowFileUploads/DocumentConsole/7243A2BE-CB59-4762-B999-F95101CE81A2.jpg</t>
  </si>
  <si>
    <t>00888867273986</t>
  </si>
  <si>
    <t>AR7800</t>
  </si>
  <si>
    <t>ARTHREX_AR7800</t>
  </si>
  <si>
    <t>FIBERTAPE CERCLAGE TENSIONER REUSABLE</t>
  </si>
  <si>
    <t>42292904</t>
  </si>
  <si>
    <t>Surgical suture or wire passers or related products</t>
  </si>
  <si>
    <t>7773516</t>
  </si>
  <si>
    <t>https://api.edirx.com/WorkflowFileUploads/DocumentConsole/37879BB3-F1B6-4A0B-8688-B29E8227F2AC.jpg</t>
  </si>
  <si>
    <t>BX</t>
  </si>
  <si>
    <t>ANGIODYNAMICS</t>
  </si>
  <si>
    <t>H965457531</t>
  </si>
  <si>
    <t>ANGIODYNAMICS_H965457531</t>
  </si>
  <si>
    <t>NEEDLE ENDOSCOPIC ECHOGENIC 21 GAX7 CM GUIDEWIRE MINI STICK MAX KIT NITINOL TUNGSTEN GUIDEWIRE21 G X 7 KITS</t>
  </si>
  <si>
    <t>NEEDLE ENDOSCOPIC ECHOGENIC 21 GAX7 CM GUIDEWIRE MINI STICK MAX KIT NITINOL TUNGSTEN</t>
  </si>
  <si>
    <t>A4215</t>
  </si>
  <si>
    <t>42294925</t>
  </si>
  <si>
    <t>Endoscopic needles or punches</t>
  </si>
  <si>
    <t>8099069</t>
  </si>
  <si>
    <t>00888867264946</t>
  </si>
  <si>
    <t>AR891628</t>
  </si>
  <si>
    <t>ARTHREX_AR891628</t>
  </si>
  <si>
    <t>BIT DRILL SHORT 1.7 MM</t>
  </si>
  <si>
    <t>42294950</t>
  </si>
  <si>
    <t>Endoscopic drills or drill bits</t>
  </si>
  <si>
    <t>834407</t>
  </si>
  <si>
    <t>(1/EA)(5/BX)</t>
  </si>
  <si>
    <t>https://api.edirx.com/WorkflowFileUploads/DocumentConsole/230E97DC-42B8-4E25-A778-10CE283F8C52.jpg</t>
  </si>
  <si>
    <t>PK</t>
  </si>
  <si>
    <t>00888867040229</t>
  </si>
  <si>
    <t>AR6548</t>
  </si>
  <si>
    <t>ARTHREX_AR6548</t>
  </si>
  <si>
    <t>CANNULA ARTHROSCOPIC TWIST IN 5 MMX7 CM LOW PROFILE</t>
  </si>
  <si>
    <t>42294978</t>
  </si>
  <si>
    <t>Endoscopic trocar or sheath or obturator or cannula</t>
  </si>
  <si>
    <t>4931083</t>
  </si>
  <si>
    <t>https://api.edirx.com/workflowfileuploads/documentconsole/B7CD4F3C-9BBE-4FAD-87B8-7998244D2B88.jpg</t>
  </si>
  <si>
    <t>AR7801</t>
  </si>
  <si>
    <t>ARTHREX_AR7801</t>
  </si>
  <si>
    <t>HANDLE RATCHET CERCLAGE TENSIONER REUSABLE</t>
  </si>
  <si>
    <t>42292403</t>
  </si>
  <si>
    <t>Surgical ratchet handles</t>
  </si>
  <si>
    <t>5463536</t>
  </si>
  <si>
    <t>https://api.edirx.com/WorkflowFileUploads/DocumentConsole/361B714F-D9A1-440D-A74A-B78A7C9FC097.jpg</t>
  </si>
  <si>
    <t>00888867288324</t>
  </si>
  <si>
    <t>AR873516</t>
  </si>
  <si>
    <t>ARTHREX_AR873516</t>
  </si>
  <si>
    <t>SCREW BONE 3.5X16MM TITANIUM CORTICAL DISTAL RADIAL LOW PROFILE FOR PLATE NON STERILE</t>
  </si>
  <si>
    <t>42321506</t>
  </si>
  <si>
    <t>Bone screws or pegs</t>
  </si>
  <si>
    <t>34970211</t>
  </si>
  <si>
    <t>00190376330754</t>
  </si>
  <si>
    <t>ALPHATEC</t>
  </si>
  <si>
    <t>1885345S</t>
  </si>
  <si>
    <t>ALPHATEC_1885345S</t>
  </si>
  <si>
    <t>DRILL BIT OCCIPITAL STRAIGHT 4.5MM</t>
  </si>
  <si>
    <t>INVICTUS</t>
  </si>
  <si>
    <t>42295209</t>
  </si>
  <si>
    <t>Surgical drill bits</t>
  </si>
  <si>
    <t>36438404</t>
  </si>
  <si>
    <t>00190376350028</t>
  </si>
  <si>
    <t>192504040</t>
  </si>
  <si>
    <t>ALPHATEC_192504040</t>
  </si>
  <si>
    <t>HINGED ROD 4.0MM CRANIAL 4.0MM CAUDAL</t>
  </si>
  <si>
    <t>42321610</t>
  </si>
  <si>
    <t>Spinal screws or screw extensions</t>
  </si>
  <si>
    <t>37876367</t>
  </si>
  <si>
    <t>00190376329758</t>
  </si>
  <si>
    <t>236124014</t>
  </si>
  <si>
    <t>ALPHATEC_236124014</t>
  </si>
  <si>
    <t>4.0MM VARIABLE ANGLE SELFDRILLING SCREW SINGLE LEAD 14 MM</t>
  </si>
  <si>
    <t>INSIGNIA</t>
  </si>
  <si>
    <t>36439505</t>
  </si>
  <si>
    <t>00190376350271</t>
  </si>
  <si>
    <t>1531342</t>
  </si>
  <si>
    <t>ALPHATEC_1531342</t>
  </si>
  <si>
    <t>XLINK SIZE 3</t>
  </si>
  <si>
    <t>36439675</t>
  </si>
  <si>
    <t>00190376350042</t>
  </si>
  <si>
    <t>1950056</t>
  </si>
  <si>
    <t>ALPHATEC_1950056</t>
  </si>
  <si>
    <t>OCCIPITAL PLATE 56MM</t>
  </si>
  <si>
    <t>42321611</t>
  </si>
  <si>
    <t>Spinal plates</t>
  </si>
  <si>
    <t>34206573</t>
  </si>
  <si>
    <t>00190376249308</t>
  </si>
  <si>
    <t>180914508</t>
  </si>
  <si>
    <t>ALPHATEC_180914508</t>
  </si>
  <si>
    <t>SCREW OCCIPITAL 4.5MM X 8MM</t>
  </si>
  <si>
    <t>35961861</t>
  </si>
  <si>
    <t>AXONICS MODULATION TECHNOLOGIES</t>
  </si>
  <si>
    <t>OM1000CI</t>
  </si>
  <si>
    <t>AXONICS</t>
  </si>
  <si>
    <t>AXONICS_OM1000CI</t>
  </si>
  <si>
    <t>STERILIZATION TRAY OM1000CI</t>
  </si>
  <si>
    <t>42281509</t>
  </si>
  <si>
    <t>Sterilization containers or trays</t>
  </si>
  <si>
    <t>31630701</t>
  </si>
  <si>
    <t>08809228125975</t>
  </si>
  <si>
    <t>BK MEDITECH</t>
  </si>
  <si>
    <t>82130110</t>
  </si>
  <si>
    <t>BK MEDITECH_82130110</t>
  </si>
  <si>
    <t>PREBENT ROD 5.5 X 110MM</t>
  </si>
  <si>
    <t>12035063</t>
  </si>
  <si>
    <t>07290110201029</t>
  </si>
  <si>
    <t>CARBOFIX ORTHOPEDICS</t>
  </si>
  <si>
    <t>MTP1615015</t>
  </si>
  <si>
    <t>CARBO-FIX</t>
  </si>
  <si>
    <t>CARBO-FIX_MTP1615015</t>
  </si>
  <si>
    <t>KWIRE FOR USE WITH THE PICCOLO COMPOSITE MTP PLATE SYSTEM</t>
  </si>
  <si>
    <t>40673113</t>
  </si>
  <si>
    <t>CA</t>
  </si>
  <si>
    <t>3500EU</t>
  </si>
  <si>
    <t>CARDINAL_3500EU</t>
  </si>
  <si>
    <t>15695841</t>
  </si>
  <si>
    <t>(1/EA)(20/BX)(39/CA)</t>
  </si>
  <si>
    <t>https://api.edirx.com/workflowfileuploads/documentconsole/6D6B677A-1CBB-41BD-926D-941DF7D8B328.JPG</t>
  </si>
  <si>
    <t>10885380166204</t>
  </si>
  <si>
    <t>CF1002</t>
  </si>
  <si>
    <t>CARDINAL_CF1002</t>
  </si>
  <si>
    <t>SOLUTION ANTIFOG 6 GM ADHESIVE BACKED FOAM PAD RADIOPAQUE STRIP KIT 1/EA 20/BX 39/CA STERILE LATEX DISPOSABLE ANTIFOG WITH ADHESIVEBACKED AND G</t>
  </si>
  <si>
    <t>SOLUTION ANTIFOG 6 GM ADHESIVE BACKED FOAM PAD RADIOPAQUE STRIP KIT 1/EA 20/BX 39/CA STERILE LATEX DISPOSABLE</t>
  </si>
  <si>
    <t>42294937</t>
  </si>
  <si>
    <t>Fog reduction devices for endoscopes or mirrors</t>
  </si>
  <si>
    <t>16078998</t>
  </si>
  <si>
    <t>https://api.edirx.com/WorkflowFileUploads/DocumentConsole/099E7257-CDDD-4E07-9441-5A2A75E2129A.JPG</t>
  </si>
  <si>
    <t>CAREFUSION</t>
  </si>
  <si>
    <t>NL5370</t>
  </si>
  <si>
    <t>CARDINAL_NL5370</t>
  </si>
  <si>
    <t>RETRACTOR SURGICAL GELPI 11 IN 7.5 IN SELFRETAINING SHARP TENACULUM PRONG STAINLESS STEEL</t>
  </si>
  <si>
    <t>42293107</t>
  </si>
  <si>
    <t>Surgical retractors</t>
  </si>
  <si>
    <t>16130602</t>
  </si>
  <si>
    <t>(1/EA)(6/BX)(1/CA)</t>
  </si>
  <si>
    <t>https://api.edirx.com/WorkflowFileUploads/DocumentConsole/F34F83A4-BBCA-4BF6-B206-BE7C9724923C.jpg</t>
  </si>
  <si>
    <t>00801741183614</t>
  </si>
  <si>
    <t>CR BARD</t>
  </si>
  <si>
    <t>PWF030K</t>
  </si>
  <si>
    <t>BARD</t>
  </si>
  <si>
    <t>BARD_PWF030K</t>
  </si>
  <si>
    <t>CATHETER EXTERNAL FEMALE WITH WIPE KIT PUREWICK LATEXFREE NOT MADE NATURAL RUBBER LATEX</t>
  </si>
  <si>
    <t>CATHETER EXTERNAL FEMALE WITH WIPE KIT PUREWICK LATEXFREE</t>
  </si>
  <si>
    <t>A4326</t>
  </si>
  <si>
    <t>42142715</t>
  </si>
  <si>
    <t>Urinary catheterization kits</t>
  </si>
  <si>
    <t>31848200</t>
  </si>
  <si>
    <t>(1/EA)(20/CA)</t>
  </si>
  <si>
    <t>https://api.edirx.com/workflowfileuploads/documentconsole/4151C351-F4DA-44D0-9506-4FC5AC5618BF.png</t>
  </si>
  <si>
    <t>00749756052597</t>
  </si>
  <si>
    <t>DEROYAL INDUSTRIES</t>
  </si>
  <si>
    <t>77301371</t>
  </si>
  <si>
    <t>DEROYAL</t>
  </si>
  <si>
    <t>DEROYAL_77301371</t>
  </si>
  <si>
    <t>BOWL WASTE COLLECTION BIOHAZARD WITH SOLIDIFIER BENCHTOP 1 PINT CAPACITY ROUND PLASTIC STERILE SPLASHSTOP LATEXFREE</t>
  </si>
  <si>
    <t>SPLASHSTOP</t>
  </si>
  <si>
    <t>42294611</t>
  </si>
  <si>
    <t>Autotransfusion waste collection systems</t>
  </si>
  <si>
    <t>37219616</t>
  </si>
  <si>
    <t>00840124505483</t>
  </si>
  <si>
    <t>FUSION ORTHOPEDICS</t>
  </si>
  <si>
    <t>AKUP0006</t>
  </si>
  <si>
    <t>Fusion Orthopedics</t>
  </si>
  <si>
    <t>Fusion Orthopedics_AKUP0006</t>
  </si>
  <si>
    <t>UTILITY STRAIGHT PLATE 6 HOLE</t>
  </si>
  <si>
    <t>42321505</t>
  </si>
  <si>
    <t>Bone plates</t>
  </si>
  <si>
    <t>40673114</t>
  </si>
  <si>
    <t>PLLL7000</t>
  </si>
  <si>
    <t>Fusion Orthopedics_PLLL7000</t>
  </si>
  <si>
    <t>35287441</t>
  </si>
  <si>
    <t>00840124504592</t>
  </si>
  <si>
    <t>CDMF1527</t>
  </si>
  <si>
    <t>Fusion Orthopedics_CDMF1527</t>
  </si>
  <si>
    <t>CALIBRATED SOLID OVERDRILL 2.7MM</t>
  </si>
  <si>
    <t>POLYLOCK MIDFOOT</t>
  </si>
  <si>
    <t xml:space="preserve">Surgical drill bits </t>
  </si>
  <si>
    <t>34495793</t>
  </si>
  <si>
    <t>00840124503120</t>
  </si>
  <si>
    <t>MFLK2718</t>
  </si>
  <si>
    <t>Fusion Orthopedics_MFLK2718</t>
  </si>
  <si>
    <t>TAPPER THREADED LOCKING SCREW 2.7MM X 18MM</t>
  </si>
  <si>
    <t>11946471</t>
  </si>
  <si>
    <t>00819034023950</t>
  </si>
  <si>
    <t>FXHD5565</t>
  </si>
  <si>
    <t>Fusion Orthopedics_FXHD5565</t>
  </si>
  <si>
    <t>HD 5.5MM X 65MM</t>
  </si>
  <si>
    <t>FUZEFIX</t>
  </si>
  <si>
    <t>35287102</t>
  </si>
  <si>
    <t>00840124504516</t>
  </si>
  <si>
    <t>MFLG3524</t>
  </si>
  <si>
    <t>Fusion Orthopedics_MFLG3524</t>
  </si>
  <si>
    <t>LAG SCREW 3.5MM X 24MM</t>
  </si>
  <si>
    <t>11817211</t>
  </si>
  <si>
    <t>00819034025725</t>
  </si>
  <si>
    <t>CDFX2070</t>
  </si>
  <si>
    <t>Fusion Orthopedics_CDFX2070</t>
  </si>
  <si>
    <t>PROXIMAL REAMER CANNULATED 7.0MM</t>
  </si>
  <si>
    <t>FUZEFIX LARGE</t>
  </si>
  <si>
    <t>42292405</t>
  </si>
  <si>
    <t>Surgical drill countersinks</t>
  </si>
  <si>
    <t>40603613</t>
  </si>
  <si>
    <t>00193982503192</t>
  </si>
  <si>
    <t>GLOBUS MEDICAL</t>
  </si>
  <si>
    <t>12578335s</t>
  </si>
  <si>
    <t>GLOBUS MEDICAL_12578335s</t>
  </si>
  <si>
    <t>AUTOBAHN EVO LOCKING SCREW 5X35MM TI</t>
  </si>
  <si>
    <t>AUTOBAHN</t>
  </si>
  <si>
    <t>12716931</t>
  </si>
  <si>
    <t>00889095970173</t>
  </si>
  <si>
    <t>11835025S</t>
  </si>
  <si>
    <t>GLOBUS MEDICAL_11835025S</t>
  </si>
  <si>
    <t>TI LOCKING SCREW 5X25MM FULLY THREADED</t>
  </si>
  <si>
    <t>16232482</t>
  </si>
  <si>
    <t>00193982191528</t>
  </si>
  <si>
    <t>12120611s</t>
  </si>
  <si>
    <t>GLOBUS MEDICAL_12120611s</t>
  </si>
  <si>
    <t>HEDRON IA SPACER 26X34 11MM 8°</t>
  </si>
  <si>
    <t>HEDRON</t>
  </si>
  <si>
    <t>42321605</t>
  </si>
  <si>
    <t>Spinal interbody cages or spacers</t>
  </si>
  <si>
    <t>12707343</t>
  </si>
  <si>
    <t>00889095971583</t>
  </si>
  <si>
    <t>11838040S</t>
  </si>
  <si>
    <t>GLOBUS MEDICAL_11838040S</t>
  </si>
  <si>
    <t>TI HEADLESS LOCKING SCREW 4X40MM FULLY THREADED</t>
  </si>
  <si>
    <t>40603616</t>
  </si>
  <si>
    <t>00193982503215</t>
  </si>
  <si>
    <t>12578340S</t>
  </si>
  <si>
    <t>GLOBUS MEDICAL_12578340S</t>
  </si>
  <si>
    <t>AUTOBAHN EVO LOCKING SCREW 5X40MM TI</t>
  </si>
  <si>
    <t>12706848</t>
  </si>
  <si>
    <t>00889095969078</t>
  </si>
  <si>
    <t>11832065S</t>
  </si>
  <si>
    <t>GLOBUS MEDICAL_11832065S</t>
  </si>
  <si>
    <t>TI HEADLESS LOCKING SCREW 5X65MM FULLY THREADED</t>
  </si>
  <si>
    <t>12707339</t>
  </si>
  <si>
    <t>00889095971569</t>
  </si>
  <si>
    <t>11838035S</t>
  </si>
  <si>
    <t>GLOBUS MEDICAL_11838035S</t>
  </si>
  <si>
    <t>TI HEADLESS LOCKING SCREW 4X35MM FULLY THREADED</t>
  </si>
  <si>
    <t>40603213</t>
  </si>
  <si>
    <t>00193982498412</t>
  </si>
  <si>
    <t>12575038S</t>
  </si>
  <si>
    <t>GLOBUS MEDICAL_12575038S</t>
  </si>
  <si>
    <t>AUTOBAHN EVO RETROGRADE FEMORAL NAIL 10X380MM 5° TI</t>
  </si>
  <si>
    <t>40602913</t>
  </si>
  <si>
    <t>00193982503178</t>
  </si>
  <si>
    <t>12578330S</t>
  </si>
  <si>
    <t>GLOBUS MEDICAL_12578330S</t>
  </si>
  <si>
    <t>AUTOBAHN EVO LOCKING SCREW 5X30MM TI</t>
  </si>
  <si>
    <t>40602915</t>
  </si>
  <si>
    <t>00193982503239</t>
  </si>
  <si>
    <t>12578345S</t>
  </si>
  <si>
    <t>GLOBUS MEDICAL_12578345S</t>
  </si>
  <si>
    <t>AUTOBAHN EVO LOCKING SCREW 5X45MM TI</t>
  </si>
  <si>
    <t>35038843</t>
  </si>
  <si>
    <t>IN2BONES</t>
  </si>
  <si>
    <t>A02S0003</t>
  </si>
  <si>
    <t>IN2BONE</t>
  </si>
  <si>
    <t>IN2BONE_A02S0003</t>
  </si>
  <si>
    <t>HERCULES FT ANCHOR INSTRUMENTS  SIZE 3 5MM</t>
  </si>
  <si>
    <t>12229359</t>
  </si>
  <si>
    <t>M711UT55250</t>
  </si>
  <si>
    <t>INNOVASIS</t>
  </si>
  <si>
    <t>UT5525</t>
  </si>
  <si>
    <t>INNOVASIS_UT5525</t>
  </si>
  <si>
    <t>TI 6AL 4V ELI</t>
  </si>
  <si>
    <t>KESTREL</t>
  </si>
  <si>
    <t>14412483</t>
  </si>
  <si>
    <t>(1/EA)(1/CT)</t>
  </si>
  <si>
    <t>M711AXTI1240080</t>
  </si>
  <si>
    <t>AXTI124008</t>
  </si>
  <si>
    <t>INNOVASIS_AXTI124008</t>
  </si>
  <si>
    <t>TI 6AL 4V ELI HYDROXYAPATITE</t>
  </si>
  <si>
    <t>AXTIHA</t>
  </si>
  <si>
    <t>16321023</t>
  </si>
  <si>
    <t>GENERAL ELECTRIC</t>
  </si>
  <si>
    <t>107PT00410</t>
  </si>
  <si>
    <t>GE</t>
  </si>
  <si>
    <t>GE_107PT00410</t>
  </si>
  <si>
    <t>PATCH FETAL MONITORING WIRELESS SYSTEM FOR MATERNAL INFANT CARE NOV II</t>
  </si>
  <si>
    <t>NOV II</t>
  </si>
  <si>
    <t>42143127</t>
  </si>
  <si>
    <t>Acute care fetal or maternal monitoring unit accessories</t>
  </si>
  <si>
    <t>35202108</t>
  </si>
  <si>
    <t>https://api.edirx.com/WorkflowFileUploads/DocumentConsole/3FFFE32B-E652-426A-AF97-F789168881F1.jpg</t>
  </si>
  <si>
    <t>10886982260789</t>
  </si>
  <si>
    <t>JOHNSON &amp; JOHNSON</t>
  </si>
  <si>
    <t>3312710</t>
  </si>
  <si>
    <t>JNJ</t>
  </si>
  <si>
    <t>JNJ_3312710</t>
  </si>
  <si>
    <t>RING EXTERNAL FIXATION 210 MM 5/8 ALUMINUM MAXFRAME</t>
  </si>
  <si>
    <t>MAXFRAME</t>
  </si>
  <si>
    <t>42322502</t>
  </si>
  <si>
    <t>External fixation rings or halos</t>
  </si>
  <si>
    <t>39821554</t>
  </si>
  <si>
    <t>10886982306265</t>
  </si>
  <si>
    <t>3313879</t>
  </si>
  <si>
    <t>JNJ_3313879</t>
  </si>
  <si>
    <t>STRUT EXTERNAL FIXATION SHORT POLYAXIAL FINE GROSS ADJUST FOR COMPUTER ASSISTED MAXFRAME MULTIAXIAL CORRECTION SYSTEM</t>
  </si>
  <si>
    <t>STRUT EXTERNAL FIXATION POLYAXIAL SHORT 117159 MM FINE AND GROSS ADJUST NON STERILE MAXFRAME</t>
  </si>
  <si>
    <t>42322501</t>
  </si>
  <si>
    <t>External fixation rod, rail, bar, post or strut</t>
  </si>
  <si>
    <t>39393994</t>
  </si>
  <si>
    <t>LINKBIO</t>
  </si>
  <si>
    <t>18337436</t>
  </si>
  <si>
    <t>LINKBIO_18337436</t>
  </si>
  <si>
    <t>12340077</t>
  </si>
  <si>
    <t>(1/EA)(6/BX)</t>
  </si>
  <si>
    <t>https://www.medline.com/media/catalog/sku/ETH/ETH10X52_PRI01.JPG</t>
  </si>
  <si>
    <t>10705031462144</t>
  </si>
  <si>
    <t>10X52N</t>
  </si>
  <si>
    <t>JNJ_10X52N</t>
  </si>
  <si>
    <t>SUTURE NON ABSORBABLE BRAIDED 20 30 IN DOUBLE ARMED 530 SYNTHETIC GREEN WHITE ETHIBOND EXCEL Green/White Nonabsorbable Surgical</t>
  </si>
  <si>
    <t>SUTURE NON ABSORBABLE BRAIDED 20 30 IN DOUBLE ARMED 530 SYNTHETIC GREEN WHITE ETHIBOND EXCEL</t>
  </si>
  <si>
    <t>ETHIBOND EXCEL</t>
  </si>
  <si>
    <t>42312201</t>
  </si>
  <si>
    <t>Sutures</t>
  </si>
  <si>
    <t>34431936</t>
  </si>
  <si>
    <t>(1/EA)(300/PK)</t>
  </si>
  <si>
    <t>https://www.medline.com/media/catalog/sku/DYN/DYND30385_PRI04.JPG</t>
  </si>
  <si>
    <t>10884389131527</t>
  </si>
  <si>
    <t>MEDLINE</t>
  </si>
  <si>
    <t>DYND30385</t>
  </si>
  <si>
    <t>MEDLINE_DYND30385</t>
  </si>
  <si>
    <t>CONTAINER SPECIMEN COLLECTION 4 OZ CLICKNCLOSE PNEUMATIC WITH TAMPEREVIDENT SEAL STERILE</t>
  </si>
  <si>
    <t>41104118</t>
  </si>
  <si>
    <t>Specimen collection container</t>
  </si>
  <si>
    <t>34479057</t>
  </si>
  <si>
    <t>(1/EA)(100/CT)</t>
  </si>
  <si>
    <t>https://api.edirx.com/WorkflowFileUploads/DocumentConsole/5E52836D-12C2-4133-81AF-29D0B08193C5.jpg</t>
  </si>
  <si>
    <t>10080196032143</t>
  </si>
  <si>
    <t>DYND30331</t>
  </si>
  <si>
    <t>MEDLINE_DYND30331</t>
  </si>
  <si>
    <t>CONTAINER SPECIMEN COLLECTION GRADUATED 4 OZ SCREW LID LEAK RESISTANT ID LABEL POLYPROPYLENE STERILE LATEXFREE 4OZ DAPA LATEX FREE</t>
  </si>
  <si>
    <t>CONTAINER SPECIMEN COLLECTION GRADUATED 4 OZ SCREW LID LEAK RESISTANT ID LABEL POLYPROPYLENE STERILE LATEXFREE</t>
  </si>
  <si>
    <t>OK</t>
  </si>
  <si>
    <t>INSUFFICIENT INFO</t>
  </si>
  <si>
    <t>SOURCED</t>
  </si>
  <si>
    <t>UNSOURCED</t>
  </si>
  <si>
    <t>THIRD PARTY</t>
  </si>
  <si>
    <t>CARDINAL HEALTH INC</t>
  </si>
  <si>
    <t>AESCULAP INC</t>
  </si>
  <si>
    <t>ARTHREX INC</t>
  </si>
  <si>
    <t>ANGIODYNAMICS INC</t>
  </si>
  <si>
    <t>ALPHATEC SPINE INC</t>
  </si>
  <si>
    <t>BK MEDITECH CO LTD</t>
  </si>
  <si>
    <t>VYAIRE MEDICAL INC</t>
  </si>
  <si>
    <t>CAREFUSION CORP</t>
  </si>
  <si>
    <t>BARD C R INC</t>
  </si>
  <si>
    <t>DEROYAL INDUSTRIES INC</t>
  </si>
  <si>
    <t>GLOBUS MEDICAL INC</t>
  </si>
  <si>
    <t>CONMED CORP</t>
  </si>
  <si>
    <t>GENERAL ELECTRIC CO</t>
  </si>
  <si>
    <t>SYNTHES</t>
  </si>
  <si>
    <t>LINKBIO CORP</t>
  </si>
  <si>
    <t>ETHICON INC</t>
  </si>
  <si>
    <t>MEDLINE INDUSTRIES INC</t>
  </si>
  <si>
    <t>ABBVIE INC</t>
  </si>
  <si>
    <t>AXONICS INC</t>
  </si>
  <si>
    <t>CARBOFIX ORTHOPEDICS LTD</t>
  </si>
  <si>
    <t>133S-FV-12-T</t>
  </si>
  <si>
    <t>AR-9501-13S</t>
  </si>
  <si>
    <t>AR-7800</t>
  </si>
  <si>
    <t>45753</t>
  </si>
  <si>
    <t>AR-8916-28</t>
  </si>
  <si>
    <t>AR-6548</t>
  </si>
  <si>
    <t>AR-7801</t>
  </si>
  <si>
    <t>AR-8735-16</t>
  </si>
  <si>
    <t>18853-45-S</t>
  </si>
  <si>
    <t>19250-40-40</t>
  </si>
  <si>
    <t>236-1-24014</t>
  </si>
  <si>
    <t>15313-42</t>
  </si>
  <si>
    <t>19500-56</t>
  </si>
  <si>
    <t>18091-45-08</t>
  </si>
  <si>
    <t>OM-1000-CI</t>
  </si>
  <si>
    <t>82130-110</t>
  </si>
  <si>
    <t>CF-1002</t>
  </si>
  <si>
    <t>77-301371</t>
  </si>
  <si>
    <t>AK-UP-0006</t>
  </si>
  <si>
    <t>CD-MF-1527</t>
  </si>
  <si>
    <t>MF-LK-2718</t>
  </si>
  <si>
    <t>FX-HD-5065</t>
  </si>
  <si>
    <t>MF-LG-3524</t>
  </si>
  <si>
    <t>CD-FX-2070</t>
  </si>
  <si>
    <t>1257.8335s</t>
  </si>
  <si>
    <t>1183.5025S</t>
  </si>
  <si>
    <t>1183.8040S</t>
  </si>
  <si>
    <t>1257.8340S</t>
  </si>
  <si>
    <t>1183.2065S</t>
  </si>
  <si>
    <t>1183.8035S</t>
  </si>
  <si>
    <t>1257.5038S</t>
  </si>
  <si>
    <t>1257.8330S</t>
  </si>
  <si>
    <t>1257.8345S</t>
  </si>
  <si>
    <t>A02 S0003</t>
  </si>
  <si>
    <t>107-PT-004-10</t>
  </si>
  <si>
    <t>03.312.710</t>
  </si>
  <si>
    <t>03.313.879</t>
  </si>
  <si>
    <t>42295509  Plastic or cosmetic tissue expanders or sets</t>
  </si>
  <si>
    <t>42294906  Endoscopic cutting instruments</t>
  </si>
  <si>
    <t>42292603  Surgical probes or directors</t>
  </si>
  <si>
    <t>42321903  Humeral stems</t>
  </si>
  <si>
    <t>42292304  Surgical tensioners</t>
  </si>
  <si>
    <t>42294925  Endoscopic needles or punches</t>
  </si>
  <si>
    <t>42294950  Endoscopic drills or drill bits</t>
  </si>
  <si>
    <t>42294978  Endoscopic trocar or sheath or obturator or cannula</t>
  </si>
  <si>
    <t>42292403  Surgical ratchet handles</t>
  </si>
  <si>
    <t>42321506  Bone screws or pegs</t>
  </si>
  <si>
    <t>42295209  Surgical drill bits</t>
  </si>
  <si>
    <t>42321609  Spinal rods</t>
  </si>
  <si>
    <t>42321610  Spinal screws or screw extensions</t>
  </si>
  <si>
    <t>42321616  Spinal connectors or couplers</t>
  </si>
  <si>
    <t>42321611  Spinal plates</t>
  </si>
  <si>
    <t>42281509  Sterilization containers or trays</t>
  </si>
  <si>
    <t>42321501  Surgical wires</t>
  </si>
  <si>
    <t>42271913  Pharyngeal airways or airways kits</t>
  </si>
  <si>
    <t>42294937  Fog reduction devices for endoscopes or mirrors</t>
  </si>
  <si>
    <t>42293107  Surgical retractors</t>
  </si>
  <si>
    <t>42142720  External urinary catheter</t>
  </si>
  <si>
    <t>47121700  Waste containers and accessories</t>
  </si>
  <si>
    <t>42321505  Bone plates</t>
  </si>
  <si>
    <t>42295202  Surgical pneumatic or battery or electric saws or drills or pin drivers</t>
  </si>
  <si>
    <t>42295204  Surgical power reamers</t>
  </si>
  <si>
    <t>42321605  Spinal interbody cages or spacers</t>
  </si>
  <si>
    <t>42321504  Intramedullary nails or rods</t>
  </si>
  <si>
    <t>42322203  Suture anchors</t>
  </si>
  <si>
    <t>42143127  Acute care fetal or maternal monitoring unit accessories</t>
  </si>
  <si>
    <t>42294202  External fixation instrument sets or systems</t>
  </si>
  <si>
    <t>42322501  External fixation rod, rail, bar, post or strut</t>
  </si>
  <si>
    <t>42312201  Sutures</t>
  </si>
  <si>
    <t>41104118  Specimen collection container</t>
  </si>
  <si>
    <t>JOINT DEVICE (IMPLANTABLE)</t>
  </si>
  <si>
    <t>C1713</t>
  </si>
  <si>
    <t>ANCHOR/SCREW FOR OPPOSING BONE-TO-BONE OR SOFT TISSUE-TO-BONE (IMPLANTABLE)</t>
  </si>
  <si>
    <t>MALE EXTERNAL CATHETER WITH INTEGRAL COLLECTION CHAMBER,  ANY TYPE, EACH</t>
  </si>
  <si>
    <t>Natrelle 133S Smooth Tissue Expanders 5.3 CM PROJECTION 12X12.5 CM 400 CC Style FV-T Full Height Variable Projection</t>
  </si>
  <si>
    <t>EXPANDER, TISSUE, GEL, 5.3 CM PROJECTION, 12X12.5 CM, 400 CC, BREAST, SMOOTH ROUND STYLE, 133S-FV-T, FULL HEIGHT, VARIABLE PROJECTION, WITH SUTURE TAB, WITH FOURTE, STERILE, NATRELLE, LATEX-FREE, DISPOSABLE</t>
  </si>
  <si>
    <t>EXPANDER</t>
  </si>
  <si>
    <t>TISSUE</t>
  </si>
  <si>
    <t>GEL</t>
  </si>
  <si>
    <t>5.3 CM PROJECTION</t>
  </si>
  <si>
    <t>12X12.5 CM</t>
  </si>
  <si>
    <t>400 CC</t>
  </si>
  <si>
    <t>BREAST</t>
  </si>
  <si>
    <t>SMOOTH ROUND STYLE, 133S-FV-T, FULL HEIGHT, VARIABLE PROJECTION, WITH SUTURE TAB, WITH FOURTE</t>
  </si>
  <si>
    <t>STERILE</t>
  </si>
  <si>
    <t>LATEX-FREE</t>
  </si>
  <si>
    <t>DISPOSABLE</t>
  </si>
  <si>
    <t>Hook Scissors 5 mm 31 cm JAW INSERT</t>
  </si>
  <si>
    <t>INSERT, SCISSOR, HOOK, 5X310 MM, MONOPOLAR, STRAIGHT, BLUNT-BLUNT, SINGLE ACTION, NON STERILE, ADTEC, LATEX-FREE, REUSABLE</t>
  </si>
  <si>
    <t>INSERT</t>
  </si>
  <si>
    <t>SCISSOR</t>
  </si>
  <si>
    <t>HOOK</t>
  </si>
  <si>
    <t>5X310 MM</t>
  </si>
  <si>
    <t>MONOPOLAR, STRAIGHT, BLUNT-BLUNT, SINGLE ACTION</t>
  </si>
  <si>
    <t>NON STERILE</t>
  </si>
  <si>
    <t>REUSABLE</t>
  </si>
  <si>
    <t>Probe With Eye straight 145 mm (5 3/4") diam. 2,50 mm</t>
  </si>
  <si>
    <t>PROBE, SURGICAL, STRAIGHT, 2.5X145 MM, WITH EYE, NON STERILE, LATEX-FREE, REUSABLE</t>
  </si>
  <si>
    <t>PROBE</t>
  </si>
  <si>
    <t>SURGICAL</t>
  </si>
  <si>
    <t>STRAIGHT</t>
  </si>
  <si>
    <t>2.5X145 MM</t>
  </si>
  <si>
    <t>WITH EYE</t>
  </si>
  <si>
    <t>Univers Revers Apex Stem Size 13</t>
  </si>
  <si>
    <t>STEM, HUMERAL, APEX, 13, STERILE, UNIVERS REVERS, LATEX, DISPOSABLE</t>
  </si>
  <si>
    <t>STEM</t>
  </si>
  <si>
    <t>HUMERAL</t>
  </si>
  <si>
    <t>APEX</t>
  </si>
  <si>
    <t>UNIVERS REVERS</t>
  </si>
  <si>
    <t>LATEX</t>
  </si>
  <si>
    <t>FiberTape Cerclage Tensioner Reusable</t>
  </si>
  <si>
    <t>TENSIONER, SURGICAL, CERCLAGE, NON STERILE, FIBERTAP, LATEX, REUSABLE</t>
  </si>
  <si>
    <t>TENSIONER</t>
  </si>
  <si>
    <t>CERCLAGE</t>
  </si>
  <si>
    <t>FIBERTAP</t>
  </si>
  <si>
    <t>Mini Stick MAX Kits Nitinol tungsten guidewire—21 G x 7 cm echogenic needle 4F stiffened</t>
  </si>
  <si>
    <t>NEEDLE, ENDOSCOPIC, ECHOGENIC, 21 GAX7 CM, 4 FR, KIT, NITINOL TUNGSTEN GUIDEWIRE, STIFFENED, STERILE, MINI STICK MAX, LATEX, DISPOSABLE</t>
  </si>
  <si>
    <t>NEEDLE</t>
  </si>
  <si>
    <t>ENDOSCOPIC</t>
  </si>
  <si>
    <t>ECHOGENIC</t>
  </si>
  <si>
    <t>21 GAX7 CM</t>
  </si>
  <si>
    <t>4 FR</t>
  </si>
  <si>
    <t>KIT, NITINOL TUNGSTEN GUIDEWIRE, STIFFENED</t>
  </si>
  <si>
    <t>MINI STICK MAX</t>
  </si>
  <si>
    <t>DRILL BIT 1.7mm SHORT</t>
  </si>
  <si>
    <t>BIT, DRILL, SHORT, 1.7 MM, NON STERILE, LATEX, DISPOSABLE</t>
  </si>
  <si>
    <t>BIT</t>
  </si>
  <si>
    <t>DRILL</t>
  </si>
  <si>
    <t>SHORT</t>
  </si>
  <si>
    <t>1.7 MM</t>
  </si>
  <si>
    <t>Low Profile Cannula 5 mm x 7 cm sterile qty. 5</t>
  </si>
  <si>
    <t>CANNULA, ARTHROSCOPIC, LOW PROFILE, 5 MMX7 CM, TWIST IN, STERILE, LATEX, DISPOSABLE</t>
  </si>
  <si>
    <t>CANNULA</t>
  </si>
  <si>
    <t>ARTHROSCOPIC</t>
  </si>
  <si>
    <t>LOW PROFILE</t>
  </si>
  <si>
    <t>5 MMX7 CM</t>
  </si>
  <si>
    <t>TWIST IN</t>
  </si>
  <si>
    <t>Cerclage Tensioner Ratcheting Handle Reusable</t>
  </si>
  <si>
    <t>HANDLE RATCHET, CERCLAGE, TENSIONER, NON STERILE, LATEX, REUSABLE</t>
  </si>
  <si>
    <t>HANDLE RATCHET</t>
  </si>
  <si>
    <t>Low Profile Screw Cortical 3.5 x 16 mm DRP</t>
  </si>
  <si>
    <t>SCREW, BONE, CORTICAL, 3.5X16 MM, DISTAL, RADIAL, LOW PROFILE, FOR PLATE, TITANIUM, NON STERILE, LATEX, DISPOSABLE</t>
  </si>
  <si>
    <t>SCREW</t>
  </si>
  <si>
    <t>BONE</t>
  </si>
  <si>
    <t>CORTICAL</t>
  </si>
  <si>
    <t>3.5X16 MM</t>
  </si>
  <si>
    <t>DISTAL, RADIAL</t>
  </si>
  <si>
    <t>LOW PROFILE, FOR PLATE</t>
  </si>
  <si>
    <t>TITANIUM</t>
  </si>
  <si>
    <t>Invictus Drill Bit Occipital Straight 4.5mm</t>
  </si>
  <si>
    <t>BIT, DRILL, OCCIPITAL, 4.5 MM, STRAIGHT, NON STERILE, INVICTUS, LATEX, DISPOSABLE</t>
  </si>
  <si>
    <t>OCCIPITAL</t>
  </si>
  <si>
    <t>4.5 MM</t>
  </si>
  <si>
    <t>Invictus Hinged Rod Ø4.0mm Cranial Ø4.0mm Caudal</t>
  </si>
  <si>
    <t>ROD, SPINAL, HINGED, 4X4 MM, CRANIAL, CAUDAL, NON STERILE, INVICTUS, LATEX, DISPOSABLE</t>
  </si>
  <si>
    <t>ROD</t>
  </si>
  <si>
    <t>SPINAL</t>
  </si>
  <si>
    <t>HINGED</t>
  </si>
  <si>
    <t>4X4 MM</t>
  </si>
  <si>
    <t>CRANIAL, CAUDAL</t>
  </si>
  <si>
    <t>Invictus 	4.0mm Variable Angle Self-Drilling Screw Single Lead 14mm</t>
  </si>
  <si>
    <t>SCREW, SPINAL, VARIABLE ANGLE, 4X14 MM, SELF DRILLING, SINGLE LEAD, NON STERILE, INVICTUS, LATEX, DISPOSABLE</t>
  </si>
  <si>
    <t>VARIABLE ANGLE</t>
  </si>
  <si>
    <t>4X14 MM</t>
  </si>
  <si>
    <t>SELF DRILLING, SINGLE LEAD</t>
  </si>
  <si>
    <t>Invictus Universal Variable Cross Connector Locking 42-52mm</t>
  </si>
  <si>
    <t>CONNECTOR, SPINAL, CROSS, 3, 42-52 MM, XLINK, UNIVERSAL VARIABLE, LOCKING, NON STERILE, INVICTUS, LATEX, DISPOSABLE</t>
  </si>
  <si>
    <t>CONNECTOR</t>
  </si>
  <si>
    <t>CROSS</t>
  </si>
  <si>
    <t>42-52 MM</t>
  </si>
  <si>
    <t>XLINK, UNIVERSAL VARIABLE, LOCKING</t>
  </si>
  <si>
    <t>Invictus Occipital Plate 56mm</t>
  </si>
  <si>
    <t>PLATE, SPINAL, OCCIPITAL, 56 MM, NON STERILE, INVICTUS, LATEX, DISPOSABLE</t>
  </si>
  <si>
    <t>PLATE</t>
  </si>
  <si>
    <t>56 MM</t>
  </si>
  <si>
    <t>Invictus Occipital Screw 4.5mm x 8mm</t>
  </si>
  <si>
    <t>SCREW, SPINAL, OCCIPITAL, 4.5X8 MM, NON STERILE, INVICTUS, LATEX, DISPOSABLE</t>
  </si>
  <si>
    <t>4.5X8 MM</t>
  </si>
  <si>
    <t>STERILIZATION TRAY, NON STERILE, LATEX-FREE, REUSABLE</t>
  </si>
  <si>
    <t>STERILIZATION TRAY</t>
  </si>
  <si>
    <t>Pre-bent Rod Ø5.5 x 110mm</t>
  </si>
  <si>
    <t>ROD, SPINAL, PREBENT, 5.5X110 MM, NON STERILE, LATEX, DISPOSABLE</t>
  </si>
  <si>
    <t>PREBENT</t>
  </si>
  <si>
    <t>5.5X110 MM</t>
  </si>
  <si>
    <t>K-Wire for use with the Piccolo Composite MTP Plate System</t>
  </si>
  <si>
    <t>WIRE, FIXATION, FOR PICCOLO COMPOSITE MTP PLATE SYSTEM, STERILE, KIRSCHNER, LATEX, DISPOSABLE</t>
  </si>
  <si>
    <t>WIRE</t>
  </si>
  <si>
    <t>FIXATION</t>
  </si>
  <si>
    <t>FOR PICCOLO COMPOSITE MTP PLATE SYSTEM</t>
  </si>
  <si>
    <t>KIRSCHNER</t>
  </si>
  <si>
    <t>Oral airways Guedel wrapped 10 cm red</t>
  </si>
  <si>
    <t>AIRWAY, OROPHARYNGEAL, GUEDEL, 10 CM, WRAPPED, RED, NON STERILE, VITAL SIGNS, LATEX-FREE, DISPOSABLE</t>
  </si>
  <si>
    <t>AIRWAY</t>
  </si>
  <si>
    <t>OROPHARYNGEAL</t>
  </si>
  <si>
    <t>GUEDEL</t>
  </si>
  <si>
    <t>10 CM</t>
  </si>
  <si>
    <t>WRAPPED</t>
  </si>
  <si>
    <t>RED</t>
  </si>
  <si>
    <t>VITAL SIGNS</t>
  </si>
  <si>
    <t>Anti-Fog Solution with adhesive-backed foam pad and radiopaque strip 6 g sterile</t>
  </si>
  <si>
    <t>SOLUTION, ANTI-FOG, 6 GM, ADHESIVE BACKED FOAM PAD, RADIOPAQUE STRIP KIT, STERILE, LATEX, DISPOSABLE</t>
  </si>
  <si>
    <t>SOLUTION</t>
  </si>
  <si>
    <t>ANTI-FOG</t>
  </si>
  <si>
    <t>6 GM</t>
  </si>
  <si>
    <t>ADHESIVE BACKED FOAM PAD, RADIOPAQUE STRIP KIT</t>
  </si>
  <si>
    <t>Gelpi retractor Self-retaining. Sharp tenaculum prongs. Total opening 5in (12.7cm). Arm length 7-1/2in (19cm). 2-3/4in (7cm) deep hooks. Overall length 11in (27.9cm)</t>
  </si>
  <si>
    <t>RETRACTOR, SURGICAL, GELPI, 11 IN, 7.5 IN, SELF-RETAINING, SHARP TENACULUM PRONG, STAINLESS STEEL</t>
  </si>
  <si>
    <t>RETRACTOR</t>
  </si>
  <si>
    <t>GELPI</t>
  </si>
  <si>
    <t>11 IN</t>
  </si>
  <si>
    <t>7.5 IN</t>
  </si>
  <si>
    <t>SELF-RETAINING, SHARP TENACULUM PRONG</t>
  </si>
  <si>
    <t>STAINLESS STEEL</t>
  </si>
  <si>
    <t>PUREWICK Female External Catheters</t>
  </si>
  <si>
    <t>CATHETER, EXTERNAL, FEMALE, WITH WIPE KIT, NON STERILE, PUREWICK, LATEX-FREE, DISPOSABLE</t>
  </si>
  <si>
    <t>CATHETER</t>
  </si>
  <si>
    <t>EXTERNAL</t>
  </si>
  <si>
    <t>FEMALE</t>
  </si>
  <si>
    <t>WITH WIPE KIT</t>
  </si>
  <si>
    <t>PUREWICK</t>
  </si>
  <si>
    <t>Splash Stop Waste Collection Bowl w/Solidifier</t>
  </si>
  <si>
    <t>BOWL, WASTE BIOHAZARD, COLLECTION, WITH SOLIDIFIER BENCHTOP, 1 PINT CAPACITY, ROUND, PLASTIC, STERILE, SPLASH STOP, LATEX-FREE</t>
  </si>
  <si>
    <t>BOWL</t>
  </si>
  <si>
    <t>WASTE BIOHAZARD</t>
  </si>
  <si>
    <t>COLLECTION</t>
  </si>
  <si>
    <t>WITH SOLIDIFIER BENCHTOP, 1 PINT CAPACITY, ROUND</t>
  </si>
  <si>
    <t>PLASTIC</t>
  </si>
  <si>
    <t>SPLASH STOP</t>
  </si>
  <si>
    <t>PolyLock Utility Straight Plate 6 Hole</t>
  </si>
  <si>
    <t>PLATE, BONE, STRAIGHT, UTILITY, 6 HOLE, NON STERILE, POLYLOCK, LATEX, DISPOSABLE</t>
  </si>
  <si>
    <t>UTILITY, 6 HOLE</t>
  </si>
  <si>
    <t>POLYLOCK</t>
  </si>
  <si>
    <t>PolyLock Midfoot Calibrated Solid Overdrill 2.7mm</t>
  </si>
  <si>
    <t>DRILL, SURGICAL, CALIBRATED, 2.7 MM, MIDFOOT, SOLID, NON STERILE, POLYLOCK, LATEX, DISPOSABLE</t>
  </si>
  <si>
    <t>CALIBRATED</t>
  </si>
  <si>
    <t>2.7 MM</t>
  </si>
  <si>
    <t>MIDFOOT</t>
  </si>
  <si>
    <t>SOLID</t>
  </si>
  <si>
    <t>PolyLock Fully Threaded Tapered Screw MF 2.7mm x 18mm Locking Non-Sterile</t>
  </si>
  <si>
    <t>SCREW, BONE, FULLY THREADED, 2.7X18 MM, MIDFOOT, TAPERED, LOCKING, NON STERILE, POLYLOCK , LATEX, DISPOSABLE</t>
  </si>
  <si>
    <t>FULLY THREADED</t>
  </si>
  <si>
    <t>2.7X18 MM</t>
  </si>
  <si>
    <t>TAPERED, LOCKING</t>
  </si>
  <si>
    <t xml:space="preserve">POLYLOCK </t>
  </si>
  <si>
    <t>FuzeFix HD 5.5mm x 65mm</t>
  </si>
  <si>
    <t>SCREW, BONE, HEADED, 5.5X65 MM, SOLID, NON STERILE, FUZEFIX, LATEX, DISPOSABLE</t>
  </si>
  <si>
    <t>HEADED</t>
  </si>
  <si>
    <t>5.5X65 MM</t>
  </si>
  <si>
    <t>PolyLock Midfoot Lag Screw 3.5mm x 24mm</t>
  </si>
  <si>
    <t>SCREW, BONE, LAG, 3.5X24 MM, MIDFOOT, NON STERILE, POLYLOCK, LATEX, DISPOSABLE</t>
  </si>
  <si>
    <t>LAG</t>
  </si>
  <si>
    <t>3.5X24 MM</t>
  </si>
  <si>
    <t>FuzeFix Proximal Reamer Cannulated 7.0mm</t>
  </si>
  <si>
    <t>REAMER, SURGICAL, CANNULATED, 7 MM, PROXIMAL, NON STERILE, FUZEFIX, LATEX, DISPOSABLE</t>
  </si>
  <si>
    <t>REAMER</t>
  </si>
  <si>
    <t>CANNULATED</t>
  </si>
  <si>
    <t>7 MM</t>
  </si>
  <si>
    <t>PROXIMAL</t>
  </si>
  <si>
    <t>AUTOBAHN EVO Headed Locking Screw 5x35mm Ti</t>
  </si>
  <si>
    <t>SCREW, SPINAL, LOCKING, 5X35 MM, HEADED, TITANIUM, STERILE, AUTOBAHN EVO, LATEX, DISPOSABLE</t>
  </si>
  <si>
    <t>LOCKING</t>
  </si>
  <si>
    <t>5X35 MM</t>
  </si>
  <si>
    <t>AUTOBAHN EVO</t>
  </si>
  <si>
    <t>AUTOBAHN Tibial Nailing System Ti Locking Screw 5x25mm Fully Threaded</t>
  </si>
  <si>
    <t>SCREW, BONE, FULLY THREADED, 5X25 MM, LOCKING, TITANIUM, STERILE, AUTOBAHN, LATEX, DISPOSABLE</t>
  </si>
  <si>
    <t>5X25 MM</t>
  </si>
  <si>
    <t>SPACER, SPINAL, 8 DEGREE, 26X34 MM, 11 MM, STERILE, HEDRON IA</t>
  </si>
  <si>
    <t>SPACER</t>
  </si>
  <si>
    <t>8 DEGREE</t>
  </si>
  <si>
    <t>26X34 MM</t>
  </si>
  <si>
    <t>11 MM</t>
  </si>
  <si>
    <t>HEDRON IA</t>
  </si>
  <si>
    <t>AUTOBAHN Tibial Nailing System Ti Headless Locking Screw 4x40mm Fully Threaded</t>
  </si>
  <si>
    <t>SCREW, BONE, FULLY THREADED, 4X40 MM, HEADLESS, LOCKING, TITANIUM, STERILE, AUTOBAHN, LATEX, DISPOSABLE</t>
  </si>
  <si>
    <t>4X40 MM</t>
  </si>
  <si>
    <t>HEADLESS, LOCKING</t>
  </si>
  <si>
    <t>AUTOBAHN EVO Headed Locking Screw 5x40mm Ti</t>
  </si>
  <si>
    <t>SCREW, SPINAL, LOCKING, 5X40 MM, HEADED, TITANIUM, STERILE, AUTOBAHN EVO, LATEX, DISPOSABLE</t>
  </si>
  <si>
    <t>5X40 MM</t>
  </si>
  <si>
    <t>AUTOBAHN Tibial Nailing System Ti Headless Locking Screw 5x65mm Fully Threaded</t>
  </si>
  <si>
    <t>SCREW, BONE, FULLY THREADED, 5X65 MM, HEADLESS, LOCKING, TITANIUM, STERILE, AUTOBAHN, LATEX, DISPOSABLE</t>
  </si>
  <si>
    <t>5X65 MM</t>
  </si>
  <si>
    <t>AUTOBAHN Tibial Nailing System Ti Headless Locking Screw 4x35mm Fully Threaded</t>
  </si>
  <si>
    <t>SCREW, BONE, FULLY THREADED, 4X35 MM, HEADLESS, LOCKING, TITANIUM, STERILE, AUTOBAHN, LATEX, DISPOSABLE</t>
  </si>
  <si>
    <t>4X35 MM</t>
  </si>
  <si>
    <t>AUTOBAHN EVO Retrograde Femoral Nail 10x380mm 5˚ Ti</t>
  </si>
  <si>
    <t>NAIL, INTRAMEDULLARY, RETROGRADE, 5 DEGREE, 10X380 MM, FEMORAL, TITANIUM, STERILE, AUTOBAHN EVO, LATEX, DISPOSABLE</t>
  </si>
  <si>
    <t>NAIL</t>
  </si>
  <si>
    <t>INTRAMEDULLARY</t>
  </si>
  <si>
    <t>RETROGRADE</t>
  </si>
  <si>
    <t>5 DEGREE</t>
  </si>
  <si>
    <t>10X380 MM</t>
  </si>
  <si>
    <t>FEMORAL</t>
  </si>
  <si>
    <t>AUTOBAHN EVO Headed Locking Screw 5x30mm Ti</t>
  </si>
  <si>
    <t>SCREW, SPINAL, LOCKING, 5X30 MM, HEADED, TITANIUM, STERILE, AUTOBAHN EVO, LATEX, DISPOSABLE</t>
  </si>
  <si>
    <t>5X30 MM</t>
  </si>
  <si>
    <t>AUTOBAHN EVO Headed Locking Screw 5x45mm Ti</t>
  </si>
  <si>
    <t>SCREW, SPINAL, LOCKING, 5X45 MM, HEADED, TITANIUM, STERILE, AUTOBAHN EVO, LATEX, DISPOSABLE</t>
  </si>
  <si>
    <t>5X45 MM</t>
  </si>
  <si>
    <t>Hercules Fully Threaded Suture Anchor Instrument Kits 3.5mm</t>
  </si>
  <si>
    <t>ANCHOR, SUTURE, FULLY THREADED, 3.5 MM, INSTRUMENT KIT, HERCULES</t>
  </si>
  <si>
    <t>ANCHOR</t>
  </si>
  <si>
    <t>SUTURE</t>
  </si>
  <si>
    <t>3.5 MM</t>
  </si>
  <si>
    <t>INSTRUMENT KIT</t>
  </si>
  <si>
    <t>HERCULES</t>
  </si>
  <si>
    <t>KESTREL BONE SCREWS 5.5mm X 25mm</t>
  </si>
  <si>
    <t>SCREW, BONE, 5.5X25 MM, TITANIUM, NON STERILE, KESTREL, LATEX, DISPOSABLE</t>
  </si>
  <si>
    <t>5.5X25 MM</t>
  </si>
  <si>
    <t>AxTiHA Ti 6Al 4V (ELI); Hydroxyapatite</t>
  </si>
  <si>
    <t>CAGE, SPINAL, HYDROXYAPATITE, TITANIUM, STERILE, AXTIHA, LATEX, DISPOSABLE</t>
  </si>
  <si>
    <t>CAGE</t>
  </si>
  <si>
    <t>HYDROXYAPATITE, TITANIUM</t>
  </si>
  <si>
    <t>Novii Patch (Box of 10)</t>
  </si>
  <si>
    <t>PATCH, FETAL MONITORING, WIRELESS SYSTEM, FOR MATERNAL INFANT CARE, NOV II</t>
  </si>
  <si>
    <t>PATCH</t>
  </si>
  <si>
    <t>FETAL MONITORING</t>
  </si>
  <si>
    <t>WIRELESS SYSTEM</t>
  </si>
  <si>
    <t>FOR MATERNAL INFANT CARE</t>
  </si>
  <si>
    <t>MAXFRAME 5/8 Rings 210 mm Aluminum</t>
  </si>
  <si>
    <t>RING, EXTERNAL FIXATION, 5/8, 210 MM, ALUMINIUM, NON STERILE, MAXFRAME, LATEX, DISPOSABLE</t>
  </si>
  <si>
    <t>RING</t>
  </si>
  <si>
    <t>EXTERNAL FIXATION</t>
  </si>
  <si>
    <t>5/8</t>
  </si>
  <si>
    <t>210 MM</t>
  </si>
  <si>
    <t>ALUMINIUM</t>
  </si>
  <si>
    <t>Polyaxial Struts Fine and Gross Adjust/Long Short (117-159 mm) 42 mm travel</t>
  </si>
  <si>
    <t>STRUT, EXTERNAL FIXATION, POLYAXIAL, SHORT, 42 MM, FINE GROSS ADJUST, FOR COMPUTER ASSISTED MULTIAXIAL CORRECTION SYSTEM, NON STERILE, MAXFRAME, LATEX, DISPOSABLE</t>
  </si>
  <si>
    <t>STRUT</t>
  </si>
  <si>
    <t>POLYAXIAL</t>
  </si>
  <si>
    <t>42 MM</t>
  </si>
  <si>
    <t>FINE GROSS ADJUST, FOR COMPUTER ASSISTED MULTIAXIAL CORRECTION SYSTEM</t>
  </si>
  <si>
    <t>Green/White Braided Synthetic Non- absorbable Surgical Suture</t>
  </si>
  <si>
    <t>SUTURE, NONABSORBABLE, BRAIDED, 2-0, 30 IN, DOUBLE ARMED, SYNTHETIC, GREEN/WHITE, STERILE, ETHIBOND, EXCEL, LATEX, DISPOSABLE</t>
  </si>
  <si>
    <t>NONABSORBABLE</t>
  </si>
  <si>
    <t>BRAIDED</t>
  </si>
  <si>
    <t>2-0</t>
  </si>
  <si>
    <t>30 IN</t>
  </si>
  <si>
    <t>DOUBLE ARMED</t>
  </si>
  <si>
    <t>SYNTHETIC</t>
  </si>
  <si>
    <t>GREEN/WHITE</t>
  </si>
  <si>
    <t>ETHIBOND, EXCEL</t>
  </si>
  <si>
    <t>Click N Close Pneumatic Tube Specimen Container with Tamper-Evident Seal Sterile Fluid Pathway 4 oz. Continuous threaded lid designed for a tight seal: a secure closure is accomplished with a natural motion and an audible "click" ensures a tight fit Graduations in both ounces and milliliters Pneumatic tube safe with 95 kPa specification Patient ID label Leak proof</t>
  </si>
  <si>
    <t>CONTAINER, SPECIMEN COLLECTION, 4 OZ, PNEUMATIC, WITH TAMPEREVIDENT SEAL, STERILE, CLICK N CLOSE, LATEX-FREE</t>
  </si>
  <si>
    <t>CONTAINER</t>
  </si>
  <si>
    <t>SPECIMEN COLLECTION</t>
  </si>
  <si>
    <t>4 OZ</t>
  </si>
  <si>
    <t>PNEUMATIC, WITH TAMPEREVIDENT SEAL</t>
  </si>
  <si>
    <t>CLICK N CLOSE</t>
  </si>
  <si>
    <t>OR Sterile Specimen Container 4OZ Suitable for use in the O.R. Graduations on polypropylene container are in oz. and cc Screw-on lid Packaged individually in peel-pouches</t>
  </si>
  <si>
    <t>CONTAINER, SPECIMEN COLLECTION, GRADUATED, 4 OZ, SCREW LID, LEAK RESISTANT, ID LABEL DAPA, POLYPROPYLENE, STERILE, LATEX-FREE</t>
  </si>
  <si>
    <t>GRADUATED</t>
  </si>
  <si>
    <t>SCREW LID, LEAK RESISTANT, ID LABEL DAPA</t>
  </si>
  <si>
    <t>POLYPROPYLENE</t>
  </si>
  <si>
    <t>https://www.natrellesurgeon.com/Content/PDF/Matchup_Guide_FNL.pdf</t>
  </si>
  <si>
    <t>Matchup_Guide_FNL.pdf</t>
  </si>
  <si>
    <t>URL NOT FOUND</t>
  </si>
  <si>
    <t>http://site.aaawholesalecompany.com/Files/aesculap.pdf, https://accessgudid.nlm.nih.gov/devices/04038653260195</t>
  </si>
  <si>
    <t>aesculap.pdf</t>
  </si>
  <si>
    <t>https://surgical-instruments.bbraun.com/p/PRID00003387</t>
  </si>
  <si>
    <t>https://www.arthrex.com/ru/products/AR-9501-13S</t>
  </si>
  <si>
    <t>https://www.arthrex.com/products/AR-7800</t>
  </si>
  <si>
    <t>https://www.medline.com/media/catalog/Docs/MKT/MINISTICKMAX_.PDF</t>
  </si>
  <si>
    <t>MINISTICKMAX_.PDF</t>
  </si>
  <si>
    <t>https://accessgudid.nlm.nih.gov/devices/00888867264946</t>
  </si>
  <si>
    <t>https://www.arthrex.com/products/AR-6548</t>
  </si>
  <si>
    <t>https://www.arthrex.com/nl/products/AR-7801</t>
  </si>
  <si>
    <t>https://www.arthrex.com/products/AR-8735-16</t>
  </si>
  <si>
    <t>https://accessgudid.nlm.nih.gov/devices/00190376330754</t>
  </si>
  <si>
    <t>https://accessgudid.nlm.nih.gov/devices/00190376350028</t>
  </si>
  <si>
    <t>https://accessgudid.nlm.nih.gov/devices/00190376329758</t>
  </si>
  <si>
    <t>https://accessgudid.nlm.nih.gov/devices/00190376350271</t>
  </si>
  <si>
    <t>https://accessgudid.nlm.nih.gov/devices/00190376350042</t>
  </si>
  <si>
    <t>https://accessgudid.nlm.nih.gov/devices/00190376249308</t>
  </si>
  <si>
    <t>https://accessgudid.nlm.nih.gov/devices/00385640050210</t>
  </si>
  <si>
    <t>https://accessgudid.nlm.nih.gov/devices/08809228125975</t>
  </si>
  <si>
    <t>https://accessgudid.nlm.nih.gov/devices/07290110201029</t>
  </si>
  <si>
    <t>https://www.vyaire.com/sites/us/files/product-catalog/VYR-US-2100008%203.0%20Anesthesia%20Catalog_FINAL-LR.pdf</t>
  </si>
  <si>
    <t>VYR-US-2100008 3.0 Anesthesia Catalog_FINAL-LR.pdf</t>
  </si>
  <si>
    <t>https://www.cardinalhealth.com/content/dam/corp/web/documents/brochure/Cardinal-Health-Anti-Fog-Solution-Brochure.pdf</t>
  </si>
  <si>
    <t>Cardinal-Health-Anti-Fog-Solution-Brochure.pdf</t>
  </si>
  <si>
    <t>https://www.bd.com/en-us/offerings/capabilities/surgical-instruments/open-instrumentation/gelpi-retractor/nl5370</t>
  </si>
  <si>
    <t>https://www.graylinemedical.com/products/bard-medical-purewick-female-external-catheters-purewick-female-external-catheter-pwf030k</t>
  </si>
  <si>
    <t>https://www.deroyal.com/products/search-catalog-item/catalog-item-preview/ac-cathlab-splashstop</t>
  </si>
  <si>
    <t>https://fusionorthopedics.com/wp-content/uploads/2023/03/STG006_PolyLock_Small-Bone09282022.pdf</t>
  </si>
  <si>
    <t>STG006_PolyLock_Small-Bone09282022.pdf</t>
  </si>
  <si>
    <t>https://accessgudid.nlm.nih.gov/devices/00840124504592</t>
  </si>
  <si>
    <t>https://accessgudid.nlm.nih.gov/devices/00819034023950</t>
  </si>
  <si>
    <t>https://accessgudid.nlm.nih.gov/devices/00840124504516</t>
  </si>
  <si>
    <t>https://fusionorthopedics.com/wp-content/uploads/2018/12/FuzeFix_Large_SurgicalTechnique_RevA.pdf</t>
  </si>
  <si>
    <t>FuzeFix_Large_SurgicalTechnique_RevA.pdf</t>
  </si>
  <si>
    <t>https://www.globusmedical.com/wp-content/uploads/2022/12/GMTGD277_AUTOBAHN_EVO_Retrograde_TechniqueGuide_RevA.pdf</t>
  </si>
  <si>
    <t>GMTGD277_AUTOBAHN_EVO_Retrograde_TechniqueGuide_RevA.pdf</t>
  </si>
  <si>
    <t>https://www.globusmedical.com/wp-content/uploads/2023/02/GMTGD198_AUTOBAHN_TibialNail_TechniqueGuide_RevC.pdf</t>
  </si>
  <si>
    <t>GMTGD198_AUTOBAHN_TibialNail_TechniqueGuide_RevC.pdf</t>
  </si>
  <si>
    <t>https://www.conmed.com/-/media/conmed/documents/clinical/hercules_anchor_st.ashx</t>
  </si>
  <si>
    <t>https://thespinemarketgroup.com/wp-content/uploads/2020/03/Kestrel-Surgical-Technique.pdf</t>
  </si>
  <si>
    <t>Kestrel-Surgical-Technique.pdf</t>
  </si>
  <si>
    <t>https://accessgudid.nlm.nih.gov/devices/M711AXTI1240080</t>
  </si>
  <si>
    <t>https://services.gehealthcare.com/gehcstorefront/p/107-PT-004-10?catalogCode=01</t>
  </si>
  <si>
    <t>http://synthes.vo.llnwd.net/o16/LLNWMB8/INT%20Mobile/Synthes%20International/Product%20Support%20Material/legacy_Synthes_PDF/Maxframe%20Surgical%20Technique%20Guide%20-%20096476180807.pdf</t>
  </si>
  <si>
    <t>Maxframe Surgical Technique Guide - 096476180807.pdf</t>
  </si>
  <si>
    <t>http://synthes.vo.llnwd.net/o16/LLNWMB8/INT%20Mobile/Synthes%20International/Product%20Support%20Material/legacy_Synthes_PDF/096476.pdf</t>
  </si>
  <si>
    <t>legacy_Synthes_PDF/096476.pdf</t>
  </si>
  <si>
    <t>https://www.meddevudi.com/sites/default/files/PDF_Download/Ethicon.pdf</t>
  </si>
  <si>
    <t>Ethicon.pdf</t>
  </si>
  <si>
    <t>https://www.medline.com/sku/item/MDPDYND30385?skuIndex=P1S1&amp;question=DYND30331&amp;flowType=search&amp;indexCount=1</t>
  </si>
  <si>
    <t>https://www.medline.com/sku/item/MDPDYND30331?skuIndex=P1S1&amp;question=DYND30331&amp;flowType=search&amp;indexCount=1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</si>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</sst>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/>
    <xf numFmtId="49" fontId="3" fillId="5" borderId="0" xfId="0" applyNumberFormat="1" applyFont="1" applyFill="1" applyAlignment="1">
      <alignment horizontal="left" vertical="center" indent="1"/>
    </xf>
    <xf numFmtId="0" fontId="5" fillId="6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4" fillId="0" borderId="0" xfId="0" quotePrefix="1" applyFont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_MB_Items_4141" xfId="1" xr:uid="{3E7531F2-58AC-4ECF-93D5-0DF9FFE59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94BD-C4FF-46AF-A9D2-ED09753CA731}">
  <dimension ref="A1:CG54"/>
  <sheetViews>
    <sheetView tabSelected="1" topLeftCell="BT1" workbookViewId="0">
      <selection activeCell="CF1" sqref="CF1"/>
    </sheetView>
  </sheetViews>
  <sheetFormatPr defaultRowHeight="14.4" x14ac:dyDescent="0.3"/>
  <cols>
    <col min="1" max="1" width="14.5546875" bestFit="1" customWidth="1"/>
    <col min="2" max="2" width="7.6640625" bestFit="1" customWidth="1"/>
    <col min="3" max="3" width="8.5546875" bestFit="1" customWidth="1"/>
    <col min="4" max="4" width="13.21875" bestFit="1" customWidth="1"/>
    <col min="5" max="5" width="15.109375" bestFit="1" customWidth="1"/>
    <col min="6" max="6" width="13.33203125" bestFit="1" customWidth="1"/>
    <col min="7" max="7" width="9.5546875" bestFit="1" customWidth="1"/>
    <col min="8" max="8" width="10" bestFit="1" customWidth="1"/>
    <col min="9" max="9" width="13.88671875" bestFit="1" customWidth="1"/>
    <col min="11" max="11" width="9" bestFit="1" customWidth="1"/>
    <col min="12" max="12" width="13.6640625" bestFit="1" customWidth="1"/>
    <col min="13" max="13" width="12.5546875" bestFit="1" customWidth="1"/>
    <col min="14" max="14" width="10.33203125" bestFit="1" customWidth="1"/>
    <col min="15" max="15" width="14" bestFit="1" customWidth="1"/>
    <col min="16" max="16" width="11.44140625" bestFit="1" customWidth="1"/>
    <col min="17" max="17" width="5" bestFit="1" customWidth="1"/>
    <col min="18" max="18" width="5.88671875" bestFit="1" customWidth="1"/>
    <col min="19" max="19" width="16.21875" bestFit="1" customWidth="1"/>
    <col min="20" max="20" width="13.33203125" bestFit="1" customWidth="1"/>
    <col min="21" max="21" width="8.6640625" bestFit="1" customWidth="1"/>
    <col min="22" max="22" width="9.5546875" bestFit="1" customWidth="1"/>
    <col min="23" max="23" width="13.77734375" bestFit="1" customWidth="1"/>
    <col min="24" max="24" width="11.21875" bestFit="1" customWidth="1"/>
    <col min="25" max="25" width="18" bestFit="1" customWidth="1"/>
    <col min="26" max="26" width="12.109375" bestFit="1" customWidth="1"/>
    <col min="27" max="27" width="17" bestFit="1" customWidth="1"/>
    <col min="28" max="28" width="9.6640625" bestFit="1" customWidth="1"/>
    <col min="29" max="29" width="7.5546875" bestFit="1" customWidth="1"/>
    <col min="30" max="30" width="5.88671875" bestFit="1" customWidth="1"/>
    <col min="31" max="31" width="6.109375" bestFit="1" customWidth="1"/>
    <col min="32" max="32" width="13.5546875" bestFit="1" customWidth="1"/>
    <col min="33" max="33" width="14.109375" bestFit="1" customWidth="1"/>
    <col min="34" max="34" width="6.109375" bestFit="1" customWidth="1"/>
    <col min="35" max="35" width="10.109375" bestFit="1" customWidth="1"/>
    <col min="36" max="36" width="7.21875" bestFit="1" customWidth="1"/>
    <col min="37" max="37" width="16.109375" bestFit="1" customWidth="1"/>
    <col min="38" max="38" width="9.88671875" bestFit="1" customWidth="1"/>
    <col min="39" max="39" width="10.33203125" bestFit="1" customWidth="1"/>
    <col min="40" max="40" width="15.44140625" bestFit="1" customWidth="1"/>
    <col min="41" max="41" width="38" bestFit="1" customWidth="1"/>
    <col min="42" max="42" width="14.21875" bestFit="1" customWidth="1"/>
    <col min="43" max="43" width="25.109375" bestFit="1" customWidth="1"/>
    <col min="44" max="44" width="3.77734375" bestFit="1" customWidth="1"/>
    <col min="45" max="45" width="5.21875" bestFit="1" customWidth="1"/>
    <col min="46" max="46" width="7.77734375" bestFit="1" customWidth="1"/>
    <col min="47" max="47" width="8.33203125" bestFit="1" customWidth="1"/>
    <col min="48" max="48" width="4.109375" bestFit="1" customWidth="1"/>
    <col min="49" max="49" width="4" bestFit="1" customWidth="1"/>
    <col min="50" max="50" width="35.6640625" bestFit="1" customWidth="1"/>
    <col min="51" max="51" width="38.21875" bestFit="1" customWidth="1"/>
    <col min="52" max="52" width="13.6640625" bestFit="1" customWidth="1"/>
    <col min="53" max="53" width="6.88671875" bestFit="1" customWidth="1"/>
    <col min="54" max="54" width="7.5546875" bestFit="1" customWidth="1"/>
    <col min="55" max="55" width="7.88671875" bestFit="1" customWidth="1"/>
    <col min="56" max="56" width="7.6640625" bestFit="1" customWidth="1"/>
    <col min="57" max="57" width="27.44140625" bestFit="1" customWidth="1"/>
    <col min="58" max="58" width="5.109375" bestFit="1" customWidth="1"/>
    <col min="59" max="59" width="6.109375" bestFit="1" customWidth="1"/>
    <col min="60" max="60" width="11.33203125" bestFit="1" customWidth="1"/>
    <col min="61" max="61" width="5.21875" bestFit="1" customWidth="1"/>
    <col min="62" max="62" width="9.5546875" bestFit="1" customWidth="1"/>
    <col min="63" max="63" width="12.21875" bestFit="1" customWidth="1"/>
    <col min="64" max="65" width="4.109375" bestFit="1" customWidth="1"/>
    <col min="66" max="66" width="16.88671875" bestFit="1" customWidth="1"/>
    <col min="67" max="67" width="18.109375" bestFit="1" customWidth="1"/>
    <col min="68" max="68" width="7.88671875" bestFit="1" customWidth="1"/>
    <col min="69" max="69" width="18.6640625" bestFit="1" customWidth="1"/>
    <col min="70" max="70" width="8.21875" bestFit="1" customWidth="1"/>
    <col min="71" max="71" width="19.109375" bestFit="1" customWidth="1"/>
    <col min="72" max="72" width="17.88671875" bestFit="1" customWidth="1"/>
    <col min="73" max="73" width="7.109375" bestFit="1" customWidth="1"/>
    <col min="74" max="74" width="34" bestFit="1" customWidth="1"/>
    <col min="75" max="75" width="33.6640625" bestFit="1" customWidth="1"/>
    <col min="76" max="76" width="11.109375" bestFit="1" customWidth="1"/>
    <col min="77" max="77" width="13.33203125" bestFit="1" customWidth="1"/>
    <col min="78" max="78" width="5.109375" bestFit="1" customWidth="1"/>
    <col min="79" max="79" width="18" bestFit="1" customWidth="1"/>
    <col min="80" max="80" width="19.6640625" bestFit="1" customWidth="1"/>
    <col min="82" max="82" width="10.33203125" bestFit="1" customWidth="1"/>
    <col min="83" max="83" width="3.77734375" bestFit="1" customWidth="1"/>
    <col min="84" max="84" width="5" bestFit="1" customWidth="1"/>
    <col min="85" max="85" width="16.21875" bestFit="1" customWidth="1"/>
  </cols>
  <sheetData>
    <row r="1" spans="1:8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4" t="s">
        <v>25</v>
      </c>
      <c r="AA1" s="3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6" t="s">
        <v>41</v>
      </c>
      <c r="AQ1" s="6" t="s">
        <v>42</v>
      </c>
      <c r="AR1" s="6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6" t="s">
        <v>63</v>
      </c>
      <c r="BM1" s="6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10" t="s">
        <v>83</v>
      </c>
      <c r="CG1" s="10" t="s">
        <v>84</v>
      </c>
    </row>
    <row r="2" spans="1:85" x14ac:dyDescent="0.3">
      <c r="A2" s="11" t="s">
        <v>85</v>
      </c>
      <c r="B2" s="11" t="s">
        <v>86</v>
      </c>
      <c r="C2" s="12" t="s">
        <v>87</v>
      </c>
      <c r="D2" s="12" t="s">
        <v>481</v>
      </c>
      <c r="E2" s="12" t="s">
        <v>87</v>
      </c>
      <c r="F2" s="12" t="s">
        <v>479</v>
      </c>
      <c r="G2" s="13" t="s">
        <v>88</v>
      </c>
      <c r="H2" s="12"/>
      <c r="I2" s="12"/>
      <c r="J2" s="12"/>
      <c r="K2" s="12"/>
      <c r="L2" s="12"/>
      <c r="M2" s="12"/>
      <c r="N2" s="12"/>
      <c r="O2" s="12"/>
      <c r="P2" s="12"/>
      <c r="Q2" s="12">
        <v>11</v>
      </c>
      <c r="R2" s="12">
        <v>11</v>
      </c>
      <c r="S2" s="12" t="s">
        <v>89</v>
      </c>
      <c r="T2" s="12" t="s">
        <v>90</v>
      </c>
      <c r="U2" s="12" t="s">
        <v>91</v>
      </c>
      <c r="V2" s="12" t="s">
        <v>92</v>
      </c>
      <c r="W2" s="12"/>
      <c r="X2" s="12" t="s">
        <v>93</v>
      </c>
      <c r="Y2" s="12" t="s">
        <v>501</v>
      </c>
      <c r="Z2" s="12" t="s">
        <v>94</v>
      </c>
      <c r="AA2" s="12" t="s">
        <v>504</v>
      </c>
      <c r="AB2" s="12" t="s">
        <v>93</v>
      </c>
      <c r="AC2" s="12" t="s">
        <v>504</v>
      </c>
      <c r="AD2" s="14" t="s">
        <v>94</v>
      </c>
      <c r="AE2" s="12" t="s">
        <v>95</v>
      </c>
      <c r="AF2" s="12" t="s">
        <v>96</v>
      </c>
      <c r="AG2" s="12" t="s">
        <v>97</v>
      </c>
      <c r="AH2" s="12"/>
      <c r="AI2" s="12" t="s">
        <v>98</v>
      </c>
      <c r="AJ2" s="12" t="s">
        <v>99</v>
      </c>
      <c r="AK2" s="12" t="s">
        <v>100</v>
      </c>
      <c r="AL2" s="12" t="s">
        <v>541</v>
      </c>
      <c r="AM2" s="12"/>
      <c r="AN2" s="12"/>
      <c r="AO2" s="12" t="s">
        <v>578</v>
      </c>
      <c r="AP2" s="12" t="s">
        <v>579</v>
      </c>
      <c r="AQ2" s="12" t="s">
        <v>579</v>
      </c>
      <c r="AR2" s="12">
        <f t="shared" ref="AR2:AR33" si="0">LEN(SUBSTITUTE(AQ2, ", "," "))</f>
        <v>190</v>
      </c>
      <c r="AS2" s="12" t="s">
        <v>580</v>
      </c>
      <c r="AT2" s="12" t="s">
        <v>581</v>
      </c>
      <c r="AU2" s="12" t="s">
        <v>582</v>
      </c>
      <c r="AV2" s="12" t="s">
        <v>583</v>
      </c>
      <c r="AW2" s="12"/>
      <c r="AX2" s="12" t="s">
        <v>584</v>
      </c>
      <c r="AY2" s="12"/>
      <c r="AZ2" s="12" t="s">
        <v>585</v>
      </c>
      <c r="BA2" s="12"/>
      <c r="BB2" s="12" t="s">
        <v>586</v>
      </c>
      <c r="BC2" s="12" t="s">
        <v>587</v>
      </c>
      <c r="BD2" s="12"/>
      <c r="BE2" s="12"/>
      <c r="BF2" s="12"/>
      <c r="BG2" s="12" t="s">
        <v>588</v>
      </c>
      <c r="BH2" s="12" t="s">
        <v>98</v>
      </c>
      <c r="BI2" s="12" t="s">
        <v>589</v>
      </c>
      <c r="BJ2" s="12" t="s">
        <v>590</v>
      </c>
      <c r="BK2" s="12"/>
      <c r="BL2" s="12" t="s">
        <v>858</v>
      </c>
      <c r="BM2" s="12" t="s">
        <v>859</v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0" t="s">
        <v>912</v>
      </c>
      <c r="CG2" s="10"/>
    </row>
    <row r="3" spans="1:85" x14ac:dyDescent="0.3">
      <c r="A3" s="11" t="s">
        <v>85</v>
      </c>
      <c r="B3" s="11" t="s">
        <v>86</v>
      </c>
      <c r="C3" s="12" t="s">
        <v>87</v>
      </c>
      <c r="D3" s="12" t="s">
        <v>482</v>
      </c>
      <c r="E3" s="12" t="s">
        <v>87</v>
      </c>
      <c r="F3" s="12" t="s">
        <v>480</v>
      </c>
      <c r="G3" s="13" t="s">
        <v>88</v>
      </c>
      <c r="H3" s="12"/>
      <c r="I3" s="12"/>
      <c r="J3" s="12"/>
      <c r="K3" s="12"/>
      <c r="L3" s="12"/>
      <c r="M3" s="12"/>
      <c r="N3" s="12"/>
      <c r="O3" s="12"/>
      <c r="P3" s="12"/>
      <c r="Q3" s="12">
        <v>15</v>
      </c>
      <c r="R3" s="12">
        <v>15</v>
      </c>
      <c r="S3" s="12" t="s">
        <v>101</v>
      </c>
      <c r="T3" s="12"/>
      <c r="U3" s="12"/>
      <c r="V3" s="12" t="s">
        <v>92</v>
      </c>
      <c r="W3" s="12"/>
      <c r="X3" s="12" t="s">
        <v>102</v>
      </c>
      <c r="Y3" s="12" t="s">
        <v>484</v>
      </c>
      <c r="Z3" s="12" t="s">
        <v>103</v>
      </c>
      <c r="AA3" s="12" t="s">
        <v>103</v>
      </c>
      <c r="AB3" s="12" t="s">
        <v>104</v>
      </c>
      <c r="AC3" s="12" t="s">
        <v>103</v>
      </c>
      <c r="AD3" s="14" t="s">
        <v>103</v>
      </c>
      <c r="AE3" s="12" t="s">
        <v>105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>
        <f t="shared" si="0"/>
        <v>0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 t="s">
        <v>860</v>
      </c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0" t="s">
        <v>912</v>
      </c>
      <c r="CG3" s="10"/>
    </row>
    <row r="4" spans="1:85" x14ac:dyDescent="0.3">
      <c r="A4" s="11" t="s">
        <v>85</v>
      </c>
      <c r="B4" s="11" t="s">
        <v>86</v>
      </c>
      <c r="C4" s="12" t="s">
        <v>87</v>
      </c>
      <c r="D4" s="12" t="s">
        <v>482</v>
      </c>
      <c r="E4" s="12" t="s">
        <v>87</v>
      </c>
      <c r="F4" s="12" t="s">
        <v>480</v>
      </c>
      <c r="G4" s="13" t="s">
        <v>88</v>
      </c>
      <c r="H4" s="12"/>
      <c r="I4" s="12"/>
      <c r="J4" s="12"/>
      <c r="K4" s="12"/>
      <c r="L4" s="12"/>
      <c r="M4" s="12"/>
      <c r="N4" s="12"/>
      <c r="O4" s="12"/>
      <c r="P4" s="12"/>
      <c r="Q4" s="12">
        <v>16</v>
      </c>
      <c r="R4" s="12">
        <v>16</v>
      </c>
      <c r="S4" s="12" t="s">
        <v>106</v>
      </c>
      <c r="T4" s="12"/>
      <c r="U4" s="12"/>
      <c r="V4" s="12" t="s">
        <v>92</v>
      </c>
      <c r="W4" s="12"/>
      <c r="X4" s="12" t="s">
        <v>102</v>
      </c>
      <c r="Y4" s="12" t="s">
        <v>484</v>
      </c>
      <c r="Z4" s="12" t="s">
        <v>107</v>
      </c>
      <c r="AA4" s="12" t="s">
        <v>107</v>
      </c>
      <c r="AB4" s="12" t="s">
        <v>104</v>
      </c>
      <c r="AC4" s="12" t="s">
        <v>107</v>
      </c>
      <c r="AD4" s="14" t="s">
        <v>107</v>
      </c>
      <c r="AE4" s="12" t="s">
        <v>108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>
        <f t="shared" si="0"/>
        <v>0</v>
      </c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 t="s">
        <v>860</v>
      </c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0" t="s">
        <v>912</v>
      </c>
      <c r="CG4" s="10"/>
    </row>
    <row r="5" spans="1:85" x14ac:dyDescent="0.3">
      <c r="A5" s="11" t="s">
        <v>85</v>
      </c>
      <c r="B5" s="11" t="s">
        <v>86</v>
      </c>
      <c r="C5" s="12" t="s">
        <v>87</v>
      </c>
      <c r="D5" s="12" t="s">
        <v>481</v>
      </c>
      <c r="E5" s="12" t="s">
        <v>87</v>
      </c>
      <c r="F5" s="12" t="s">
        <v>479</v>
      </c>
      <c r="G5" s="13" t="s">
        <v>88</v>
      </c>
      <c r="H5" s="12"/>
      <c r="I5" s="12"/>
      <c r="J5" s="12"/>
      <c r="K5" s="12"/>
      <c r="L5" s="12"/>
      <c r="M5" s="12"/>
      <c r="N5" s="12"/>
      <c r="O5" s="12"/>
      <c r="P5" s="12"/>
      <c r="Q5" s="12">
        <v>17</v>
      </c>
      <c r="R5" s="12">
        <v>17</v>
      </c>
      <c r="S5" s="12" t="s">
        <v>109</v>
      </c>
      <c r="T5" s="12" t="s">
        <v>90</v>
      </c>
      <c r="U5" s="12" t="s">
        <v>110</v>
      </c>
      <c r="V5" s="12" t="s">
        <v>111</v>
      </c>
      <c r="W5" s="12" t="s">
        <v>112</v>
      </c>
      <c r="X5" s="12" t="s">
        <v>113</v>
      </c>
      <c r="Y5" s="12" t="s">
        <v>485</v>
      </c>
      <c r="Z5" s="12" t="s">
        <v>114</v>
      </c>
      <c r="AA5" s="12" t="s">
        <v>114</v>
      </c>
      <c r="AB5" s="12" t="s">
        <v>115</v>
      </c>
      <c r="AC5" s="12" t="s">
        <v>114</v>
      </c>
      <c r="AD5" s="14" t="s">
        <v>114</v>
      </c>
      <c r="AE5" s="12" t="s">
        <v>116</v>
      </c>
      <c r="AF5" s="12" t="s">
        <v>117</v>
      </c>
      <c r="AG5" s="12" t="s">
        <v>118</v>
      </c>
      <c r="AH5" s="12"/>
      <c r="AI5" s="12" t="s">
        <v>119</v>
      </c>
      <c r="AJ5" s="12" t="s">
        <v>120</v>
      </c>
      <c r="AK5" s="12" t="s">
        <v>121</v>
      </c>
      <c r="AL5" s="12" t="s">
        <v>542</v>
      </c>
      <c r="AM5" s="12"/>
      <c r="AN5" s="12"/>
      <c r="AO5" s="12" t="s">
        <v>591</v>
      </c>
      <c r="AP5" s="12" t="s">
        <v>592</v>
      </c>
      <c r="AQ5" s="12" t="s">
        <v>592</v>
      </c>
      <c r="AR5" s="12">
        <f t="shared" si="0"/>
        <v>111</v>
      </c>
      <c r="AS5" s="12" t="s">
        <v>593</v>
      </c>
      <c r="AT5" s="12" t="s">
        <v>594</v>
      </c>
      <c r="AU5" s="12" t="s">
        <v>595</v>
      </c>
      <c r="AV5" s="12"/>
      <c r="AW5" s="12"/>
      <c r="AX5" s="12" t="s">
        <v>596</v>
      </c>
      <c r="AY5" s="12"/>
      <c r="AZ5" s="12"/>
      <c r="BA5" s="12"/>
      <c r="BB5" s="12"/>
      <c r="BC5" s="12" t="s">
        <v>597</v>
      </c>
      <c r="BD5" s="12"/>
      <c r="BE5" s="12"/>
      <c r="BF5" s="12"/>
      <c r="BG5" s="12" t="s">
        <v>598</v>
      </c>
      <c r="BH5" s="12" t="s">
        <v>119</v>
      </c>
      <c r="BI5" s="12" t="s">
        <v>589</v>
      </c>
      <c r="BJ5" s="12" t="s">
        <v>599</v>
      </c>
      <c r="BK5" s="12"/>
      <c r="BL5" s="12" t="s">
        <v>861</v>
      </c>
      <c r="BM5" s="12" t="s">
        <v>862</v>
      </c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0" t="s">
        <v>912</v>
      </c>
      <c r="CG5" s="10"/>
    </row>
    <row r="6" spans="1:85" x14ac:dyDescent="0.3">
      <c r="A6" s="11" t="s">
        <v>85</v>
      </c>
      <c r="B6" s="11" t="s">
        <v>86</v>
      </c>
      <c r="C6" s="12" t="s">
        <v>87</v>
      </c>
      <c r="D6" s="12" t="s">
        <v>481</v>
      </c>
      <c r="E6" s="12" t="s">
        <v>87</v>
      </c>
      <c r="F6" s="12" t="s">
        <v>479</v>
      </c>
      <c r="G6" s="13" t="s">
        <v>88</v>
      </c>
      <c r="H6" s="12"/>
      <c r="I6" s="12"/>
      <c r="J6" s="12"/>
      <c r="K6" s="12"/>
      <c r="L6" s="12"/>
      <c r="M6" s="12"/>
      <c r="N6" s="12"/>
      <c r="O6" s="12"/>
      <c r="P6" s="12"/>
      <c r="Q6" s="12">
        <v>18</v>
      </c>
      <c r="R6" s="12">
        <v>18</v>
      </c>
      <c r="S6" s="12" t="s">
        <v>122</v>
      </c>
      <c r="T6" s="12" t="s">
        <v>90</v>
      </c>
      <c r="U6" s="12" t="s">
        <v>123</v>
      </c>
      <c r="V6" s="12" t="s">
        <v>111</v>
      </c>
      <c r="W6" s="12" t="s">
        <v>124</v>
      </c>
      <c r="X6" s="12" t="s">
        <v>113</v>
      </c>
      <c r="Y6" s="12" t="s">
        <v>485</v>
      </c>
      <c r="Z6" s="12" t="s">
        <v>125</v>
      </c>
      <c r="AA6" s="12" t="s">
        <v>125</v>
      </c>
      <c r="AB6" s="12" t="s">
        <v>115</v>
      </c>
      <c r="AC6" s="12" t="s">
        <v>125</v>
      </c>
      <c r="AD6" s="14" t="s">
        <v>125</v>
      </c>
      <c r="AE6" s="12" t="s">
        <v>126</v>
      </c>
      <c r="AF6" s="12" t="s">
        <v>127</v>
      </c>
      <c r="AG6" s="12" t="s">
        <v>128</v>
      </c>
      <c r="AH6" s="12"/>
      <c r="AI6" s="12" t="s">
        <v>113</v>
      </c>
      <c r="AJ6" s="12" t="s">
        <v>129</v>
      </c>
      <c r="AK6" s="12" t="s">
        <v>130</v>
      </c>
      <c r="AL6" s="12" t="s">
        <v>543</v>
      </c>
      <c r="AM6" s="12"/>
      <c r="AN6" s="12"/>
      <c r="AO6" s="12" t="s">
        <v>600</v>
      </c>
      <c r="AP6" s="12" t="s">
        <v>601</v>
      </c>
      <c r="AQ6" s="12" t="s">
        <v>601</v>
      </c>
      <c r="AR6" s="12">
        <f t="shared" si="0"/>
        <v>75</v>
      </c>
      <c r="AS6" s="12" t="s">
        <v>602</v>
      </c>
      <c r="AT6" s="12" t="s">
        <v>603</v>
      </c>
      <c r="AU6" s="12" t="s">
        <v>604</v>
      </c>
      <c r="AV6" s="12"/>
      <c r="AW6" s="12"/>
      <c r="AX6" s="12" t="s">
        <v>605</v>
      </c>
      <c r="AY6" s="12"/>
      <c r="AZ6" s="12"/>
      <c r="BA6" s="12"/>
      <c r="BB6" s="12"/>
      <c r="BC6" s="12" t="s">
        <v>606</v>
      </c>
      <c r="BD6" s="12"/>
      <c r="BE6" s="12"/>
      <c r="BF6" s="12"/>
      <c r="BG6" s="12" t="s">
        <v>598</v>
      </c>
      <c r="BH6" s="12"/>
      <c r="BI6" s="12" t="s">
        <v>589</v>
      </c>
      <c r="BJ6" s="12" t="s">
        <v>599</v>
      </c>
      <c r="BK6" s="12"/>
      <c r="BL6" s="15" t="s">
        <v>863</v>
      </c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0" t="s">
        <v>912</v>
      </c>
      <c r="CG6" s="10"/>
    </row>
    <row r="7" spans="1:85" x14ac:dyDescent="0.3">
      <c r="A7" s="11" t="s">
        <v>85</v>
      </c>
      <c r="B7" s="11" t="s">
        <v>86</v>
      </c>
      <c r="C7" s="12" t="s">
        <v>87</v>
      </c>
      <c r="D7" s="12" t="s">
        <v>481</v>
      </c>
      <c r="E7" s="12" t="s">
        <v>87</v>
      </c>
      <c r="F7" s="12" t="s">
        <v>479</v>
      </c>
      <c r="G7" s="13" t="s">
        <v>88</v>
      </c>
      <c r="H7" s="12"/>
      <c r="I7" s="12"/>
      <c r="J7" s="12"/>
      <c r="K7" s="12"/>
      <c r="L7" s="12"/>
      <c r="M7" s="12"/>
      <c r="N7" s="12"/>
      <c r="O7" s="12"/>
      <c r="P7" s="12"/>
      <c r="Q7" s="12">
        <v>28</v>
      </c>
      <c r="R7" s="12">
        <v>28</v>
      </c>
      <c r="S7" s="12" t="s">
        <v>131</v>
      </c>
      <c r="T7" s="12" t="s">
        <v>90</v>
      </c>
      <c r="U7" s="12" t="s">
        <v>132</v>
      </c>
      <c r="V7" s="12" t="s">
        <v>92</v>
      </c>
      <c r="W7" s="12" t="s">
        <v>133</v>
      </c>
      <c r="X7" s="12" t="s">
        <v>134</v>
      </c>
      <c r="Y7" s="12" t="s">
        <v>486</v>
      </c>
      <c r="Z7" s="12" t="s">
        <v>135</v>
      </c>
      <c r="AA7" s="12" t="s">
        <v>505</v>
      </c>
      <c r="AB7" s="12" t="s">
        <v>134</v>
      </c>
      <c r="AC7" s="12" t="s">
        <v>505</v>
      </c>
      <c r="AD7" s="14" t="s">
        <v>135</v>
      </c>
      <c r="AE7" s="12" t="s">
        <v>136</v>
      </c>
      <c r="AF7" s="12" t="s">
        <v>137</v>
      </c>
      <c r="AG7" s="12"/>
      <c r="AH7" s="12" t="s">
        <v>138</v>
      </c>
      <c r="AI7" s="12" t="s">
        <v>139</v>
      </c>
      <c r="AJ7" s="12" t="s">
        <v>140</v>
      </c>
      <c r="AK7" s="12" t="s">
        <v>141</v>
      </c>
      <c r="AL7" s="12" t="s">
        <v>544</v>
      </c>
      <c r="AM7" s="12" t="s">
        <v>138</v>
      </c>
      <c r="AN7" s="12" t="s">
        <v>574</v>
      </c>
      <c r="AO7" s="12" t="s">
        <v>607</v>
      </c>
      <c r="AP7" s="12" t="s">
        <v>608</v>
      </c>
      <c r="AQ7" s="12" t="s">
        <v>608</v>
      </c>
      <c r="AR7" s="12">
        <f t="shared" si="0"/>
        <v>60</v>
      </c>
      <c r="AS7" s="12" t="s">
        <v>609</v>
      </c>
      <c r="AT7" s="12" t="s">
        <v>610</v>
      </c>
      <c r="AU7" s="12" t="s">
        <v>611</v>
      </c>
      <c r="AV7" s="12">
        <v>13</v>
      </c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 t="s">
        <v>588</v>
      </c>
      <c r="BH7" s="12" t="s">
        <v>612</v>
      </c>
      <c r="BI7" s="12" t="s">
        <v>613</v>
      </c>
      <c r="BJ7" s="12" t="s">
        <v>590</v>
      </c>
      <c r="BK7" s="12"/>
      <c r="BL7" s="15" t="s">
        <v>864</v>
      </c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0" t="s">
        <v>912</v>
      </c>
      <c r="CG7" s="10"/>
    </row>
    <row r="8" spans="1:85" x14ac:dyDescent="0.3">
      <c r="A8" s="11" t="s">
        <v>85</v>
      </c>
      <c r="B8" s="11" t="s">
        <v>86</v>
      </c>
      <c r="C8" s="12" t="s">
        <v>87</v>
      </c>
      <c r="D8" s="12" t="s">
        <v>481</v>
      </c>
      <c r="E8" s="12" t="s">
        <v>87</v>
      </c>
      <c r="F8" s="12" t="s">
        <v>479</v>
      </c>
      <c r="G8" s="13" t="s">
        <v>88</v>
      </c>
      <c r="H8" s="12"/>
      <c r="I8" s="12"/>
      <c r="J8" s="12"/>
      <c r="K8" s="12"/>
      <c r="L8" s="12"/>
      <c r="M8" s="12"/>
      <c r="N8" s="12"/>
      <c r="O8" s="12"/>
      <c r="P8" s="12"/>
      <c r="Q8" s="12">
        <v>29</v>
      </c>
      <c r="R8" s="12">
        <v>29</v>
      </c>
      <c r="S8" s="12" t="s">
        <v>142</v>
      </c>
      <c r="T8" s="12" t="s">
        <v>90</v>
      </c>
      <c r="U8" s="12" t="s">
        <v>143</v>
      </c>
      <c r="V8" s="12" t="s">
        <v>92</v>
      </c>
      <c r="W8" s="12" t="s">
        <v>144</v>
      </c>
      <c r="X8" s="12" t="s">
        <v>134</v>
      </c>
      <c r="Y8" s="12" t="s">
        <v>486</v>
      </c>
      <c r="Z8" s="12" t="s">
        <v>145</v>
      </c>
      <c r="AA8" s="12" t="s">
        <v>506</v>
      </c>
      <c r="AB8" s="12" t="s">
        <v>134</v>
      </c>
      <c r="AC8" s="12" t="s">
        <v>506</v>
      </c>
      <c r="AD8" s="14" t="s">
        <v>145</v>
      </c>
      <c r="AE8" s="12" t="s">
        <v>146</v>
      </c>
      <c r="AF8" s="12" t="s">
        <v>147</v>
      </c>
      <c r="AG8" s="12"/>
      <c r="AH8" s="12"/>
      <c r="AI8" s="12" t="s">
        <v>134</v>
      </c>
      <c r="AJ8" s="12" t="s">
        <v>148</v>
      </c>
      <c r="AK8" s="12" t="s">
        <v>149</v>
      </c>
      <c r="AL8" s="12" t="s">
        <v>545</v>
      </c>
      <c r="AM8" s="12"/>
      <c r="AN8" s="12"/>
      <c r="AO8" s="12" t="s">
        <v>614</v>
      </c>
      <c r="AP8" s="12" t="s">
        <v>615</v>
      </c>
      <c r="AQ8" s="12" t="s">
        <v>615</v>
      </c>
      <c r="AR8" s="12">
        <f t="shared" si="0"/>
        <v>63</v>
      </c>
      <c r="AS8" s="12" t="s">
        <v>616</v>
      </c>
      <c r="AT8" s="12" t="s">
        <v>603</v>
      </c>
      <c r="AU8" s="12" t="s">
        <v>617</v>
      </c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 t="s">
        <v>598</v>
      </c>
      <c r="BH8" s="12" t="s">
        <v>618</v>
      </c>
      <c r="BI8" s="12" t="s">
        <v>613</v>
      </c>
      <c r="BJ8" s="12" t="s">
        <v>599</v>
      </c>
      <c r="BK8" s="12"/>
      <c r="BL8" s="15" t="s">
        <v>865</v>
      </c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0" t="s">
        <v>912</v>
      </c>
      <c r="CG8" s="10"/>
    </row>
    <row r="9" spans="1:85" x14ac:dyDescent="0.3">
      <c r="A9" s="11" t="s">
        <v>85</v>
      </c>
      <c r="B9" s="11" t="s">
        <v>86</v>
      </c>
      <c r="C9" s="12" t="s">
        <v>87</v>
      </c>
      <c r="D9" s="12" t="s">
        <v>481</v>
      </c>
      <c r="E9" s="12" t="s">
        <v>87</v>
      </c>
      <c r="F9" s="12" t="s">
        <v>479</v>
      </c>
      <c r="G9" s="13" t="s">
        <v>88</v>
      </c>
      <c r="H9" s="12"/>
      <c r="I9" s="12"/>
      <c r="J9" s="12"/>
      <c r="K9" s="12"/>
      <c r="L9" s="12"/>
      <c r="M9" s="12"/>
      <c r="N9" s="12"/>
      <c r="O9" s="12"/>
      <c r="P9" s="12"/>
      <c r="Q9" s="12">
        <v>30</v>
      </c>
      <c r="R9" s="12">
        <v>30</v>
      </c>
      <c r="S9" s="12" t="s">
        <v>150</v>
      </c>
      <c r="T9" s="12"/>
      <c r="U9" s="12" t="s">
        <v>151</v>
      </c>
      <c r="V9" s="12" t="s">
        <v>152</v>
      </c>
      <c r="W9" s="12"/>
      <c r="X9" s="12" t="s">
        <v>153</v>
      </c>
      <c r="Y9" s="12" t="s">
        <v>487</v>
      </c>
      <c r="Z9" s="12" t="s">
        <v>154</v>
      </c>
      <c r="AA9" s="15" t="s">
        <v>507</v>
      </c>
      <c r="AB9" s="12" t="s">
        <v>153</v>
      </c>
      <c r="AC9" s="15" t="s">
        <v>507</v>
      </c>
      <c r="AD9" s="14" t="s">
        <v>154</v>
      </c>
      <c r="AE9" s="12" t="s">
        <v>155</v>
      </c>
      <c r="AF9" s="12" t="s">
        <v>156</v>
      </c>
      <c r="AG9" s="12" t="s">
        <v>157</v>
      </c>
      <c r="AH9" s="12" t="s">
        <v>158</v>
      </c>
      <c r="AI9" s="12"/>
      <c r="AJ9" s="12" t="s">
        <v>159</v>
      </c>
      <c r="AK9" s="12" t="s">
        <v>160</v>
      </c>
      <c r="AL9" s="12" t="s">
        <v>546</v>
      </c>
      <c r="AM9" s="12"/>
      <c r="AN9" s="12"/>
      <c r="AO9" s="12" t="s">
        <v>619</v>
      </c>
      <c r="AP9" s="12" t="s">
        <v>620</v>
      </c>
      <c r="AQ9" s="12" t="s">
        <v>620</v>
      </c>
      <c r="AR9" s="12">
        <f t="shared" si="0"/>
        <v>124</v>
      </c>
      <c r="AS9" s="12" t="s">
        <v>621</v>
      </c>
      <c r="AT9" s="12" t="s">
        <v>622</v>
      </c>
      <c r="AU9" s="12" t="s">
        <v>623</v>
      </c>
      <c r="AV9" s="12"/>
      <c r="AW9" s="12"/>
      <c r="AX9" s="12" t="s">
        <v>624</v>
      </c>
      <c r="AY9" s="12" t="s">
        <v>625</v>
      </c>
      <c r="AZ9" s="12"/>
      <c r="BA9" s="12"/>
      <c r="BB9" s="12"/>
      <c r="BC9" s="12" t="s">
        <v>626</v>
      </c>
      <c r="BD9" s="12"/>
      <c r="BE9" s="12"/>
      <c r="BF9" s="12"/>
      <c r="BG9" s="12" t="s">
        <v>588</v>
      </c>
      <c r="BH9" s="12" t="s">
        <v>627</v>
      </c>
      <c r="BI9" s="12" t="s">
        <v>613</v>
      </c>
      <c r="BJ9" s="12" t="s">
        <v>590</v>
      </c>
      <c r="BK9" s="12"/>
      <c r="BL9" s="15" t="s">
        <v>866</v>
      </c>
      <c r="BM9" s="12" t="s">
        <v>867</v>
      </c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0" t="s">
        <v>912</v>
      </c>
      <c r="CG9" s="10"/>
    </row>
    <row r="10" spans="1:85" x14ac:dyDescent="0.3">
      <c r="A10" s="11" t="s">
        <v>85</v>
      </c>
      <c r="B10" s="11" t="s">
        <v>86</v>
      </c>
      <c r="C10" s="12" t="s">
        <v>87</v>
      </c>
      <c r="D10" s="12" t="s">
        <v>483</v>
      </c>
      <c r="E10" s="12" t="s">
        <v>87</v>
      </c>
      <c r="F10" s="12" t="s">
        <v>479</v>
      </c>
      <c r="G10" s="13" t="s">
        <v>88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31</v>
      </c>
      <c r="R10" s="12">
        <v>31</v>
      </c>
      <c r="S10" s="12" t="s">
        <v>161</v>
      </c>
      <c r="T10" s="12" t="s">
        <v>90</v>
      </c>
      <c r="U10" s="12"/>
      <c r="V10" s="12" t="s">
        <v>92</v>
      </c>
      <c r="W10" s="12" t="s">
        <v>162</v>
      </c>
      <c r="X10" s="12" t="s">
        <v>134</v>
      </c>
      <c r="Y10" s="12" t="s">
        <v>486</v>
      </c>
      <c r="Z10" s="12" t="s">
        <v>163</v>
      </c>
      <c r="AA10" s="12" t="s">
        <v>508</v>
      </c>
      <c r="AB10" s="12" t="s">
        <v>134</v>
      </c>
      <c r="AC10" s="12" t="s">
        <v>508</v>
      </c>
      <c r="AD10" s="14" t="s">
        <v>163</v>
      </c>
      <c r="AE10" s="12" t="s">
        <v>164</v>
      </c>
      <c r="AF10" s="12" t="s">
        <v>165</v>
      </c>
      <c r="AG10" s="12" t="s">
        <v>165</v>
      </c>
      <c r="AH10" s="12"/>
      <c r="AI10" s="12" t="s">
        <v>134</v>
      </c>
      <c r="AJ10" s="12" t="s">
        <v>166</v>
      </c>
      <c r="AK10" s="12" t="s">
        <v>167</v>
      </c>
      <c r="AL10" s="12" t="s">
        <v>547</v>
      </c>
      <c r="AM10" s="12"/>
      <c r="AN10" s="12"/>
      <c r="AO10" s="12" t="s">
        <v>628</v>
      </c>
      <c r="AP10" s="12" t="s">
        <v>629</v>
      </c>
      <c r="AQ10" s="12" t="s">
        <v>629</v>
      </c>
      <c r="AR10" s="12">
        <f t="shared" si="0"/>
        <v>51</v>
      </c>
      <c r="AS10" s="12" t="s">
        <v>630</v>
      </c>
      <c r="AT10" s="12" t="s">
        <v>631</v>
      </c>
      <c r="AU10" s="12"/>
      <c r="AV10" s="12" t="s">
        <v>632</v>
      </c>
      <c r="AW10" s="12"/>
      <c r="AX10" s="12" t="s">
        <v>633</v>
      </c>
      <c r="AY10" s="12"/>
      <c r="AZ10" s="12"/>
      <c r="BA10" s="12"/>
      <c r="BB10" s="12"/>
      <c r="BC10" s="12"/>
      <c r="BD10" s="12"/>
      <c r="BE10" s="12"/>
      <c r="BF10" s="12"/>
      <c r="BG10" s="12" t="s">
        <v>598</v>
      </c>
      <c r="BH10" s="12"/>
      <c r="BI10" s="12" t="s">
        <v>613</v>
      </c>
      <c r="BJ10" s="12" t="s">
        <v>590</v>
      </c>
      <c r="BK10" s="12"/>
      <c r="BL10" s="15" t="s">
        <v>868</v>
      </c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0" t="s">
        <v>912</v>
      </c>
      <c r="CG10" s="10"/>
    </row>
    <row r="11" spans="1:85" x14ac:dyDescent="0.3">
      <c r="A11" s="11" t="s">
        <v>85</v>
      </c>
      <c r="B11" s="11" t="s">
        <v>86</v>
      </c>
      <c r="C11" s="12" t="s">
        <v>87</v>
      </c>
      <c r="D11" s="12" t="s">
        <v>481</v>
      </c>
      <c r="E11" s="12" t="s">
        <v>87</v>
      </c>
      <c r="F11" s="12" t="s">
        <v>479</v>
      </c>
      <c r="G11" s="13" t="s">
        <v>88</v>
      </c>
      <c r="H11" s="12"/>
      <c r="I11" s="12"/>
      <c r="J11" s="12"/>
      <c r="K11" s="12"/>
      <c r="L11" s="12"/>
      <c r="M11" s="12"/>
      <c r="N11" s="12"/>
      <c r="O11" s="12"/>
      <c r="P11" s="12"/>
      <c r="Q11" s="12">
        <v>32</v>
      </c>
      <c r="R11" s="12">
        <v>32</v>
      </c>
      <c r="S11" s="12" t="s">
        <v>168</v>
      </c>
      <c r="T11" s="12" t="s">
        <v>169</v>
      </c>
      <c r="U11" s="12" t="s">
        <v>170</v>
      </c>
      <c r="V11" s="12" t="s">
        <v>171</v>
      </c>
      <c r="W11" s="12" t="s">
        <v>172</v>
      </c>
      <c r="X11" s="12" t="s">
        <v>134</v>
      </c>
      <c r="Y11" s="12" t="s">
        <v>486</v>
      </c>
      <c r="Z11" s="12" t="s">
        <v>173</v>
      </c>
      <c r="AA11" s="12" t="s">
        <v>509</v>
      </c>
      <c r="AB11" s="12" t="s">
        <v>134</v>
      </c>
      <c r="AC11" s="12" t="s">
        <v>509</v>
      </c>
      <c r="AD11" s="14" t="s">
        <v>173</v>
      </c>
      <c r="AE11" s="12" t="s">
        <v>174</v>
      </c>
      <c r="AF11" s="12" t="s">
        <v>175</v>
      </c>
      <c r="AG11" s="12" t="s">
        <v>175</v>
      </c>
      <c r="AH11" s="12"/>
      <c r="AI11" s="12" t="s">
        <v>134</v>
      </c>
      <c r="AJ11" s="12" t="s">
        <v>176</v>
      </c>
      <c r="AK11" s="12" t="s">
        <v>177</v>
      </c>
      <c r="AL11" s="12" t="s">
        <v>548</v>
      </c>
      <c r="AM11" s="12"/>
      <c r="AN11" s="12"/>
      <c r="AO11" s="12" t="s">
        <v>634</v>
      </c>
      <c r="AP11" s="12" t="s">
        <v>635</v>
      </c>
      <c r="AQ11" s="12" t="s">
        <v>635</v>
      </c>
      <c r="AR11" s="12">
        <f t="shared" si="0"/>
        <v>76</v>
      </c>
      <c r="AS11" s="12" t="s">
        <v>636</v>
      </c>
      <c r="AT11" s="12" t="s">
        <v>637</v>
      </c>
      <c r="AU11" s="12" t="s">
        <v>638</v>
      </c>
      <c r="AV11" s="12"/>
      <c r="AW11" s="12"/>
      <c r="AX11" s="12" t="s">
        <v>639</v>
      </c>
      <c r="AY11" s="12"/>
      <c r="AZ11" s="12"/>
      <c r="BA11" s="12"/>
      <c r="BB11" s="12"/>
      <c r="BC11" s="12" t="s">
        <v>640</v>
      </c>
      <c r="BD11" s="12"/>
      <c r="BE11" s="12"/>
      <c r="BF11" s="12"/>
      <c r="BG11" s="12" t="s">
        <v>588</v>
      </c>
      <c r="BH11" s="12"/>
      <c r="BI11" s="12" t="s">
        <v>613</v>
      </c>
      <c r="BJ11" s="12" t="s">
        <v>590</v>
      </c>
      <c r="BK11" s="12"/>
      <c r="BL11" s="15" t="s">
        <v>869</v>
      </c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0" t="s">
        <v>912</v>
      </c>
      <c r="CG11" s="10"/>
    </row>
    <row r="12" spans="1:85" x14ac:dyDescent="0.3">
      <c r="A12" s="11" t="s">
        <v>85</v>
      </c>
      <c r="B12" s="11" t="s">
        <v>86</v>
      </c>
      <c r="C12" s="12" t="s">
        <v>87</v>
      </c>
      <c r="D12" s="12" t="s">
        <v>481</v>
      </c>
      <c r="E12" s="12" t="s">
        <v>87</v>
      </c>
      <c r="F12" s="12" t="s">
        <v>479</v>
      </c>
      <c r="G12" s="13" t="s">
        <v>88</v>
      </c>
      <c r="H12" s="12"/>
      <c r="I12" s="12"/>
      <c r="J12" s="12"/>
      <c r="K12" s="12"/>
      <c r="L12" s="12"/>
      <c r="M12" s="12"/>
      <c r="N12" s="12"/>
      <c r="O12" s="12"/>
      <c r="P12" s="12"/>
      <c r="Q12" s="12">
        <v>33</v>
      </c>
      <c r="R12" s="12">
        <v>33</v>
      </c>
      <c r="S12" s="12" t="s">
        <v>178</v>
      </c>
      <c r="T12" s="12"/>
      <c r="U12" s="12" t="s">
        <v>179</v>
      </c>
      <c r="V12" s="12" t="s">
        <v>92</v>
      </c>
      <c r="W12" s="12"/>
      <c r="X12" s="12" t="s">
        <v>134</v>
      </c>
      <c r="Y12" s="12" t="s">
        <v>486</v>
      </c>
      <c r="Z12" s="12" t="s">
        <v>180</v>
      </c>
      <c r="AA12" s="12" t="s">
        <v>510</v>
      </c>
      <c r="AB12" s="12" t="s">
        <v>134</v>
      </c>
      <c r="AC12" s="12" t="s">
        <v>510</v>
      </c>
      <c r="AD12" s="14" t="s">
        <v>180</v>
      </c>
      <c r="AE12" s="12" t="s">
        <v>181</v>
      </c>
      <c r="AF12" s="12" t="s">
        <v>182</v>
      </c>
      <c r="AG12" s="12" t="s">
        <v>182</v>
      </c>
      <c r="AH12" s="12"/>
      <c r="AI12" s="12"/>
      <c r="AJ12" s="12" t="s">
        <v>183</v>
      </c>
      <c r="AK12" s="12" t="s">
        <v>184</v>
      </c>
      <c r="AL12" s="12" t="s">
        <v>549</v>
      </c>
      <c r="AM12" s="12"/>
      <c r="AN12" s="12"/>
      <c r="AO12" s="12" t="s">
        <v>641</v>
      </c>
      <c r="AP12" s="12" t="s">
        <v>642</v>
      </c>
      <c r="AQ12" s="12" t="s">
        <v>642</v>
      </c>
      <c r="AR12" s="12">
        <f t="shared" si="0"/>
        <v>60</v>
      </c>
      <c r="AS12" s="12" t="s">
        <v>643</v>
      </c>
      <c r="AT12" s="12" t="s">
        <v>617</v>
      </c>
      <c r="AU12" s="12"/>
      <c r="AV12" s="12"/>
      <c r="AW12" s="12"/>
      <c r="AX12" s="12"/>
      <c r="AY12" s="12"/>
      <c r="AZ12" s="12"/>
      <c r="BA12" s="12"/>
      <c r="BB12" s="12"/>
      <c r="BC12" s="12" t="s">
        <v>616</v>
      </c>
      <c r="BD12" s="12"/>
      <c r="BE12" s="12"/>
      <c r="BF12" s="12"/>
      <c r="BG12" s="12" t="s">
        <v>598</v>
      </c>
      <c r="BH12" s="12"/>
      <c r="BI12" s="12" t="s">
        <v>613</v>
      </c>
      <c r="BJ12" s="12" t="s">
        <v>599</v>
      </c>
      <c r="BK12" s="12"/>
      <c r="BL12" s="15" t="s">
        <v>870</v>
      </c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0" t="s">
        <v>912</v>
      </c>
      <c r="CG12" s="10"/>
    </row>
    <row r="13" spans="1:85" x14ac:dyDescent="0.3">
      <c r="A13" s="11" t="s">
        <v>85</v>
      </c>
      <c r="B13" s="11" t="s">
        <v>86</v>
      </c>
      <c r="C13" s="12" t="s">
        <v>87</v>
      </c>
      <c r="D13" s="12" t="s">
        <v>481</v>
      </c>
      <c r="E13" s="12" t="s">
        <v>87</v>
      </c>
      <c r="F13" s="12" t="s">
        <v>479</v>
      </c>
      <c r="G13" s="13" t="s">
        <v>88</v>
      </c>
      <c r="H13" s="12"/>
      <c r="I13" s="12"/>
      <c r="J13" s="12"/>
      <c r="K13" s="12"/>
      <c r="L13" s="12"/>
      <c r="M13" s="12"/>
      <c r="N13" s="12"/>
      <c r="O13" s="12"/>
      <c r="P13" s="12"/>
      <c r="Q13" s="12">
        <v>34</v>
      </c>
      <c r="R13" s="12">
        <v>34</v>
      </c>
      <c r="S13" s="12" t="s">
        <v>185</v>
      </c>
      <c r="T13" s="12" t="s">
        <v>90</v>
      </c>
      <c r="U13" s="12" t="s">
        <v>186</v>
      </c>
      <c r="V13" s="12" t="s">
        <v>92</v>
      </c>
      <c r="W13" s="12" t="s">
        <v>187</v>
      </c>
      <c r="X13" s="12" t="s">
        <v>134</v>
      </c>
      <c r="Y13" s="12" t="s">
        <v>486</v>
      </c>
      <c r="Z13" s="12" t="s">
        <v>188</v>
      </c>
      <c r="AA13" s="12" t="s">
        <v>511</v>
      </c>
      <c r="AB13" s="12" t="s">
        <v>134</v>
      </c>
      <c r="AC13" s="12" t="s">
        <v>511</v>
      </c>
      <c r="AD13" s="14" t="s">
        <v>188</v>
      </c>
      <c r="AE13" s="12" t="s">
        <v>189</v>
      </c>
      <c r="AF13" s="12" t="s">
        <v>190</v>
      </c>
      <c r="AG13" s="12" t="s">
        <v>190</v>
      </c>
      <c r="AH13" s="12"/>
      <c r="AI13" s="12" t="s">
        <v>134</v>
      </c>
      <c r="AJ13" s="12" t="s">
        <v>191</v>
      </c>
      <c r="AK13" s="12" t="s">
        <v>192</v>
      </c>
      <c r="AL13" s="12" t="s">
        <v>550</v>
      </c>
      <c r="AM13" s="12" t="s">
        <v>575</v>
      </c>
      <c r="AN13" s="12" t="s">
        <v>576</v>
      </c>
      <c r="AO13" s="12" t="s">
        <v>644</v>
      </c>
      <c r="AP13" s="12" t="s">
        <v>645</v>
      </c>
      <c r="AQ13" s="12" t="s">
        <v>645</v>
      </c>
      <c r="AR13" s="12">
        <f t="shared" si="0"/>
        <v>103</v>
      </c>
      <c r="AS13" s="12" t="s">
        <v>646</v>
      </c>
      <c r="AT13" s="12" t="s">
        <v>647</v>
      </c>
      <c r="AU13" s="12" t="s">
        <v>648</v>
      </c>
      <c r="AV13" s="12"/>
      <c r="AW13" s="12"/>
      <c r="AX13" s="12" t="s">
        <v>649</v>
      </c>
      <c r="AY13" s="12"/>
      <c r="AZ13" s="12"/>
      <c r="BA13" s="12"/>
      <c r="BB13" s="12" t="s">
        <v>650</v>
      </c>
      <c r="BC13" s="12" t="s">
        <v>651</v>
      </c>
      <c r="BD13" s="12" t="s">
        <v>652</v>
      </c>
      <c r="BE13" s="12"/>
      <c r="BF13" s="12"/>
      <c r="BG13" s="12" t="s">
        <v>598</v>
      </c>
      <c r="BH13" s="12"/>
      <c r="BI13" s="12" t="s">
        <v>613</v>
      </c>
      <c r="BJ13" s="12" t="s">
        <v>590</v>
      </c>
      <c r="BK13" s="12"/>
      <c r="BL13" s="15" t="s">
        <v>871</v>
      </c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0" t="s">
        <v>912</v>
      </c>
      <c r="CG13" s="10"/>
    </row>
    <row r="14" spans="1:85" x14ac:dyDescent="0.3">
      <c r="A14" s="11" t="s">
        <v>85</v>
      </c>
      <c r="B14" s="11" t="s">
        <v>86</v>
      </c>
      <c r="C14" s="12" t="s">
        <v>87</v>
      </c>
      <c r="D14" s="12" t="s">
        <v>483</v>
      </c>
      <c r="E14" s="12" t="s">
        <v>87</v>
      </c>
      <c r="F14" s="12" t="s">
        <v>479</v>
      </c>
      <c r="G14" s="13" t="s">
        <v>88</v>
      </c>
      <c r="H14" s="12"/>
      <c r="I14" s="12"/>
      <c r="J14" s="12"/>
      <c r="K14" s="12"/>
      <c r="L14" s="12"/>
      <c r="M14" s="12"/>
      <c r="N14" s="12"/>
      <c r="O14" s="12"/>
      <c r="P14" s="12"/>
      <c r="Q14" s="12">
        <v>35</v>
      </c>
      <c r="R14" s="12">
        <v>35</v>
      </c>
      <c r="S14" s="12" t="s">
        <v>193</v>
      </c>
      <c r="T14" s="12" t="s">
        <v>90</v>
      </c>
      <c r="U14" s="12"/>
      <c r="V14" s="12" t="s">
        <v>92</v>
      </c>
      <c r="W14" s="12" t="s">
        <v>194</v>
      </c>
      <c r="X14" s="12" t="s">
        <v>195</v>
      </c>
      <c r="Y14" s="12" t="s">
        <v>488</v>
      </c>
      <c r="Z14" s="12" t="s">
        <v>196</v>
      </c>
      <c r="AA14" s="12" t="s">
        <v>512</v>
      </c>
      <c r="AB14" s="12" t="s">
        <v>195</v>
      </c>
      <c r="AC14" s="12" t="s">
        <v>512</v>
      </c>
      <c r="AD14" s="14" t="s">
        <v>196</v>
      </c>
      <c r="AE14" s="12" t="s">
        <v>197</v>
      </c>
      <c r="AF14" s="12" t="s">
        <v>198</v>
      </c>
      <c r="AG14" s="12"/>
      <c r="AH14" s="12"/>
      <c r="AI14" s="12" t="s">
        <v>199</v>
      </c>
      <c r="AJ14" s="12" t="s">
        <v>200</v>
      </c>
      <c r="AK14" s="12" t="s">
        <v>201</v>
      </c>
      <c r="AL14" s="12" t="s">
        <v>551</v>
      </c>
      <c r="AM14" s="12"/>
      <c r="AN14" s="12"/>
      <c r="AO14" s="12" t="s">
        <v>653</v>
      </c>
      <c r="AP14" s="12" t="s">
        <v>654</v>
      </c>
      <c r="AQ14" s="12" t="s">
        <v>654</v>
      </c>
      <c r="AR14" s="12">
        <f t="shared" si="0"/>
        <v>73</v>
      </c>
      <c r="AS14" s="12" t="s">
        <v>630</v>
      </c>
      <c r="AT14" s="12" t="s">
        <v>631</v>
      </c>
      <c r="AU14" s="12" t="s">
        <v>655</v>
      </c>
      <c r="AV14" s="12"/>
      <c r="AW14" s="12"/>
      <c r="AX14" s="12" t="s">
        <v>656</v>
      </c>
      <c r="AY14" s="12"/>
      <c r="AZ14" s="12"/>
      <c r="BA14" s="12"/>
      <c r="BB14" s="12"/>
      <c r="BC14" s="12" t="s">
        <v>604</v>
      </c>
      <c r="BD14" s="12"/>
      <c r="BE14" s="12"/>
      <c r="BF14" s="12"/>
      <c r="BG14" s="12" t="s">
        <v>598</v>
      </c>
      <c r="BH14" s="12" t="s">
        <v>199</v>
      </c>
      <c r="BI14" s="12" t="s">
        <v>613</v>
      </c>
      <c r="BJ14" s="12" t="s">
        <v>590</v>
      </c>
      <c r="BK14" s="12"/>
      <c r="BL14" s="15" t="s">
        <v>872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0" t="s">
        <v>912</v>
      </c>
      <c r="CG14" s="10"/>
    </row>
    <row r="15" spans="1:85" x14ac:dyDescent="0.3">
      <c r="A15" s="11" t="s">
        <v>85</v>
      </c>
      <c r="B15" s="11" t="s">
        <v>86</v>
      </c>
      <c r="C15" s="12" t="s">
        <v>87</v>
      </c>
      <c r="D15" s="12" t="s">
        <v>483</v>
      </c>
      <c r="E15" s="12" t="s">
        <v>87</v>
      </c>
      <c r="F15" s="12" t="s">
        <v>479</v>
      </c>
      <c r="G15" s="13" t="s">
        <v>88</v>
      </c>
      <c r="H15" s="12"/>
      <c r="I15" s="12"/>
      <c r="J15" s="12"/>
      <c r="K15" s="12"/>
      <c r="L15" s="12"/>
      <c r="M15" s="12"/>
      <c r="N15" s="12"/>
      <c r="O15" s="12"/>
      <c r="P15" s="12"/>
      <c r="Q15" s="12">
        <v>36</v>
      </c>
      <c r="R15" s="12">
        <v>36</v>
      </c>
      <c r="S15" s="12" t="s">
        <v>202</v>
      </c>
      <c r="T15" s="12" t="s">
        <v>90</v>
      </c>
      <c r="U15" s="12"/>
      <c r="V15" s="12" t="s">
        <v>92</v>
      </c>
      <c r="W15" s="12" t="s">
        <v>203</v>
      </c>
      <c r="X15" s="12" t="s">
        <v>195</v>
      </c>
      <c r="Y15" s="12" t="s">
        <v>488</v>
      </c>
      <c r="Z15" s="12" t="s">
        <v>204</v>
      </c>
      <c r="AA15" s="12" t="s">
        <v>513</v>
      </c>
      <c r="AB15" s="12" t="s">
        <v>195</v>
      </c>
      <c r="AC15" s="12" t="s">
        <v>513</v>
      </c>
      <c r="AD15" s="14" t="s">
        <v>204</v>
      </c>
      <c r="AE15" s="12" t="s">
        <v>205</v>
      </c>
      <c r="AF15" s="12" t="s">
        <v>206</v>
      </c>
      <c r="AG15" s="12"/>
      <c r="AH15" s="12"/>
      <c r="AI15" s="12" t="s">
        <v>199</v>
      </c>
      <c r="AJ15" s="12" t="s">
        <v>207</v>
      </c>
      <c r="AK15" s="12" t="s">
        <v>208</v>
      </c>
      <c r="AL15" s="12" t="s">
        <v>552</v>
      </c>
      <c r="AM15" s="12" t="s">
        <v>575</v>
      </c>
      <c r="AN15" s="12" t="s">
        <v>576</v>
      </c>
      <c r="AO15" s="12" t="s">
        <v>657</v>
      </c>
      <c r="AP15" s="12" t="s">
        <v>658</v>
      </c>
      <c r="AQ15" s="12" t="s">
        <v>658</v>
      </c>
      <c r="AR15" s="12">
        <f t="shared" si="0"/>
        <v>77</v>
      </c>
      <c r="AS15" s="12" t="s">
        <v>659</v>
      </c>
      <c r="AT15" s="12" t="s">
        <v>660</v>
      </c>
      <c r="AU15" s="12" t="s">
        <v>661</v>
      </c>
      <c r="AV15" s="12"/>
      <c r="AW15" s="12"/>
      <c r="AX15" s="12" t="s">
        <v>662</v>
      </c>
      <c r="AY15" s="12"/>
      <c r="AZ15" s="12"/>
      <c r="BA15" s="12"/>
      <c r="BB15" s="12" t="s">
        <v>663</v>
      </c>
      <c r="BC15" s="12"/>
      <c r="BD15" s="12"/>
      <c r="BE15" s="12"/>
      <c r="BF15" s="12"/>
      <c r="BG15" s="12" t="s">
        <v>598</v>
      </c>
      <c r="BH15" s="12" t="s">
        <v>199</v>
      </c>
      <c r="BI15" s="12" t="s">
        <v>613</v>
      </c>
      <c r="BJ15" s="12" t="s">
        <v>590</v>
      </c>
      <c r="BK15" s="12"/>
      <c r="BL15" s="15" t="s">
        <v>873</v>
      </c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0" t="s">
        <v>912</v>
      </c>
      <c r="CG15" s="10"/>
    </row>
    <row r="16" spans="1:85" x14ac:dyDescent="0.3">
      <c r="A16" s="11" t="s">
        <v>85</v>
      </c>
      <c r="B16" s="11" t="s">
        <v>86</v>
      </c>
      <c r="C16" s="12" t="s">
        <v>87</v>
      </c>
      <c r="D16" s="12" t="s">
        <v>483</v>
      </c>
      <c r="E16" s="12" t="s">
        <v>87</v>
      </c>
      <c r="F16" s="12" t="s">
        <v>479</v>
      </c>
      <c r="G16" s="13" t="s">
        <v>88</v>
      </c>
      <c r="H16" s="12"/>
      <c r="I16" s="12"/>
      <c r="J16" s="12"/>
      <c r="K16" s="12"/>
      <c r="L16" s="12"/>
      <c r="M16" s="12"/>
      <c r="N16" s="12"/>
      <c r="O16" s="12"/>
      <c r="P16" s="12"/>
      <c r="Q16" s="12">
        <v>37</v>
      </c>
      <c r="R16" s="12">
        <v>37</v>
      </c>
      <c r="S16" s="12" t="s">
        <v>209</v>
      </c>
      <c r="T16" s="12" t="s">
        <v>90</v>
      </c>
      <c r="U16" s="12"/>
      <c r="V16" s="12" t="s">
        <v>92</v>
      </c>
      <c r="W16" s="12" t="s">
        <v>210</v>
      </c>
      <c r="X16" s="12" t="s">
        <v>195</v>
      </c>
      <c r="Y16" s="12" t="s">
        <v>488</v>
      </c>
      <c r="Z16" s="12" t="s">
        <v>211</v>
      </c>
      <c r="AA16" s="12" t="s">
        <v>514</v>
      </c>
      <c r="AB16" s="12" t="s">
        <v>195</v>
      </c>
      <c r="AC16" s="12" t="s">
        <v>514</v>
      </c>
      <c r="AD16" s="14" t="s">
        <v>211</v>
      </c>
      <c r="AE16" s="12" t="s">
        <v>212</v>
      </c>
      <c r="AF16" s="12" t="s">
        <v>213</v>
      </c>
      <c r="AG16" s="12"/>
      <c r="AH16" s="12"/>
      <c r="AI16" s="12" t="s">
        <v>214</v>
      </c>
      <c r="AJ16" s="12" t="s">
        <v>207</v>
      </c>
      <c r="AK16" s="12" t="s">
        <v>208</v>
      </c>
      <c r="AL16" s="12" t="s">
        <v>553</v>
      </c>
      <c r="AM16" s="12" t="s">
        <v>575</v>
      </c>
      <c r="AN16" s="12" t="s">
        <v>576</v>
      </c>
      <c r="AO16" s="12" t="s">
        <v>664</v>
      </c>
      <c r="AP16" s="12" t="s">
        <v>665</v>
      </c>
      <c r="AQ16" s="12" t="s">
        <v>665</v>
      </c>
      <c r="AR16" s="12">
        <f t="shared" si="0"/>
        <v>99</v>
      </c>
      <c r="AS16" s="12" t="s">
        <v>646</v>
      </c>
      <c r="AT16" s="12" t="s">
        <v>660</v>
      </c>
      <c r="AU16" s="12" t="s">
        <v>666</v>
      </c>
      <c r="AV16" s="12"/>
      <c r="AW16" s="12"/>
      <c r="AX16" s="12" t="s">
        <v>667</v>
      </c>
      <c r="AY16" s="12"/>
      <c r="AZ16" s="12"/>
      <c r="BA16" s="12"/>
      <c r="BB16" s="12"/>
      <c r="BC16" s="12" t="s">
        <v>668</v>
      </c>
      <c r="BD16" s="12"/>
      <c r="BE16" s="12"/>
      <c r="BF16" s="12"/>
      <c r="BG16" s="12" t="s">
        <v>598</v>
      </c>
      <c r="BH16" s="12" t="s">
        <v>199</v>
      </c>
      <c r="BI16" s="12" t="s">
        <v>613</v>
      </c>
      <c r="BJ16" s="12" t="s">
        <v>590</v>
      </c>
      <c r="BK16" s="12"/>
      <c r="BL16" s="15" t="s">
        <v>874</v>
      </c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0" t="s">
        <v>912</v>
      </c>
      <c r="CG16" s="10"/>
    </row>
    <row r="17" spans="1:85" x14ac:dyDescent="0.3">
      <c r="A17" s="11" t="s">
        <v>85</v>
      </c>
      <c r="B17" s="11" t="s">
        <v>86</v>
      </c>
      <c r="C17" s="12" t="s">
        <v>87</v>
      </c>
      <c r="D17" s="12" t="s">
        <v>483</v>
      </c>
      <c r="E17" s="12" t="s">
        <v>87</v>
      </c>
      <c r="F17" s="12" t="s">
        <v>479</v>
      </c>
      <c r="G17" s="13" t="s">
        <v>88</v>
      </c>
      <c r="H17" s="12"/>
      <c r="I17" s="12"/>
      <c r="J17" s="12"/>
      <c r="K17" s="12"/>
      <c r="L17" s="12"/>
      <c r="M17" s="12"/>
      <c r="N17" s="12"/>
      <c r="O17" s="12"/>
      <c r="P17" s="12"/>
      <c r="Q17" s="12">
        <v>38</v>
      </c>
      <c r="R17" s="12">
        <v>38</v>
      </c>
      <c r="S17" s="12" t="s">
        <v>215</v>
      </c>
      <c r="T17" s="12" t="s">
        <v>90</v>
      </c>
      <c r="U17" s="12"/>
      <c r="V17" s="12" t="s">
        <v>92</v>
      </c>
      <c r="W17" s="12" t="s">
        <v>216</v>
      </c>
      <c r="X17" s="12" t="s">
        <v>195</v>
      </c>
      <c r="Y17" s="12" t="s">
        <v>488</v>
      </c>
      <c r="Z17" s="12" t="s">
        <v>217</v>
      </c>
      <c r="AA17" s="12" t="s">
        <v>515</v>
      </c>
      <c r="AB17" s="12" t="s">
        <v>195</v>
      </c>
      <c r="AC17" s="12" t="s">
        <v>515</v>
      </c>
      <c r="AD17" s="14" t="s">
        <v>217</v>
      </c>
      <c r="AE17" s="12" t="s">
        <v>218</v>
      </c>
      <c r="AF17" s="12" t="s">
        <v>219</v>
      </c>
      <c r="AG17" s="12"/>
      <c r="AH17" s="12"/>
      <c r="AI17" s="12" t="s">
        <v>199</v>
      </c>
      <c r="AJ17" s="12" t="s">
        <v>207</v>
      </c>
      <c r="AK17" s="12" t="s">
        <v>208</v>
      </c>
      <c r="AL17" s="12" t="s">
        <v>554</v>
      </c>
      <c r="AM17" s="12" t="s">
        <v>575</v>
      </c>
      <c r="AN17" s="12" t="s">
        <v>576</v>
      </c>
      <c r="AO17" s="12" t="s">
        <v>669</v>
      </c>
      <c r="AP17" s="12" t="s">
        <v>670</v>
      </c>
      <c r="AQ17" s="12" t="s">
        <v>670</v>
      </c>
      <c r="AR17" s="12">
        <f t="shared" si="0"/>
        <v>104</v>
      </c>
      <c r="AS17" s="12" t="s">
        <v>671</v>
      </c>
      <c r="AT17" s="12" t="s">
        <v>660</v>
      </c>
      <c r="AU17" s="12" t="s">
        <v>672</v>
      </c>
      <c r="AV17" s="12">
        <v>3</v>
      </c>
      <c r="AW17" s="12"/>
      <c r="AX17" s="12" t="s">
        <v>673</v>
      </c>
      <c r="AY17" s="12"/>
      <c r="AZ17" s="12"/>
      <c r="BA17" s="12"/>
      <c r="BB17" s="12"/>
      <c r="BC17" s="12" t="s">
        <v>674</v>
      </c>
      <c r="BD17" s="12"/>
      <c r="BE17" s="12"/>
      <c r="BF17" s="12"/>
      <c r="BG17" s="12" t="s">
        <v>598</v>
      </c>
      <c r="BH17" s="12" t="s">
        <v>199</v>
      </c>
      <c r="BI17" s="12" t="s">
        <v>613</v>
      </c>
      <c r="BJ17" s="12" t="s">
        <v>590</v>
      </c>
      <c r="BK17" s="12"/>
      <c r="BL17" s="15" t="s">
        <v>875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0" t="s">
        <v>912</v>
      </c>
      <c r="CG17" s="10"/>
    </row>
    <row r="18" spans="1:85" x14ac:dyDescent="0.3">
      <c r="A18" s="11" t="s">
        <v>85</v>
      </c>
      <c r="B18" s="11" t="s">
        <v>86</v>
      </c>
      <c r="C18" s="12" t="s">
        <v>87</v>
      </c>
      <c r="D18" s="12" t="s">
        <v>483</v>
      </c>
      <c r="E18" s="12" t="s">
        <v>87</v>
      </c>
      <c r="F18" s="12" t="s">
        <v>479</v>
      </c>
      <c r="G18" s="13" t="s">
        <v>88</v>
      </c>
      <c r="H18" s="12"/>
      <c r="I18" s="12"/>
      <c r="J18" s="12"/>
      <c r="K18" s="12"/>
      <c r="L18" s="12"/>
      <c r="M18" s="12"/>
      <c r="N18" s="12"/>
      <c r="O18" s="12"/>
      <c r="P18" s="12"/>
      <c r="Q18" s="12">
        <v>39</v>
      </c>
      <c r="R18" s="12">
        <v>39</v>
      </c>
      <c r="S18" s="12" t="s">
        <v>220</v>
      </c>
      <c r="T18" s="12" t="s">
        <v>90</v>
      </c>
      <c r="U18" s="12"/>
      <c r="V18" s="12" t="s">
        <v>92</v>
      </c>
      <c r="W18" s="12" t="s">
        <v>221</v>
      </c>
      <c r="X18" s="12" t="s">
        <v>195</v>
      </c>
      <c r="Y18" s="12" t="s">
        <v>488</v>
      </c>
      <c r="Z18" s="12" t="s">
        <v>222</v>
      </c>
      <c r="AA18" s="12" t="s">
        <v>516</v>
      </c>
      <c r="AB18" s="12" t="s">
        <v>195</v>
      </c>
      <c r="AC18" s="12" t="s">
        <v>516</v>
      </c>
      <c r="AD18" s="14" t="s">
        <v>222</v>
      </c>
      <c r="AE18" s="12" t="s">
        <v>223</v>
      </c>
      <c r="AF18" s="12" t="s">
        <v>224</v>
      </c>
      <c r="AG18" s="12"/>
      <c r="AH18" s="12"/>
      <c r="AI18" s="12" t="s">
        <v>199</v>
      </c>
      <c r="AJ18" s="12" t="s">
        <v>225</v>
      </c>
      <c r="AK18" s="12" t="s">
        <v>226</v>
      </c>
      <c r="AL18" s="12" t="s">
        <v>555</v>
      </c>
      <c r="AM18" s="12" t="s">
        <v>575</v>
      </c>
      <c r="AN18" s="12" t="s">
        <v>576</v>
      </c>
      <c r="AO18" s="12" t="s">
        <v>675</v>
      </c>
      <c r="AP18" s="12" t="s">
        <v>676</v>
      </c>
      <c r="AQ18" s="12" t="s">
        <v>676</v>
      </c>
      <c r="AR18" s="12">
        <f t="shared" si="0"/>
        <v>66</v>
      </c>
      <c r="AS18" s="12" t="s">
        <v>677</v>
      </c>
      <c r="AT18" s="12" t="s">
        <v>660</v>
      </c>
      <c r="AU18" s="12" t="s">
        <v>655</v>
      </c>
      <c r="AV18" s="12"/>
      <c r="AW18" s="12"/>
      <c r="AX18" s="12" t="s">
        <v>678</v>
      </c>
      <c r="AY18" s="12"/>
      <c r="AZ18" s="12"/>
      <c r="BA18" s="12"/>
      <c r="BB18" s="12"/>
      <c r="BC18" s="12"/>
      <c r="BD18" s="12"/>
      <c r="BE18" s="12"/>
      <c r="BF18" s="12"/>
      <c r="BG18" s="12" t="s">
        <v>598</v>
      </c>
      <c r="BH18" s="12" t="s">
        <v>199</v>
      </c>
      <c r="BI18" s="12" t="s">
        <v>613</v>
      </c>
      <c r="BJ18" s="12" t="s">
        <v>590</v>
      </c>
      <c r="BK18" s="12"/>
      <c r="BL18" s="15" t="s">
        <v>876</v>
      </c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0" t="s">
        <v>912</v>
      </c>
      <c r="CG18" s="10"/>
    </row>
    <row r="19" spans="1:85" x14ac:dyDescent="0.3">
      <c r="A19" s="11" t="s">
        <v>85</v>
      </c>
      <c r="B19" s="11" t="s">
        <v>86</v>
      </c>
      <c r="C19" s="12" t="s">
        <v>87</v>
      </c>
      <c r="D19" s="12" t="s">
        <v>483</v>
      </c>
      <c r="E19" s="12" t="s">
        <v>87</v>
      </c>
      <c r="F19" s="12" t="s">
        <v>479</v>
      </c>
      <c r="G19" s="13" t="s">
        <v>88</v>
      </c>
      <c r="H19" s="12"/>
      <c r="I19" s="12"/>
      <c r="J19" s="12"/>
      <c r="K19" s="12"/>
      <c r="L19" s="12"/>
      <c r="M19" s="12"/>
      <c r="N19" s="12"/>
      <c r="O19" s="12"/>
      <c r="P19" s="12"/>
      <c r="Q19" s="12">
        <v>40</v>
      </c>
      <c r="R19" s="12">
        <v>40</v>
      </c>
      <c r="S19" s="12" t="s">
        <v>227</v>
      </c>
      <c r="T19" s="12" t="s">
        <v>90</v>
      </c>
      <c r="U19" s="12"/>
      <c r="V19" s="12" t="s">
        <v>92</v>
      </c>
      <c r="W19" s="12" t="s">
        <v>228</v>
      </c>
      <c r="X19" s="12" t="s">
        <v>195</v>
      </c>
      <c r="Y19" s="12" t="s">
        <v>488</v>
      </c>
      <c r="Z19" s="12" t="s">
        <v>229</v>
      </c>
      <c r="AA19" s="12" t="s">
        <v>517</v>
      </c>
      <c r="AB19" s="12" t="s">
        <v>195</v>
      </c>
      <c r="AC19" s="12" t="s">
        <v>517</v>
      </c>
      <c r="AD19" s="14" t="s">
        <v>229</v>
      </c>
      <c r="AE19" s="12" t="s">
        <v>230</v>
      </c>
      <c r="AF19" s="12" t="s">
        <v>231</v>
      </c>
      <c r="AG19" s="12"/>
      <c r="AH19" s="12"/>
      <c r="AI19" s="12" t="s">
        <v>199</v>
      </c>
      <c r="AJ19" s="12" t="s">
        <v>207</v>
      </c>
      <c r="AK19" s="12" t="s">
        <v>208</v>
      </c>
      <c r="AL19" s="12" t="s">
        <v>553</v>
      </c>
      <c r="AM19" s="12" t="s">
        <v>575</v>
      </c>
      <c r="AN19" s="12" t="s">
        <v>576</v>
      </c>
      <c r="AO19" s="12" t="s">
        <v>679</v>
      </c>
      <c r="AP19" s="12" t="s">
        <v>680</v>
      </c>
      <c r="AQ19" s="12" t="s">
        <v>680</v>
      </c>
      <c r="AR19" s="12">
        <f t="shared" si="0"/>
        <v>69</v>
      </c>
      <c r="AS19" s="12" t="s">
        <v>646</v>
      </c>
      <c r="AT19" s="12" t="s">
        <v>660</v>
      </c>
      <c r="AU19" s="12" t="s">
        <v>655</v>
      </c>
      <c r="AV19" s="12"/>
      <c r="AW19" s="12"/>
      <c r="AX19" s="12" t="s">
        <v>681</v>
      </c>
      <c r="AY19" s="12"/>
      <c r="AZ19" s="12"/>
      <c r="BA19" s="12"/>
      <c r="BB19" s="12"/>
      <c r="BC19" s="12"/>
      <c r="BD19" s="12"/>
      <c r="BE19" s="12"/>
      <c r="BF19" s="12"/>
      <c r="BG19" s="12" t="s">
        <v>598</v>
      </c>
      <c r="BH19" s="12" t="s">
        <v>199</v>
      </c>
      <c r="BI19" s="12" t="s">
        <v>613</v>
      </c>
      <c r="BJ19" s="12" t="s">
        <v>590</v>
      </c>
      <c r="BK19" s="12"/>
      <c r="BL19" s="15" t="s">
        <v>877</v>
      </c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0" t="s">
        <v>912</v>
      </c>
      <c r="CG19" s="10"/>
    </row>
    <row r="20" spans="1:85" x14ac:dyDescent="0.3">
      <c r="A20" s="11" t="s">
        <v>85</v>
      </c>
      <c r="B20" s="11" t="s">
        <v>86</v>
      </c>
      <c r="C20" s="12" t="s">
        <v>87</v>
      </c>
      <c r="D20" s="12" t="s">
        <v>483</v>
      </c>
      <c r="E20" s="12" t="s">
        <v>87</v>
      </c>
      <c r="F20" s="12" t="s">
        <v>479</v>
      </c>
      <c r="G20" s="13" t="s">
        <v>88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41</v>
      </c>
      <c r="R20" s="12">
        <v>41</v>
      </c>
      <c r="S20" s="12" t="s">
        <v>232</v>
      </c>
      <c r="T20" s="12"/>
      <c r="U20" s="12"/>
      <c r="V20" s="12" t="s">
        <v>92</v>
      </c>
      <c r="W20" s="12"/>
      <c r="X20" s="12" t="s">
        <v>233</v>
      </c>
      <c r="Y20" s="12" t="s">
        <v>502</v>
      </c>
      <c r="Z20" s="12" t="s">
        <v>234</v>
      </c>
      <c r="AA20" s="12" t="s">
        <v>518</v>
      </c>
      <c r="AB20" s="12" t="s">
        <v>235</v>
      </c>
      <c r="AC20" s="12" t="s">
        <v>518</v>
      </c>
      <c r="AD20" s="14" t="s">
        <v>234</v>
      </c>
      <c r="AE20" s="12" t="s">
        <v>236</v>
      </c>
      <c r="AF20" s="12" t="s">
        <v>237</v>
      </c>
      <c r="AG20" s="12" t="s">
        <v>237</v>
      </c>
      <c r="AH20" s="12"/>
      <c r="AI20" s="12"/>
      <c r="AJ20" s="12" t="s">
        <v>238</v>
      </c>
      <c r="AK20" s="12" t="s">
        <v>239</v>
      </c>
      <c r="AL20" s="12" t="s">
        <v>556</v>
      </c>
      <c r="AM20" s="12"/>
      <c r="AN20" s="12"/>
      <c r="AO20" s="12" t="s">
        <v>237</v>
      </c>
      <c r="AP20" s="12" t="s">
        <v>682</v>
      </c>
      <c r="AQ20" s="12" t="s">
        <v>682</v>
      </c>
      <c r="AR20" s="12">
        <f t="shared" si="0"/>
        <v>50</v>
      </c>
      <c r="AS20" s="12" t="s">
        <v>683</v>
      </c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 t="s">
        <v>598</v>
      </c>
      <c r="BH20" s="12"/>
      <c r="BI20" s="12" t="s">
        <v>589</v>
      </c>
      <c r="BJ20" s="12" t="s">
        <v>599</v>
      </c>
      <c r="BK20" s="12"/>
      <c r="BL20" s="15" t="s">
        <v>878</v>
      </c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0" t="s">
        <v>912</v>
      </c>
      <c r="CG20" s="10"/>
    </row>
    <row r="21" spans="1:85" x14ac:dyDescent="0.3">
      <c r="A21" s="11" t="s">
        <v>85</v>
      </c>
      <c r="B21" s="11" t="s">
        <v>86</v>
      </c>
      <c r="C21" s="12" t="s">
        <v>87</v>
      </c>
      <c r="D21" s="12" t="s">
        <v>483</v>
      </c>
      <c r="E21" s="12" t="s">
        <v>87</v>
      </c>
      <c r="F21" s="12" t="s">
        <v>479</v>
      </c>
      <c r="G21" s="13" t="s">
        <v>88</v>
      </c>
      <c r="H21" s="12"/>
      <c r="I21" s="12"/>
      <c r="J21" s="12"/>
      <c r="K21" s="12"/>
      <c r="L21" s="12"/>
      <c r="M21" s="12"/>
      <c r="N21" s="12"/>
      <c r="O21" s="12"/>
      <c r="P21" s="12"/>
      <c r="Q21" s="12">
        <v>42</v>
      </c>
      <c r="R21" s="12">
        <v>42</v>
      </c>
      <c r="S21" s="12" t="s">
        <v>240</v>
      </c>
      <c r="T21" s="12" t="s">
        <v>90</v>
      </c>
      <c r="U21" s="12"/>
      <c r="V21" s="12" t="s">
        <v>92</v>
      </c>
      <c r="W21" s="12" t="s">
        <v>241</v>
      </c>
      <c r="X21" s="12" t="s">
        <v>242</v>
      </c>
      <c r="Y21" s="12" t="s">
        <v>489</v>
      </c>
      <c r="Z21" s="12" t="s">
        <v>243</v>
      </c>
      <c r="AA21" s="12" t="s">
        <v>519</v>
      </c>
      <c r="AB21" s="12" t="s">
        <v>242</v>
      </c>
      <c r="AC21" s="12" t="s">
        <v>519</v>
      </c>
      <c r="AD21" s="14" t="s">
        <v>243</v>
      </c>
      <c r="AE21" s="12" t="s">
        <v>244</v>
      </c>
      <c r="AF21" s="12" t="s">
        <v>245</v>
      </c>
      <c r="AG21" s="12"/>
      <c r="AH21" s="12"/>
      <c r="AI21" s="12"/>
      <c r="AJ21" s="12" t="s">
        <v>207</v>
      </c>
      <c r="AK21" s="12" t="s">
        <v>208</v>
      </c>
      <c r="AL21" s="12" t="s">
        <v>552</v>
      </c>
      <c r="AM21" s="12" t="s">
        <v>575</v>
      </c>
      <c r="AN21" s="12" t="s">
        <v>576</v>
      </c>
      <c r="AO21" s="12" t="s">
        <v>684</v>
      </c>
      <c r="AP21" s="12" t="s">
        <v>685</v>
      </c>
      <c r="AQ21" s="12" t="s">
        <v>685</v>
      </c>
      <c r="AR21" s="12">
        <f t="shared" si="0"/>
        <v>58</v>
      </c>
      <c r="AS21" s="12" t="s">
        <v>659</v>
      </c>
      <c r="AT21" s="12" t="s">
        <v>660</v>
      </c>
      <c r="AU21" s="12" t="s">
        <v>686</v>
      </c>
      <c r="AV21" s="12"/>
      <c r="AW21" s="12"/>
      <c r="AX21" s="12" t="s">
        <v>687</v>
      </c>
      <c r="AY21" s="12"/>
      <c r="AZ21" s="12"/>
      <c r="BA21" s="12"/>
      <c r="BB21" s="12"/>
      <c r="BC21" s="12"/>
      <c r="BD21" s="12"/>
      <c r="BE21" s="12"/>
      <c r="BF21" s="12"/>
      <c r="BG21" s="12" t="s">
        <v>598</v>
      </c>
      <c r="BH21" s="12"/>
      <c r="BI21" s="12" t="s">
        <v>613</v>
      </c>
      <c r="BJ21" s="12" t="s">
        <v>590</v>
      </c>
      <c r="BK21" s="12"/>
      <c r="BL21" s="15" t="s">
        <v>879</v>
      </c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0" t="s">
        <v>912</v>
      </c>
      <c r="CG21" s="10"/>
    </row>
    <row r="22" spans="1:85" x14ac:dyDescent="0.3">
      <c r="A22" s="11" t="s">
        <v>85</v>
      </c>
      <c r="B22" s="11" t="s">
        <v>86</v>
      </c>
      <c r="C22" s="12" t="s">
        <v>87</v>
      </c>
      <c r="D22" s="12" t="s">
        <v>483</v>
      </c>
      <c r="E22" s="12" t="s">
        <v>87</v>
      </c>
      <c r="F22" s="12" t="s">
        <v>479</v>
      </c>
      <c r="G22" s="13" t="s">
        <v>88</v>
      </c>
      <c r="H22" s="12"/>
      <c r="I22" s="12"/>
      <c r="J22" s="12"/>
      <c r="K22" s="12"/>
      <c r="L22" s="12"/>
      <c r="M22" s="12"/>
      <c r="N22" s="12"/>
      <c r="O22" s="12"/>
      <c r="P22" s="12"/>
      <c r="Q22" s="12">
        <v>43</v>
      </c>
      <c r="R22" s="12">
        <v>43</v>
      </c>
      <c r="S22" s="12" t="s">
        <v>246</v>
      </c>
      <c r="T22" s="12" t="s">
        <v>90</v>
      </c>
      <c r="U22" s="12"/>
      <c r="V22" s="12" t="s">
        <v>92</v>
      </c>
      <c r="W22" s="12" t="s">
        <v>247</v>
      </c>
      <c r="X22" s="12" t="s">
        <v>248</v>
      </c>
      <c r="Y22" s="12" t="s">
        <v>503</v>
      </c>
      <c r="Z22" s="12" t="s">
        <v>249</v>
      </c>
      <c r="AA22" s="12" t="s">
        <v>249</v>
      </c>
      <c r="AB22" s="12" t="s">
        <v>250</v>
      </c>
      <c r="AC22" s="12" t="s">
        <v>249</v>
      </c>
      <c r="AD22" s="14" t="s">
        <v>249</v>
      </c>
      <c r="AE22" s="12" t="s">
        <v>251</v>
      </c>
      <c r="AF22" s="12" t="s">
        <v>252</v>
      </c>
      <c r="AG22" s="12"/>
      <c r="AH22" s="12"/>
      <c r="AI22" s="12"/>
      <c r="AJ22" s="12"/>
      <c r="AK22" s="12"/>
      <c r="AL22" s="12" t="s">
        <v>557</v>
      </c>
      <c r="AM22" s="12" t="s">
        <v>575</v>
      </c>
      <c r="AN22" s="12" t="s">
        <v>576</v>
      </c>
      <c r="AO22" s="12" t="s">
        <v>688</v>
      </c>
      <c r="AP22" s="12" t="s">
        <v>689</v>
      </c>
      <c r="AQ22" s="12" t="s">
        <v>689</v>
      </c>
      <c r="AR22" s="12">
        <f t="shared" si="0"/>
        <v>87</v>
      </c>
      <c r="AS22" s="12" t="s">
        <v>690</v>
      </c>
      <c r="AT22" s="12" t="s">
        <v>691</v>
      </c>
      <c r="AU22" s="12"/>
      <c r="AV22" s="12"/>
      <c r="AW22" s="12"/>
      <c r="AX22" s="12"/>
      <c r="AY22" s="12"/>
      <c r="AZ22" s="12"/>
      <c r="BA22" s="12"/>
      <c r="BB22" s="12"/>
      <c r="BC22" s="12" t="s">
        <v>692</v>
      </c>
      <c r="BD22" s="12"/>
      <c r="BE22" s="12"/>
      <c r="BF22" s="12"/>
      <c r="BG22" s="12" t="s">
        <v>588</v>
      </c>
      <c r="BH22" s="12" t="s">
        <v>693</v>
      </c>
      <c r="BI22" s="12" t="s">
        <v>613</v>
      </c>
      <c r="BJ22" s="12" t="s">
        <v>590</v>
      </c>
      <c r="BK22" s="12"/>
      <c r="BL22" s="15" t="s">
        <v>880</v>
      </c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0" t="s">
        <v>912</v>
      </c>
      <c r="CG22" s="10"/>
    </row>
    <row r="23" spans="1:85" x14ac:dyDescent="0.3">
      <c r="A23" s="11" t="s">
        <v>85</v>
      </c>
      <c r="B23" s="11" t="s">
        <v>86</v>
      </c>
      <c r="C23" s="12" t="s">
        <v>87</v>
      </c>
      <c r="D23" s="12" t="s">
        <v>481</v>
      </c>
      <c r="E23" s="12" t="s">
        <v>87</v>
      </c>
      <c r="F23" s="12" t="s">
        <v>479</v>
      </c>
      <c r="G23" s="13" t="s">
        <v>88</v>
      </c>
      <c r="H23" s="12"/>
      <c r="I23" s="12"/>
      <c r="J23" s="12"/>
      <c r="K23" s="12"/>
      <c r="L23" s="12"/>
      <c r="M23" s="12"/>
      <c r="N23" s="12"/>
      <c r="O23" s="12"/>
      <c r="P23" s="12"/>
      <c r="Q23" s="12">
        <v>44</v>
      </c>
      <c r="R23" s="12">
        <v>44</v>
      </c>
      <c r="S23" s="12" t="s">
        <v>253</v>
      </c>
      <c r="T23" s="12"/>
      <c r="U23" s="12"/>
      <c r="V23" s="12" t="s">
        <v>254</v>
      </c>
      <c r="W23" s="12"/>
      <c r="X23" s="12" t="s">
        <v>102</v>
      </c>
      <c r="Y23" s="12" t="s">
        <v>490</v>
      </c>
      <c r="Z23" s="12" t="s">
        <v>255</v>
      </c>
      <c r="AA23" s="12" t="s">
        <v>255</v>
      </c>
      <c r="AB23" s="12" t="s">
        <v>104</v>
      </c>
      <c r="AC23" s="12" t="s">
        <v>255</v>
      </c>
      <c r="AD23" s="14" t="s">
        <v>255</v>
      </c>
      <c r="AE23" s="12" t="s">
        <v>256</v>
      </c>
      <c r="AF23" s="12"/>
      <c r="AG23" s="12"/>
      <c r="AH23" s="12"/>
      <c r="AI23" s="12"/>
      <c r="AJ23" s="12"/>
      <c r="AK23" s="12"/>
      <c r="AL23" s="12" t="s">
        <v>558</v>
      </c>
      <c r="AM23" s="12"/>
      <c r="AN23" s="12"/>
      <c r="AO23" s="12" t="s">
        <v>694</v>
      </c>
      <c r="AP23" s="12" t="s">
        <v>695</v>
      </c>
      <c r="AQ23" s="12" t="s">
        <v>695</v>
      </c>
      <c r="AR23" s="12">
        <f t="shared" si="0"/>
        <v>91</v>
      </c>
      <c r="AS23" s="12" t="s">
        <v>696</v>
      </c>
      <c r="AT23" s="12" t="s">
        <v>697</v>
      </c>
      <c r="AU23" s="12" t="s">
        <v>698</v>
      </c>
      <c r="AV23" s="12"/>
      <c r="AW23" s="12"/>
      <c r="AX23" s="12" t="s">
        <v>699</v>
      </c>
      <c r="AY23" s="12"/>
      <c r="AZ23" s="12"/>
      <c r="BA23" s="12"/>
      <c r="BB23" s="12"/>
      <c r="BC23" s="12" t="s">
        <v>700</v>
      </c>
      <c r="BD23" s="12"/>
      <c r="BE23" s="12"/>
      <c r="BF23" s="12" t="s">
        <v>701</v>
      </c>
      <c r="BG23" s="12" t="s">
        <v>598</v>
      </c>
      <c r="BH23" s="12" t="s">
        <v>702</v>
      </c>
      <c r="BI23" s="12" t="s">
        <v>589</v>
      </c>
      <c r="BJ23" s="12" t="s">
        <v>590</v>
      </c>
      <c r="BK23" s="12"/>
      <c r="BL23" s="15" t="s">
        <v>881</v>
      </c>
      <c r="BM23" s="12" t="s">
        <v>882</v>
      </c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0" t="s">
        <v>912</v>
      </c>
      <c r="CG23" s="10"/>
    </row>
    <row r="24" spans="1:85" x14ac:dyDescent="0.3">
      <c r="A24" s="11" t="s">
        <v>85</v>
      </c>
      <c r="B24" s="11" t="s">
        <v>86</v>
      </c>
      <c r="C24" s="12" t="s">
        <v>87</v>
      </c>
      <c r="D24" s="12" t="s">
        <v>481</v>
      </c>
      <c r="E24" s="12" t="s">
        <v>87</v>
      </c>
      <c r="F24" s="12" t="s">
        <v>479</v>
      </c>
      <c r="G24" s="13" t="s">
        <v>88</v>
      </c>
      <c r="H24" s="12"/>
      <c r="I24" s="12"/>
      <c r="J24" s="12"/>
      <c r="K24" s="12"/>
      <c r="L24" s="12"/>
      <c r="M24" s="12"/>
      <c r="N24" s="12"/>
      <c r="O24" s="12"/>
      <c r="P24" s="12"/>
      <c r="Q24" s="12">
        <v>45</v>
      </c>
      <c r="R24" s="12">
        <v>45</v>
      </c>
      <c r="S24" s="12" t="s">
        <v>257</v>
      </c>
      <c r="T24" s="12" t="s">
        <v>258</v>
      </c>
      <c r="U24" s="12" t="s">
        <v>259</v>
      </c>
      <c r="V24" s="12" t="s">
        <v>152</v>
      </c>
      <c r="W24" s="12" t="s">
        <v>260</v>
      </c>
      <c r="X24" s="12" t="s">
        <v>102</v>
      </c>
      <c r="Y24" s="12" t="s">
        <v>484</v>
      </c>
      <c r="Z24" s="12" t="s">
        <v>261</v>
      </c>
      <c r="AA24" t="s">
        <v>520</v>
      </c>
      <c r="AB24" s="12" t="s">
        <v>104</v>
      </c>
      <c r="AC24" t="s">
        <v>520</v>
      </c>
      <c r="AD24" s="14" t="s">
        <v>261</v>
      </c>
      <c r="AE24" s="12" t="s">
        <v>262</v>
      </c>
      <c r="AF24" s="12" t="s">
        <v>263</v>
      </c>
      <c r="AG24" s="12" t="s">
        <v>264</v>
      </c>
      <c r="AH24" s="12"/>
      <c r="AI24" s="12" t="s">
        <v>102</v>
      </c>
      <c r="AJ24" s="12" t="s">
        <v>265</v>
      </c>
      <c r="AK24" s="12" t="s">
        <v>266</v>
      </c>
      <c r="AL24" s="12" t="s">
        <v>559</v>
      </c>
      <c r="AM24" s="12"/>
      <c r="AN24" s="12"/>
      <c r="AO24" s="12" t="s">
        <v>703</v>
      </c>
      <c r="AP24" s="12" t="s">
        <v>704</v>
      </c>
      <c r="AQ24" s="12" t="s">
        <v>704</v>
      </c>
      <c r="AR24" s="12">
        <f t="shared" si="0"/>
        <v>93</v>
      </c>
      <c r="AS24" s="12" t="s">
        <v>705</v>
      </c>
      <c r="AT24" s="12" t="s">
        <v>706</v>
      </c>
      <c r="AU24" s="12"/>
      <c r="AV24" s="12"/>
      <c r="AW24" s="12"/>
      <c r="AX24" s="12"/>
      <c r="AY24" s="12"/>
      <c r="AZ24" s="12" t="s">
        <v>707</v>
      </c>
      <c r="BA24" s="12"/>
      <c r="BB24" s="12"/>
      <c r="BC24" s="12" t="s">
        <v>708</v>
      </c>
      <c r="BD24" s="12"/>
      <c r="BE24" s="12"/>
      <c r="BF24" s="12"/>
      <c r="BG24" s="12" t="s">
        <v>588</v>
      </c>
      <c r="BH24" s="12"/>
      <c r="BI24" s="12" t="s">
        <v>613</v>
      </c>
      <c r="BJ24" s="12" t="s">
        <v>590</v>
      </c>
      <c r="BK24" s="12"/>
      <c r="BL24" s="15" t="s">
        <v>883</v>
      </c>
      <c r="BM24" s="12" t="s">
        <v>884</v>
      </c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0" t="s">
        <v>912</v>
      </c>
      <c r="CG24" s="10"/>
    </row>
    <row r="25" spans="1:85" x14ac:dyDescent="0.3">
      <c r="A25" s="11" t="s">
        <v>85</v>
      </c>
      <c r="B25" s="11" t="s">
        <v>86</v>
      </c>
      <c r="C25" s="12" t="s">
        <v>87</v>
      </c>
      <c r="D25" s="12" t="s">
        <v>481</v>
      </c>
      <c r="E25" s="12" t="s">
        <v>87</v>
      </c>
      <c r="F25" s="12" t="s">
        <v>479</v>
      </c>
      <c r="G25" s="13" t="s">
        <v>88</v>
      </c>
      <c r="H25" s="12"/>
      <c r="I25" s="12"/>
      <c r="J25" s="12"/>
      <c r="K25" s="12"/>
      <c r="L25" s="12"/>
      <c r="M25" s="12"/>
      <c r="N25" s="12"/>
      <c r="O25" s="12"/>
      <c r="P25" s="12"/>
      <c r="Q25" s="12">
        <v>46</v>
      </c>
      <c r="R25" s="12">
        <v>46</v>
      </c>
      <c r="S25" s="12" t="s">
        <v>267</v>
      </c>
      <c r="T25" s="12"/>
      <c r="U25" s="12" t="s">
        <v>268</v>
      </c>
      <c r="V25" s="12" t="s">
        <v>92</v>
      </c>
      <c r="W25" s="12"/>
      <c r="X25" s="12" t="s">
        <v>269</v>
      </c>
      <c r="Y25" s="12" t="s">
        <v>491</v>
      </c>
      <c r="Z25" s="12" t="s">
        <v>270</v>
      </c>
      <c r="AA25" s="12" t="s">
        <v>270</v>
      </c>
      <c r="AB25" s="12" t="s">
        <v>104</v>
      </c>
      <c r="AC25" s="12" t="s">
        <v>270</v>
      </c>
      <c r="AD25" s="14" t="s">
        <v>270</v>
      </c>
      <c r="AE25" s="12" t="s">
        <v>271</v>
      </c>
      <c r="AF25" s="12" t="s">
        <v>272</v>
      </c>
      <c r="AG25" s="12" t="s">
        <v>272</v>
      </c>
      <c r="AH25" s="12"/>
      <c r="AI25" s="12"/>
      <c r="AJ25" s="12" t="s">
        <v>273</v>
      </c>
      <c r="AK25" s="12" t="s">
        <v>274</v>
      </c>
      <c r="AL25" s="12" t="s">
        <v>560</v>
      </c>
      <c r="AM25" s="12"/>
      <c r="AN25" s="12"/>
      <c r="AO25" s="12" t="s">
        <v>709</v>
      </c>
      <c r="AP25" s="12" t="s">
        <v>710</v>
      </c>
      <c r="AQ25" s="12" t="s">
        <v>710</v>
      </c>
      <c r="AR25" s="12">
        <f t="shared" si="0"/>
        <v>90</v>
      </c>
      <c r="AS25" s="12" t="s">
        <v>711</v>
      </c>
      <c r="AT25" s="12" t="s">
        <v>603</v>
      </c>
      <c r="AU25" s="12" t="s">
        <v>712</v>
      </c>
      <c r="AV25" s="12"/>
      <c r="AW25" s="12"/>
      <c r="AX25" s="12" t="s">
        <v>713</v>
      </c>
      <c r="AY25" s="12" t="s">
        <v>714</v>
      </c>
      <c r="AZ25" s="12"/>
      <c r="BA25" s="12"/>
      <c r="BB25" s="12"/>
      <c r="BC25" s="12" t="s">
        <v>715</v>
      </c>
      <c r="BD25" s="12" t="s">
        <v>716</v>
      </c>
      <c r="BE25" s="12"/>
      <c r="BF25" s="12"/>
      <c r="BG25" s="12"/>
      <c r="BH25" s="12"/>
      <c r="BI25" s="12"/>
      <c r="BJ25" s="12"/>
      <c r="BK25" s="12"/>
      <c r="BL25" s="12" t="s">
        <v>885</v>
      </c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0" t="s">
        <v>912</v>
      </c>
      <c r="CG25" s="10"/>
    </row>
    <row r="26" spans="1:85" x14ac:dyDescent="0.3">
      <c r="A26" s="11" t="s">
        <v>85</v>
      </c>
      <c r="B26" s="11" t="s">
        <v>86</v>
      </c>
      <c r="C26" s="12" t="s">
        <v>87</v>
      </c>
      <c r="D26" s="12" t="s">
        <v>483</v>
      </c>
      <c r="E26" s="12" t="s">
        <v>87</v>
      </c>
      <c r="F26" s="12" t="s">
        <v>479</v>
      </c>
      <c r="G26" s="13" t="s">
        <v>88</v>
      </c>
      <c r="H26" s="12"/>
      <c r="I26" s="12"/>
      <c r="J26" s="12"/>
      <c r="K26" s="12"/>
      <c r="L26" s="12"/>
      <c r="M26" s="12"/>
      <c r="N26" s="12"/>
      <c r="O26" s="12"/>
      <c r="P26" s="12"/>
      <c r="Q26" s="12">
        <v>48</v>
      </c>
      <c r="R26" s="12">
        <v>48</v>
      </c>
      <c r="S26" s="12" t="s">
        <v>275</v>
      </c>
      <c r="T26" s="12" t="s">
        <v>276</v>
      </c>
      <c r="U26" s="12" t="s">
        <v>277</v>
      </c>
      <c r="V26" s="12" t="s">
        <v>254</v>
      </c>
      <c r="W26" s="12" t="s">
        <v>278</v>
      </c>
      <c r="X26" s="12" t="s">
        <v>279</v>
      </c>
      <c r="Y26" s="12" t="s">
        <v>492</v>
      </c>
      <c r="Z26" s="12" t="s">
        <v>280</v>
      </c>
      <c r="AA26" s="12" t="s">
        <v>280</v>
      </c>
      <c r="AB26" s="12" t="s">
        <v>281</v>
      </c>
      <c r="AC26" s="12" t="s">
        <v>280</v>
      </c>
      <c r="AD26" s="14" t="s">
        <v>280</v>
      </c>
      <c r="AE26" s="12" t="s">
        <v>282</v>
      </c>
      <c r="AF26" s="12" t="s">
        <v>283</v>
      </c>
      <c r="AG26" s="12" t="s">
        <v>284</v>
      </c>
      <c r="AH26" s="12" t="s">
        <v>285</v>
      </c>
      <c r="AI26" s="12"/>
      <c r="AJ26" s="12" t="s">
        <v>286</v>
      </c>
      <c r="AK26" s="12" t="s">
        <v>287</v>
      </c>
      <c r="AL26" s="12" t="s">
        <v>561</v>
      </c>
      <c r="AM26" s="12" t="s">
        <v>285</v>
      </c>
      <c r="AN26" s="12" t="s">
        <v>577</v>
      </c>
      <c r="AO26" s="12" t="s">
        <v>717</v>
      </c>
      <c r="AP26" s="12" t="s">
        <v>718</v>
      </c>
      <c r="AQ26" s="12" t="s">
        <v>718</v>
      </c>
      <c r="AR26" s="12">
        <f t="shared" si="0"/>
        <v>81</v>
      </c>
      <c r="AS26" s="12" t="s">
        <v>719</v>
      </c>
      <c r="AT26" s="12" t="s">
        <v>720</v>
      </c>
      <c r="AU26" s="12"/>
      <c r="AV26" s="12"/>
      <c r="AW26" s="12"/>
      <c r="AX26" s="12"/>
      <c r="AY26" s="12"/>
      <c r="AZ26" s="12"/>
      <c r="BA26" s="12" t="s">
        <v>721</v>
      </c>
      <c r="BB26" s="12"/>
      <c r="BC26" s="12" t="s">
        <v>722</v>
      </c>
      <c r="BD26" s="12"/>
      <c r="BE26" s="12"/>
      <c r="BF26" s="12"/>
      <c r="BG26" s="12" t="s">
        <v>598</v>
      </c>
      <c r="BH26" s="12" t="s">
        <v>723</v>
      </c>
      <c r="BI26" s="12" t="s">
        <v>589</v>
      </c>
      <c r="BJ26" s="12" t="s">
        <v>590</v>
      </c>
      <c r="BK26" s="12"/>
      <c r="BL26" s="15" t="s">
        <v>886</v>
      </c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0" t="s">
        <v>912</v>
      </c>
      <c r="CG26" s="10"/>
    </row>
    <row r="27" spans="1:85" x14ac:dyDescent="0.3">
      <c r="A27" s="11" t="s">
        <v>85</v>
      </c>
      <c r="B27" s="11" t="s">
        <v>86</v>
      </c>
      <c r="C27" s="12" t="s">
        <v>87</v>
      </c>
      <c r="D27" s="12" t="s">
        <v>481</v>
      </c>
      <c r="E27" s="12" t="s">
        <v>87</v>
      </c>
      <c r="F27" s="12" t="s">
        <v>479</v>
      </c>
      <c r="G27" s="13" t="s">
        <v>88</v>
      </c>
      <c r="H27" s="12"/>
      <c r="I27" s="12"/>
      <c r="J27" s="12"/>
      <c r="K27" s="12"/>
      <c r="L27" s="12"/>
      <c r="M27" s="12"/>
      <c r="N27" s="12"/>
      <c r="O27" s="12"/>
      <c r="P27" s="12"/>
      <c r="Q27" s="12">
        <v>49</v>
      </c>
      <c r="R27" s="12">
        <v>49</v>
      </c>
      <c r="S27" s="12" t="s">
        <v>288</v>
      </c>
      <c r="T27" s="12" t="s">
        <v>289</v>
      </c>
      <c r="U27" s="12" t="s">
        <v>290</v>
      </c>
      <c r="V27" s="12" t="s">
        <v>254</v>
      </c>
      <c r="W27" s="12" t="s">
        <v>291</v>
      </c>
      <c r="X27" s="12" t="s">
        <v>292</v>
      </c>
      <c r="Y27" s="12" t="s">
        <v>493</v>
      </c>
      <c r="Z27" s="12" t="s">
        <v>293</v>
      </c>
      <c r="AA27" s="12" t="s">
        <v>521</v>
      </c>
      <c r="AB27" s="12" t="s">
        <v>294</v>
      </c>
      <c r="AC27" s="12" t="s">
        <v>521</v>
      </c>
      <c r="AD27" s="14" t="s">
        <v>293</v>
      </c>
      <c r="AE27" s="12" t="s">
        <v>295</v>
      </c>
      <c r="AF27" s="12" t="s">
        <v>296</v>
      </c>
      <c r="AG27" s="12" t="s">
        <v>296</v>
      </c>
      <c r="AH27" s="12"/>
      <c r="AI27" s="12" t="s">
        <v>297</v>
      </c>
      <c r="AJ27" s="12" t="s">
        <v>298</v>
      </c>
      <c r="AK27" s="12" t="s">
        <v>299</v>
      </c>
      <c r="AL27" s="12" t="s">
        <v>562</v>
      </c>
      <c r="AM27" s="12"/>
      <c r="AN27" s="12"/>
      <c r="AO27" s="12" t="s">
        <v>724</v>
      </c>
      <c r="AP27" s="12" t="s">
        <v>725</v>
      </c>
      <c r="AQ27" s="12" t="s">
        <v>725</v>
      </c>
      <c r="AR27" s="12">
        <f t="shared" si="0"/>
        <v>117</v>
      </c>
      <c r="AS27" s="12" t="s">
        <v>726</v>
      </c>
      <c r="AT27" s="12" t="s">
        <v>727</v>
      </c>
      <c r="AU27" s="12" t="s">
        <v>728</v>
      </c>
      <c r="AV27" s="12"/>
      <c r="AW27" s="12"/>
      <c r="AX27" s="12"/>
      <c r="AY27" s="12"/>
      <c r="AZ27" s="12"/>
      <c r="BA27" s="12"/>
      <c r="BB27" s="12"/>
      <c r="BC27" s="12" t="s">
        <v>729</v>
      </c>
      <c r="BD27" s="12" t="s">
        <v>730</v>
      </c>
      <c r="BE27" s="12"/>
      <c r="BF27" s="12"/>
      <c r="BG27" s="12" t="s">
        <v>588</v>
      </c>
      <c r="BH27" s="12" t="s">
        <v>731</v>
      </c>
      <c r="BI27" s="12" t="s">
        <v>589</v>
      </c>
      <c r="BJ27" s="12"/>
      <c r="BK27" s="12"/>
      <c r="BL27" s="15" t="s">
        <v>887</v>
      </c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0" t="s">
        <v>912</v>
      </c>
      <c r="CG27" s="10"/>
    </row>
    <row r="28" spans="1:85" x14ac:dyDescent="0.3">
      <c r="A28" s="11" t="s">
        <v>85</v>
      </c>
      <c r="B28" s="11" t="s">
        <v>86</v>
      </c>
      <c r="C28" s="12" t="s">
        <v>87</v>
      </c>
      <c r="D28" s="12" t="s">
        <v>481</v>
      </c>
      <c r="E28" s="12" t="s">
        <v>87</v>
      </c>
      <c r="F28" s="12" t="s">
        <v>479</v>
      </c>
      <c r="G28" s="13" t="s">
        <v>88</v>
      </c>
      <c r="H28" s="12"/>
      <c r="I28" s="12"/>
      <c r="J28" s="12"/>
      <c r="K28" s="12"/>
      <c r="L28" s="12"/>
      <c r="M28" s="12"/>
      <c r="N28" s="12"/>
      <c r="O28" s="12"/>
      <c r="P28" s="12"/>
      <c r="Q28" s="12">
        <v>50</v>
      </c>
      <c r="R28" s="12">
        <v>50</v>
      </c>
      <c r="S28" s="12" t="s">
        <v>300</v>
      </c>
      <c r="T28" s="12" t="s">
        <v>90</v>
      </c>
      <c r="U28" s="12"/>
      <c r="V28" s="12" t="s">
        <v>92</v>
      </c>
      <c r="W28" s="12" t="s">
        <v>301</v>
      </c>
      <c r="X28" s="12" t="s">
        <v>302</v>
      </c>
      <c r="Y28" s="12" t="s">
        <v>302</v>
      </c>
      <c r="Z28" s="12" t="s">
        <v>303</v>
      </c>
      <c r="AA28" s="12" t="s">
        <v>522</v>
      </c>
      <c r="AB28" s="12" t="s">
        <v>304</v>
      </c>
      <c r="AC28" s="12" t="s">
        <v>522</v>
      </c>
      <c r="AD28" s="14" t="s">
        <v>303</v>
      </c>
      <c r="AE28" s="12" t="s">
        <v>305</v>
      </c>
      <c r="AF28" s="12" t="s">
        <v>306</v>
      </c>
      <c r="AG28" s="12"/>
      <c r="AH28" s="12"/>
      <c r="AI28" s="12"/>
      <c r="AJ28" s="12" t="s">
        <v>307</v>
      </c>
      <c r="AK28" s="12" t="s">
        <v>308</v>
      </c>
      <c r="AL28" s="12" t="s">
        <v>563</v>
      </c>
      <c r="AM28" s="12" t="s">
        <v>575</v>
      </c>
      <c r="AN28" s="12" t="s">
        <v>576</v>
      </c>
      <c r="AO28" s="12" t="s">
        <v>732</v>
      </c>
      <c r="AP28" s="12" t="s">
        <v>733</v>
      </c>
      <c r="AQ28" s="12" t="s">
        <v>733</v>
      </c>
      <c r="AR28" s="12">
        <f t="shared" si="0"/>
        <v>72</v>
      </c>
      <c r="AS28" s="12" t="s">
        <v>677</v>
      </c>
      <c r="AT28" s="12" t="s">
        <v>647</v>
      </c>
      <c r="AU28" s="12" t="s">
        <v>604</v>
      </c>
      <c r="AV28" s="12"/>
      <c r="AW28" s="12"/>
      <c r="AX28" s="12"/>
      <c r="AY28" s="12"/>
      <c r="AZ28" s="12"/>
      <c r="BA28" s="12"/>
      <c r="BB28" s="12"/>
      <c r="BC28" s="12" t="s">
        <v>734</v>
      </c>
      <c r="BD28" s="12"/>
      <c r="BE28" s="12"/>
      <c r="BF28" s="12"/>
      <c r="BG28" s="12" t="s">
        <v>598</v>
      </c>
      <c r="BH28" s="12" t="s">
        <v>735</v>
      </c>
      <c r="BI28" s="12" t="s">
        <v>613</v>
      </c>
      <c r="BJ28" s="12" t="s">
        <v>590</v>
      </c>
      <c r="BK28" s="12"/>
      <c r="BL28" s="15" t="s">
        <v>888</v>
      </c>
      <c r="BM28" s="12" t="s">
        <v>889</v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0" t="s">
        <v>912</v>
      </c>
      <c r="CG28" s="10"/>
    </row>
    <row r="29" spans="1:85" x14ac:dyDescent="0.3">
      <c r="A29" s="11" t="s">
        <v>85</v>
      </c>
      <c r="B29" s="11" t="s">
        <v>86</v>
      </c>
      <c r="C29" s="12" t="s">
        <v>87</v>
      </c>
      <c r="D29" s="12" t="s">
        <v>482</v>
      </c>
      <c r="E29" s="12" t="s">
        <v>87</v>
      </c>
      <c r="F29" s="12" t="s">
        <v>480</v>
      </c>
      <c r="G29" s="13" t="s">
        <v>88</v>
      </c>
      <c r="H29" s="12"/>
      <c r="I29" s="12"/>
      <c r="J29" s="12"/>
      <c r="K29" s="12"/>
      <c r="L29" s="12"/>
      <c r="M29" s="12"/>
      <c r="N29" s="12"/>
      <c r="O29" s="12"/>
      <c r="P29" s="12"/>
      <c r="Q29" s="12">
        <v>51</v>
      </c>
      <c r="R29" s="12">
        <v>51</v>
      </c>
      <c r="S29" s="12" t="s">
        <v>309</v>
      </c>
      <c r="T29" s="12"/>
      <c r="U29" s="12"/>
      <c r="V29" s="12" t="s">
        <v>92</v>
      </c>
      <c r="W29" s="12"/>
      <c r="X29" s="12" t="s">
        <v>302</v>
      </c>
      <c r="Y29" s="12" t="s">
        <v>302</v>
      </c>
      <c r="Z29" s="12" t="s">
        <v>310</v>
      </c>
      <c r="AA29" s="12" t="s">
        <v>310</v>
      </c>
      <c r="AB29" s="12" t="s">
        <v>304</v>
      </c>
      <c r="AC29" s="12" t="s">
        <v>310</v>
      </c>
      <c r="AD29" s="14" t="s">
        <v>310</v>
      </c>
      <c r="AE29" s="12" t="s">
        <v>311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>
        <f t="shared" si="0"/>
        <v>0</v>
      </c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 t="s">
        <v>860</v>
      </c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0" t="s">
        <v>912</v>
      </c>
      <c r="CG29" s="10"/>
    </row>
    <row r="30" spans="1:85" x14ac:dyDescent="0.3">
      <c r="A30" s="11" t="s">
        <v>85</v>
      </c>
      <c r="B30" s="11" t="s">
        <v>86</v>
      </c>
      <c r="C30" s="12" t="s">
        <v>87</v>
      </c>
      <c r="D30" s="12" t="s">
        <v>483</v>
      </c>
      <c r="E30" s="12" t="s">
        <v>87</v>
      </c>
      <c r="F30" s="12" t="s">
        <v>479</v>
      </c>
      <c r="G30" s="13" t="s">
        <v>88</v>
      </c>
      <c r="H30" s="12"/>
      <c r="I30" s="12"/>
      <c r="J30" s="12"/>
      <c r="K30" s="12"/>
      <c r="L30" s="12"/>
      <c r="M30" s="12"/>
      <c r="N30" s="12"/>
      <c r="O30" s="12"/>
      <c r="P30" s="12"/>
      <c r="Q30" s="12">
        <v>52</v>
      </c>
      <c r="R30" s="12">
        <v>52</v>
      </c>
      <c r="S30" s="12" t="s">
        <v>312</v>
      </c>
      <c r="T30" s="12" t="s">
        <v>90</v>
      </c>
      <c r="U30" s="12"/>
      <c r="V30" s="12" t="s">
        <v>92</v>
      </c>
      <c r="W30" s="12" t="s">
        <v>313</v>
      </c>
      <c r="X30" s="12" t="s">
        <v>302</v>
      </c>
      <c r="Y30" s="12" t="s">
        <v>302</v>
      </c>
      <c r="Z30" s="12" t="s">
        <v>314</v>
      </c>
      <c r="AA30" s="12" t="s">
        <v>523</v>
      </c>
      <c r="AB30" s="12" t="s">
        <v>304</v>
      </c>
      <c r="AC30" s="12" t="s">
        <v>523</v>
      </c>
      <c r="AD30" s="14" t="s">
        <v>314</v>
      </c>
      <c r="AE30" s="12" t="s">
        <v>315</v>
      </c>
      <c r="AF30" s="12" t="s">
        <v>316</v>
      </c>
      <c r="AG30" s="12"/>
      <c r="AH30" s="12"/>
      <c r="AI30" s="12" t="s">
        <v>317</v>
      </c>
      <c r="AJ30" s="12" t="s">
        <v>200</v>
      </c>
      <c r="AK30" s="12" t="s">
        <v>318</v>
      </c>
      <c r="AL30" s="12" t="s">
        <v>564</v>
      </c>
      <c r="AM30" s="12"/>
      <c r="AN30" s="12"/>
      <c r="AO30" s="12" t="s">
        <v>736</v>
      </c>
      <c r="AP30" s="12" t="s">
        <v>737</v>
      </c>
      <c r="AQ30" s="12" t="s">
        <v>737</v>
      </c>
      <c r="AR30" s="12">
        <f t="shared" si="0"/>
        <v>84</v>
      </c>
      <c r="AS30" s="12" t="s">
        <v>631</v>
      </c>
      <c r="AT30" s="12" t="s">
        <v>603</v>
      </c>
      <c r="AU30" s="12" t="s">
        <v>738</v>
      </c>
      <c r="AV30" s="12"/>
      <c r="AW30" s="12"/>
      <c r="AX30" s="12" t="s">
        <v>739</v>
      </c>
      <c r="AY30" s="12"/>
      <c r="AZ30" s="12"/>
      <c r="BA30" s="12"/>
      <c r="BB30" s="12" t="s">
        <v>740</v>
      </c>
      <c r="BC30" s="12" t="s">
        <v>741</v>
      </c>
      <c r="BD30" s="12"/>
      <c r="BE30" s="12"/>
      <c r="BF30" s="12"/>
      <c r="BG30" s="12" t="s">
        <v>598</v>
      </c>
      <c r="BH30" s="12" t="s">
        <v>735</v>
      </c>
      <c r="BI30" s="12" t="s">
        <v>613</v>
      </c>
      <c r="BJ30" s="12" t="s">
        <v>590</v>
      </c>
      <c r="BK30" s="12"/>
      <c r="BL30" s="15" t="s">
        <v>890</v>
      </c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0" t="s">
        <v>912</v>
      </c>
      <c r="CG30" s="10"/>
    </row>
    <row r="31" spans="1:85" x14ac:dyDescent="0.3">
      <c r="A31" s="11" t="s">
        <v>85</v>
      </c>
      <c r="B31" s="11" t="s">
        <v>86</v>
      </c>
      <c r="C31" s="12" t="s">
        <v>87</v>
      </c>
      <c r="D31" s="12" t="s">
        <v>481</v>
      </c>
      <c r="E31" s="12" t="s">
        <v>87</v>
      </c>
      <c r="F31" s="12" t="s">
        <v>479</v>
      </c>
      <c r="G31" s="13" t="s">
        <v>88</v>
      </c>
      <c r="H31" s="12"/>
      <c r="I31" s="12"/>
      <c r="J31" s="12"/>
      <c r="K31" s="12"/>
      <c r="L31" s="12"/>
      <c r="M31" s="12"/>
      <c r="N31" s="12"/>
      <c r="O31" s="12"/>
      <c r="P31" s="12"/>
      <c r="Q31" s="12">
        <v>53</v>
      </c>
      <c r="R31" s="12">
        <v>53</v>
      </c>
      <c r="S31" s="12" t="s">
        <v>319</v>
      </c>
      <c r="T31" s="12" t="s">
        <v>90</v>
      </c>
      <c r="U31" s="12"/>
      <c r="V31" s="12" t="s">
        <v>92</v>
      </c>
      <c r="W31" s="12" t="s">
        <v>320</v>
      </c>
      <c r="X31" s="12" t="s">
        <v>302</v>
      </c>
      <c r="Y31" s="12" t="s">
        <v>302</v>
      </c>
      <c r="Z31" s="12" t="s">
        <v>321</v>
      </c>
      <c r="AA31" s="12" t="s">
        <v>524</v>
      </c>
      <c r="AB31" s="12" t="s">
        <v>304</v>
      </c>
      <c r="AC31" s="12" t="s">
        <v>524</v>
      </c>
      <c r="AD31" s="14" t="s">
        <v>321</v>
      </c>
      <c r="AE31" s="12" t="s">
        <v>322</v>
      </c>
      <c r="AF31" s="12" t="s">
        <v>323</v>
      </c>
      <c r="AG31" s="12"/>
      <c r="AH31" s="12"/>
      <c r="AI31" s="12" t="s">
        <v>317</v>
      </c>
      <c r="AJ31" s="12" t="s">
        <v>191</v>
      </c>
      <c r="AK31" s="12" t="s">
        <v>192</v>
      </c>
      <c r="AL31" s="12" t="s">
        <v>550</v>
      </c>
      <c r="AM31" s="12" t="s">
        <v>575</v>
      </c>
      <c r="AN31" s="12" t="s">
        <v>576</v>
      </c>
      <c r="AO31" s="12" t="s">
        <v>742</v>
      </c>
      <c r="AP31" s="12" t="s">
        <v>743</v>
      </c>
      <c r="AQ31" s="12" t="s">
        <v>743</v>
      </c>
      <c r="AR31" s="12">
        <f t="shared" si="0"/>
        <v>98</v>
      </c>
      <c r="AS31" s="12" t="s">
        <v>646</v>
      </c>
      <c r="AT31" s="12" t="s">
        <v>647</v>
      </c>
      <c r="AU31" s="12" t="s">
        <v>744</v>
      </c>
      <c r="AV31" s="12"/>
      <c r="AW31" s="12"/>
      <c r="AX31" s="12" t="s">
        <v>745</v>
      </c>
      <c r="AY31" s="12"/>
      <c r="AZ31" s="12"/>
      <c r="BA31" s="12"/>
      <c r="BB31" s="12" t="s">
        <v>740</v>
      </c>
      <c r="BC31" s="12" t="s">
        <v>746</v>
      </c>
      <c r="BD31" s="12"/>
      <c r="BE31" s="12"/>
      <c r="BF31" s="12"/>
      <c r="BG31" s="12" t="s">
        <v>598</v>
      </c>
      <c r="BH31" s="12" t="s">
        <v>747</v>
      </c>
      <c r="BI31" s="12" t="s">
        <v>613</v>
      </c>
      <c r="BJ31" s="12" t="s">
        <v>590</v>
      </c>
      <c r="BK31" s="12"/>
      <c r="BL31" s="15" t="s">
        <v>888</v>
      </c>
      <c r="BM31" s="12" t="s">
        <v>889</v>
      </c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0" t="s">
        <v>912</v>
      </c>
      <c r="CG31" s="10"/>
    </row>
    <row r="32" spans="1:85" x14ac:dyDescent="0.3">
      <c r="A32" s="11" t="s">
        <v>85</v>
      </c>
      <c r="B32" s="11" t="s">
        <v>86</v>
      </c>
      <c r="C32" s="12" t="s">
        <v>87</v>
      </c>
      <c r="D32" s="12" t="s">
        <v>483</v>
      </c>
      <c r="E32" s="12" t="s">
        <v>87</v>
      </c>
      <c r="F32" s="12" t="s">
        <v>479</v>
      </c>
      <c r="G32" s="13" t="s">
        <v>88</v>
      </c>
      <c r="H32" s="12"/>
      <c r="I32" s="12"/>
      <c r="J32" s="12"/>
      <c r="K32" s="12"/>
      <c r="L32" s="12"/>
      <c r="M32" s="12"/>
      <c r="N32" s="12"/>
      <c r="O32" s="12"/>
      <c r="P32" s="12"/>
      <c r="Q32" s="12">
        <v>54</v>
      </c>
      <c r="R32" s="12">
        <v>54</v>
      </c>
      <c r="S32" s="12" t="s">
        <v>324</v>
      </c>
      <c r="T32" s="12" t="s">
        <v>90</v>
      </c>
      <c r="U32" s="12"/>
      <c r="V32" s="12" t="s">
        <v>92</v>
      </c>
      <c r="W32" s="12" t="s">
        <v>325</v>
      </c>
      <c r="X32" s="12" t="s">
        <v>302</v>
      </c>
      <c r="Y32" s="12" t="s">
        <v>302</v>
      </c>
      <c r="Z32" s="12" t="s">
        <v>326</v>
      </c>
      <c r="AA32" s="12" t="s">
        <v>525</v>
      </c>
      <c r="AB32" s="12" t="s">
        <v>304</v>
      </c>
      <c r="AC32" s="12" t="s">
        <v>525</v>
      </c>
      <c r="AD32" s="14" t="s">
        <v>326</v>
      </c>
      <c r="AE32" s="12" t="s">
        <v>327</v>
      </c>
      <c r="AF32" s="12" t="s">
        <v>328</v>
      </c>
      <c r="AG32" s="12"/>
      <c r="AH32" s="12"/>
      <c r="AI32" s="12" t="s">
        <v>329</v>
      </c>
      <c r="AJ32" s="12" t="s">
        <v>191</v>
      </c>
      <c r="AK32" s="12" t="s">
        <v>192</v>
      </c>
      <c r="AL32" s="12" t="s">
        <v>550</v>
      </c>
      <c r="AM32" s="12" t="s">
        <v>575</v>
      </c>
      <c r="AN32" s="12" t="s">
        <v>576</v>
      </c>
      <c r="AO32" s="12" t="s">
        <v>748</v>
      </c>
      <c r="AP32" s="12" t="s">
        <v>749</v>
      </c>
      <c r="AQ32" s="12" t="s">
        <v>749</v>
      </c>
      <c r="AR32" s="12">
        <f t="shared" si="0"/>
        <v>70</v>
      </c>
      <c r="AS32" s="12" t="s">
        <v>646</v>
      </c>
      <c r="AT32" s="12" t="s">
        <v>647</v>
      </c>
      <c r="AU32" s="16" t="s">
        <v>750</v>
      </c>
      <c r="AV32" s="12"/>
      <c r="AW32" s="12"/>
      <c r="AX32" s="12" t="s">
        <v>751</v>
      </c>
      <c r="AY32" s="12"/>
      <c r="AZ32" s="12"/>
      <c r="BA32" s="12"/>
      <c r="BB32" s="12"/>
      <c r="BC32" s="12" t="s">
        <v>741</v>
      </c>
      <c r="BD32" s="12"/>
      <c r="BE32" s="12"/>
      <c r="BF32" s="12"/>
      <c r="BG32" s="12" t="s">
        <v>598</v>
      </c>
      <c r="BH32" s="12" t="s">
        <v>329</v>
      </c>
      <c r="BI32" s="12" t="s">
        <v>613</v>
      </c>
      <c r="BJ32" s="12" t="s">
        <v>590</v>
      </c>
      <c r="BK32" s="12"/>
      <c r="BL32" s="15" t="s">
        <v>891</v>
      </c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0" t="s">
        <v>912</v>
      </c>
      <c r="CG32" s="10"/>
    </row>
    <row r="33" spans="1:85" x14ac:dyDescent="0.3">
      <c r="A33" s="11" t="s">
        <v>85</v>
      </c>
      <c r="B33" s="11" t="s">
        <v>86</v>
      </c>
      <c r="C33" s="12" t="s">
        <v>87</v>
      </c>
      <c r="D33" s="12" t="s">
        <v>483</v>
      </c>
      <c r="E33" s="12" t="s">
        <v>87</v>
      </c>
      <c r="F33" s="12" t="s">
        <v>479</v>
      </c>
      <c r="G33" s="13" t="s">
        <v>88</v>
      </c>
      <c r="H33" s="12"/>
      <c r="I33" s="12"/>
      <c r="J33" s="12"/>
      <c r="K33" s="12"/>
      <c r="L33" s="12"/>
      <c r="M33" s="12"/>
      <c r="N33" s="12"/>
      <c r="O33" s="12"/>
      <c r="P33" s="12"/>
      <c r="Q33" s="12">
        <v>55</v>
      </c>
      <c r="R33" s="12">
        <v>55</v>
      </c>
      <c r="S33" s="12" t="s">
        <v>330</v>
      </c>
      <c r="T33" s="12" t="s">
        <v>90</v>
      </c>
      <c r="U33" s="12"/>
      <c r="V33" s="12" t="s">
        <v>92</v>
      </c>
      <c r="W33" s="12" t="s">
        <v>331</v>
      </c>
      <c r="X33" s="12" t="s">
        <v>302</v>
      </c>
      <c r="Y33" s="12" t="s">
        <v>302</v>
      </c>
      <c r="Z33" s="12" t="s">
        <v>332</v>
      </c>
      <c r="AA33" s="12" t="s">
        <v>526</v>
      </c>
      <c r="AB33" s="12" t="s">
        <v>304</v>
      </c>
      <c r="AC33" s="12" t="s">
        <v>526</v>
      </c>
      <c r="AD33" s="14" t="s">
        <v>332</v>
      </c>
      <c r="AE33" s="12" t="s">
        <v>333</v>
      </c>
      <c r="AF33" s="12" t="s">
        <v>334</v>
      </c>
      <c r="AG33" s="12"/>
      <c r="AH33" s="12"/>
      <c r="AI33" s="12" t="s">
        <v>317</v>
      </c>
      <c r="AJ33" s="12" t="s">
        <v>191</v>
      </c>
      <c r="AK33" s="12" t="s">
        <v>192</v>
      </c>
      <c r="AL33" s="12" t="s">
        <v>550</v>
      </c>
      <c r="AM33" s="12" t="s">
        <v>575</v>
      </c>
      <c r="AN33" s="12" t="s">
        <v>576</v>
      </c>
      <c r="AO33" s="12" t="s">
        <v>752</v>
      </c>
      <c r="AP33" s="12" t="s">
        <v>753</v>
      </c>
      <c r="AQ33" s="12" t="s">
        <v>753</v>
      </c>
      <c r="AR33" s="12">
        <f t="shared" si="0"/>
        <v>70</v>
      </c>
      <c r="AS33" s="12" t="s">
        <v>646</v>
      </c>
      <c r="AT33" s="12" t="s">
        <v>647</v>
      </c>
      <c r="AU33" s="12" t="s">
        <v>754</v>
      </c>
      <c r="AV33" s="12"/>
      <c r="AW33" s="12"/>
      <c r="AX33" s="12" t="s">
        <v>755</v>
      </c>
      <c r="AY33" s="12"/>
      <c r="AZ33" s="12"/>
      <c r="BA33" s="12"/>
      <c r="BB33" s="12" t="s">
        <v>740</v>
      </c>
      <c r="BC33" s="12"/>
      <c r="BD33" s="12"/>
      <c r="BE33" s="12"/>
      <c r="BF33" s="12"/>
      <c r="BG33" s="12" t="s">
        <v>598</v>
      </c>
      <c r="BH33" s="12" t="s">
        <v>735</v>
      </c>
      <c r="BI33" s="12" t="s">
        <v>613</v>
      </c>
      <c r="BJ33" s="12" t="s">
        <v>590</v>
      </c>
      <c r="BK33" s="12"/>
      <c r="BL33" s="15" t="s">
        <v>892</v>
      </c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0" t="s">
        <v>912</v>
      </c>
      <c r="CG33" s="10"/>
    </row>
    <row r="34" spans="1:85" x14ac:dyDescent="0.3">
      <c r="A34" s="11" t="s">
        <v>85</v>
      </c>
      <c r="B34" s="11" t="s">
        <v>86</v>
      </c>
      <c r="C34" s="12" t="s">
        <v>87</v>
      </c>
      <c r="D34" s="12" t="s">
        <v>481</v>
      </c>
      <c r="E34" s="12" t="s">
        <v>87</v>
      </c>
      <c r="F34" s="12" t="s">
        <v>479</v>
      </c>
      <c r="G34" s="13" t="s">
        <v>88</v>
      </c>
      <c r="H34" s="12"/>
      <c r="I34" s="12"/>
      <c r="J34" s="12"/>
      <c r="K34" s="12"/>
      <c r="L34" s="12"/>
      <c r="M34" s="12"/>
      <c r="N34" s="12"/>
      <c r="O34" s="12"/>
      <c r="P34" s="12"/>
      <c r="Q34" s="12">
        <v>56</v>
      </c>
      <c r="R34" s="12">
        <v>56</v>
      </c>
      <c r="S34" s="12" t="s">
        <v>335</v>
      </c>
      <c r="T34" s="12" t="s">
        <v>90</v>
      </c>
      <c r="U34" s="12"/>
      <c r="V34" s="12" t="s">
        <v>92</v>
      </c>
      <c r="W34" s="12" t="s">
        <v>336</v>
      </c>
      <c r="X34" s="12" t="s">
        <v>302</v>
      </c>
      <c r="Y34" s="12" t="s">
        <v>302</v>
      </c>
      <c r="Z34" s="12" t="s">
        <v>337</v>
      </c>
      <c r="AA34" s="12" t="s">
        <v>527</v>
      </c>
      <c r="AB34" s="12" t="s">
        <v>304</v>
      </c>
      <c r="AC34" s="12" t="s">
        <v>527</v>
      </c>
      <c r="AD34" s="14" t="s">
        <v>337</v>
      </c>
      <c r="AE34" s="12" t="s">
        <v>338</v>
      </c>
      <c r="AF34" s="12" t="s">
        <v>339</v>
      </c>
      <c r="AG34" s="12"/>
      <c r="AH34" s="12"/>
      <c r="AI34" s="12" t="s">
        <v>340</v>
      </c>
      <c r="AJ34" s="12" t="s">
        <v>341</v>
      </c>
      <c r="AK34" s="12" t="s">
        <v>342</v>
      </c>
      <c r="AL34" s="12" t="s">
        <v>565</v>
      </c>
      <c r="AM34" s="12"/>
      <c r="AN34" s="12"/>
      <c r="AO34" s="12" t="s">
        <v>756</v>
      </c>
      <c r="AP34" s="12" t="s">
        <v>757</v>
      </c>
      <c r="AQ34" s="12" t="s">
        <v>757</v>
      </c>
      <c r="AR34" s="12">
        <f t="shared" ref="AR34:AR54" si="1">LEN(SUBSTITUTE(AQ34, ", "," "))</f>
        <v>77</v>
      </c>
      <c r="AS34" s="12" t="s">
        <v>758</v>
      </c>
      <c r="AT34" s="12" t="s">
        <v>603</v>
      </c>
      <c r="AU34" s="12" t="s">
        <v>759</v>
      </c>
      <c r="AV34" s="12"/>
      <c r="AW34" s="12"/>
      <c r="AX34" s="12" t="s">
        <v>760</v>
      </c>
      <c r="AY34" s="12"/>
      <c r="AZ34" s="12"/>
      <c r="BA34" s="12"/>
      <c r="BB34" s="12"/>
      <c r="BC34" s="12" t="s">
        <v>761</v>
      </c>
      <c r="BD34" s="12"/>
      <c r="BE34" s="12"/>
      <c r="BF34" s="12"/>
      <c r="BG34" s="12" t="s">
        <v>598</v>
      </c>
      <c r="BH34" s="12" t="s">
        <v>329</v>
      </c>
      <c r="BI34" s="12" t="s">
        <v>613</v>
      </c>
      <c r="BJ34" s="12" t="s">
        <v>590</v>
      </c>
      <c r="BK34" s="12"/>
      <c r="BL34" s="15" t="s">
        <v>893</v>
      </c>
      <c r="BM34" s="12" t="s">
        <v>894</v>
      </c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0" t="s">
        <v>912</v>
      </c>
      <c r="CG34" s="10"/>
    </row>
    <row r="35" spans="1:85" x14ac:dyDescent="0.3">
      <c r="A35" s="11" t="s">
        <v>85</v>
      </c>
      <c r="B35" s="11" t="s">
        <v>86</v>
      </c>
      <c r="C35" s="12" t="s">
        <v>87</v>
      </c>
      <c r="D35" s="12" t="s">
        <v>481</v>
      </c>
      <c r="E35" s="12" t="s">
        <v>87</v>
      </c>
      <c r="F35" s="12" t="s">
        <v>479</v>
      </c>
      <c r="G35" s="13" t="s">
        <v>88</v>
      </c>
      <c r="H35" s="12"/>
      <c r="I35" s="12"/>
      <c r="J35" s="12"/>
      <c r="K35" s="12"/>
      <c r="L35" s="12"/>
      <c r="M35" s="12"/>
      <c r="N35" s="12"/>
      <c r="O35" s="12"/>
      <c r="P35" s="12"/>
      <c r="Q35" s="12">
        <v>57</v>
      </c>
      <c r="R35" s="12">
        <v>57</v>
      </c>
      <c r="S35" s="12" t="s">
        <v>343</v>
      </c>
      <c r="T35" s="12" t="s">
        <v>90</v>
      </c>
      <c r="U35" s="12"/>
      <c r="V35" s="12" t="s">
        <v>92</v>
      </c>
      <c r="W35" s="12" t="s">
        <v>344</v>
      </c>
      <c r="X35" s="12" t="s">
        <v>345</v>
      </c>
      <c r="Y35" s="12" t="s">
        <v>494</v>
      </c>
      <c r="Z35" s="12" t="s">
        <v>346</v>
      </c>
      <c r="AA35" s="12" t="s">
        <v>528</v>
      </c>
      <c r="AB35" s="12" t="s">
        <v>345</v>
      </c>
      <c r="AC35" s="12" t="s">
        <v>528</v>
      </c>
      <c r="AD35" s="14" t="s">
        <v>346</v>
      </c>
      <c r="AE35" s="12" t="s">
        <v>347</v>
      </c>
      <c r="AF35" s="12" t="s">
        <v>348</v>
      </c>
      <c r="AG35" s="12"/>
      <c r="AH35" s="12"/>
      <c r="AI35" s="12" t="s">
        <v>349</v>
      </c>
      <c r="AJ35" s="12"/>
      <c r="AK35" s="12"/>
      <c r="AL35" s="12" t="s">
        <v>553</v>
      </c>
      <c r="AM35" s="12" t="s">
        <v>575</v>
      </c>
      <c r="AN35" s="12" t="s">
        <v>576</v>
      </c>
      <c r="AO35" s="12" t="s">
        <v>762</v>
      </c>
      <c r="AP35" s="12" t="s">
        <v>763</v>
      </c>
      <c r="AQ35" s="12" t="s">
        <v>763</v>
      </c>
      <c r="AR35" s="12">
        <f t="shared" si="1"/>
        <v>82</v>
      </c>
      <c r="AS35" s="12" t="s">
        <v>646</v>
      </c>
      <c r="AT35" s="12" t="s">
        <v>660</v>
      </c>
      <c r="AU35" s="12" t="s">
        <v>764</v>
      </c>
      <c r="AV35" s="12"/>
      <c r="AW35" s="12"/>
      <c r="AX35" s="12" t="s">
        <v>765</v>
      </c>
      <c r="AY35" s="12"/>
      <c r="AZ35" s="12"/>
      <c r="BA35" s="12"/>
      <c r="BB35" s="12"/>
      <c r="BC35" s="12" t="s">
        <v>750</v>
      </c>
      <c r="BD35" s="12" t="s">
        <v>652</v>
      </c>
      <c r="BE35" s="12"/>
      <c r="BF35" s="12"/>
      <c r="BG35" s="12" t="s">
        <v>588</v>
      </c>
      <c r="BH35" s="12" t="s">
        <v>766</v>
      </c>
      <c r="BI35" s="12" t="s">
        <v>613</v>
      </c>
      <c r="BJ35" s="12" t="s">
        <v>590</v>
      </c>
      <c r="BK35" s="12"/>
      <c r="BL35" s="15" t="s">
        <v>895</v>
      </c>
      <c r="BM35" s="12" t="s">
        <v>896</v>
      </c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0" t="s">
        <v>912</v>
      </c>
      <c r="CG35" s="10"/>
    </row>
    <row r="36" spans="1:85" x14ac:dyDescent="0.3">
      <c r="A36" s="11" t="s">
        <v>85</v>
      </c>
      <c r="B36" s="11" t="s">
        <v>86</v>
      </c>
      <c r="C36" s="12" t="s">
        <v>87</v>
      </c>
      <c r="D36" s="12" t="s">
        <v>481</v>
      </c>
      <c r="E36" s="12" t="s">
        <v>87</v>
      </c>
      <c r="F36" s="12" t="s">
        <v>479</v>
      </c>
      <c r="G36" s="13" t="s">
        <v>88</v>
      </c>
      <c r="H36" s="12"/>
      <c r="I36" s="12"/>
      <c r="J36" s="12"/>
      <c r="K36" s="12"/>
      <c r="L36" s="12"/>
      <c r="M36" s="12"/>
      <c r="N36" s="12"/>
      <c r="O36" s="12"/>
      <c r="P36" s="12"/>
      <c r="Q36" s="12">
        <v>58</v>
      </c>
      <c r="R36" s="12">
        <v>58</v>
      </c>
      <c r="S36" s="12" t="s">
        <v>350</v>
      </c>
      <c r="T36" s="12" t="s">
        <v>90</v>
      </c>
      <c r="U36" s="12"/>
      <c r="V36" s="12" t="s">
        <v>92</v>
      </c>
      <c r="W36" s="12" t="s">
        <v>351</v>
      </c>
      <c r="X36" s="12" t="s">
        <v>345</v>
      </c>
      <c r="Y36" s="12" t="s">
        <v>494</v>
      </c>
      <c r="Z36" s="12" t="s">
        <v>352</v>
      </c>
      <c r="AA36" s="12" t="s">
        <v>529</v>
      </c>
      <c r="AB36" s="12" t="s">
        <v>345</v>
      </c>
      <c r="AC36" s="12" t="s">
        <v>529</v>
      </c>
      <c r="AD36" s="14" t="s">
        <v>352</v>
      </c>
      <c r="AE36" s="12" t="s">
        <v>353</v>
      </c>
      <c r="AF36" s="12" t="s">
        <v>354</v>
      </c>
      <c r="AG36" s="12"/>
      <c r="AH36" s="12"/>
      <c r="AI36" s="12" t="s">
        <v>349</v>
      </c>
      <c r="AJ36" s="12" t="s">
        <v>191</v>
      </c>
      <c r="AK36" s="12" t="s">
        <v>192</v>
      </c>
      <c r="AL36" s="12" t="s">
        <v>553</v>
      </c>
      <c r="AM36" s="12" t="s">
        <v>575</v>
      </c>
      <c r="AN36" s="12" t="s">
        <v>576</v>
      </c>
      <c r="AO36" s="12" t="s">
        <v>767</v>
      </c>
      <c r="AP36" s="12" t="s">
        <v>768</v>
      </c>
      <c r="AQ36" s="12" t="s">
        <v>768</v>
      </c>
      <c r="AR36" s="12">
        <f t="shared" si="1"/>
        <v>84</v>
      </c>
      <c r="AS36" s="12" t="s">
        <v>646</v>
      </c>
      <c r="AT36" s="12" t="s">
        <v>647</v>
      </c>
      <c r="AU36" s="12" t="s">
        <v>744</v>
      </c>
      <c r="AV36" s="12"/>
      <c r="AW36" s="12"/>
      <c r="AX36" s="12" t="s">
        <v>769</v>
      </c>
      <c r="AY36" s="12"/>
      <c r="AZ36" s="12"/>
      <c r="BA36" s="12"/>
      <c r="BB36" s="12"/>
      <c r="BC36" s="12" t="s">
        <v>764</v>
      </c>
      <c r="BD36" s="12" t="s">
        <v>652</v>
      </c>
      <c r="BE36" s="12"/>
      <c r="BF36" s="12"/>
      <c r="BG36" s="12" t="s">
        <v>588</v>
      </c>
      <c r="BH36" s="12" t="s">
        <v>349</v>
      </c>
      <c r="BI36" s="12" t="s">
        <v>613</v>
      </c>
      <c r="BJ36" s="12" t="s">
        <v>590</v>
      </c>
      <c r="BK36" s="12"/>
      <c r="BL36" s="15" t="s">
        <v>897</v>
      </c>
      <c r="BM36" s="12" t="s">
        <v>898</v>
      </c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0" t="s">
        <v>912</v>
      </c>
      <c r="CG36" s="10"/>
    </row>
    <row r="37" spans="1:85" x14ac:dyDescent="0.3">
      <c r="A37" s="11" t="s">
        <v>85</v>
      </c>
      <c r="B37" s="11" t="s">
        <v>86</v>
      </c>
      <c r="C37" s="12" t="s">
        <v>87</v>
      </c>
      <c r="D37" s="12" t="s">
        <v>482</v>
      </c>
      <c r="E37" s="12" t="s">
        <v>87</v>
      </c>
      <c r="F37" s="12" t="s">
        <v>479</v>
      </c>
      <c r="G37" s="13" t="s">
        <v>88</v>
      </c>
      <c r="H37" s="12"/>
      <c r="I37" s="12"/>
      <c r="J37" s="12"/>
      <c r="K37" s="12"/>
      <c r="L37" s="12"/>
      <c r="M37" s="12"/>
      <c r="N37" s="12"/>
      <c r="O37" s="12"/>
      <c r="P37" s="12"/>
      <c r="Q37" s="12">
        <v>59</v>
      </c>
      <c r="R37" s="12">
        <v>59</v>
      </c>
      <c r="S37" s="12" t="s">
        <v>355</v>
      </c>
      <c r="T37" s="12" t="s">
        <v>90</v>
      </c>
      <c r="U37" s="12"/>
      <c r="V37" s="12" t="s">
        <v>92</v>
      </c>
      <c r="W37" s="12" t="s">
        <v>356</v>
      </c>
      <c r="X37" s="12" t="s">
        <v>345</v>
      </c>
      <c r="Y37" s="12" t="s">
        <v>494</v>
      </c>
      <c r="Z37" s="12" t="s">
        <v>357</v>
      </c>
      <c r="AA37" s="12" t="s">
        <v>357</v>
      </c>
      <c r="AB37" s="12" t="s">
        <v>345</v>
      </c>
      <c r="AC37" s="12" t="s">
        <v>357</v>
      </c>
      <c r="AD37" s="14" t="s">
        <v>357</v>
      </c>
      <c r="AE37" s="12" t="s">
        <v>358</v>
      </c>
      <c r="AF37" s="12" t="s">
        <v>359</v>
      </c>
      <c r="AG37" s="12"/>
      <c r="AH37" s="12"/>
      <c r="AI37" s="12" t="s">
        <v>360</v>
      </c>
      <c r="AJ37" s="12" t="s">
        <v>361</v>
      </c>
      <c r="AK37" s="12" t="s">
        <v>362</v>
      </c>
      <c r="AL37" s="12" t="s">
        <v>566</v>
      </c>
      <c r="AM37" s="12" t="s">
        <v>575</v>
      </c>
      <c r="AN37" s="12" t="s">
        <v>576</v>
      </c>
      <c r="AO37" s="12" t="s">
        <v>359</v>
      </c>
      <c r="AP37" s="12" t="s">
        <v>770</v>
      </c>
      <c r="AQ37" s="12" t="s">
        <v>770</v>
      </c>
      <c r="AR37" s="12">
        <f t="shared" si="1"/>
        <v>55</v>
      </c>
      <c r="AS37" s="12" t="s">
        <v>771</v>
      </c>
      <c r="AT37" s="12" t="s">
        <v>660</v>
      </c>
      <c r="AU37" s="12"/>
      <c r="AV37" s="12" t="s">
        <v>772</v>
      </c>
      <c r="AW37" s="12"/>
      <c r="AX37" s="12" t="s">
        <v>773</v>
      </c>
      <c r="AY37" s="12" t="s">
        <v>774</v>
      </c>
      <c r="AZ37" s="12"/>
      <c r="BA37" s="12"/>
      <c r="BB37" s="12"/>
      <c r="BC37" s="12"/>
      <c r="BD37" s="12"/>
      <c r="BE37" s="12"/>
      <c r="BF37" s="12"/>
      <c r="BG37" s="12" t="s">
        <v>588</v>
      </c>
      <c r="BH37" s="12" t="s">
        <v>775</v>
      </c>
      <c r="BI37" s="12"/>
      <c r="BJ37" s="12"/>
      <c r="BK37" s="12"/>
      <c r="BL37" s="12" t="s">
        <v>860</v>
      </c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0" t="s">
        <v>912</v>
      </c>
      <c r="CG37" s="10"/>
    </row>
    <row r="38" spans="1:85" x14ac:dyDescent="0.3">
      <c r="A38" s="11" t="s">
        <v>85</v>
      </c>
      <c r="B38" s="11" t="s">
        <v>86</v>
      </c>
      <c r="C38" s="12" t="s">
        <v>87</v>
      </c>
      <c r="D38" s="12" t="s">
        <v>481</v>
      </c>
      <c r="E38" s="12" t="s">
        <v>87</v>
      </c>
      <c r="F38" s="12" t="s">
        <v>479</v>
      </c>
      <c r="G38" s="13" t="s">
        <v>88</v>
      </c>
      <c r="H38" s="12"/>
      <c r="I38" s="12"/>
      <c r="J38" s="12"/>
      <c r="K38" s="12"/>
      <c r="L38" s="12"/>
      <c r="M38" s="12"/>
      <c r="N38" s="12"/>
      <c r="O38" s="12"/>
      <c r="P38" s="12"/>
      <c r="Q38" s="12">
        <v>60</v>
      </c>
      <c r="R38" s="12">
        <v>60</v>
      </c>
      <c r="S38" s="12" t="s">
        <v>363</v>
      </c>
      <c r="T38" s="12" t="s">
        <v>90</v>
      </c>
      <c r="U38" s="12"/>
      <c r="V38" s="12" t="s">
        <v>92</v>
      </c>
      <c r="W38" s="12" t="s">
        <v>364</v>
      </c>
      <c r="X38" s="12" t="s">
        <v>345</v>
      </c>
      <c r="Y38" s="12" t="s">
        <v>494</v>
      </c>
      <c r="Z38" s="12" t="s">
        <v>365</v>
      </c>
      <c r="AA38" s="12" t="s">
        <v>530</v>
      </c>
      <c r="AB38" s="12" t="s">
        <v>345</v>
      </c>
      <c r="AC38" s="12" t="s">
        <v>530</v>
      </c>
      <c r="AD38" s="14" t="s">
        <v>365</v>
      </c>
      <c r="AE38" s="12" t="s">
        <v>366</v>
      </c>
      <c r="AF38" s="12" t="s">
        <v>367</v>
      </c>
      <c r="AG38" s="12"/>
      <c r="AH38" s="12"/>
      <c r="AI38" s="12" t="s">
        <v>349</v>
      </c>
      <c r="AJ38" s="12" t="s">
        <v>207</v>
      </c>
      <c r="AK38" s="12" t="s">
        <v>208</v>
      </c>
      <c r="AL38" s="12" t="s">
        <v>553</v>
      </c>
      <c r="AM38" s="12" t="s">
        <v>575</v>
      </c>
      <c r="AN38" s="12" t="s">
        <v>576</v>
      </c>
      <c r="AO38" s="12" t="s">
        <v>776</v>
      </c>
      <c r="AP38" s="12" t="s">
        <v>777</v>
      </c>
      <c r="AQ38" s="12" t="s">
        <v>777</v>
      </c>
      <c r="AR38" s="12">
        <f t="shared" si="1"/>
        <v>93</v>
      </c>
      <c r="AS38" s="12" t="s">
        <v>646</v>
      </c>
      <c r="AT38" s="12" t="s">
        <v>647</v>
      </c>
      <c r="AU38" s="12" t="s">
        <v>744</v>
      </c>
      <c r="AV38" s="12"/>
      <c r="AW38" s="12"/>
      <c r="AX38" s="12" t="s">
        <v>778</v>
      </c>
      <c r="AY38" s="12"/>
      <c r="AZ38" s="12"/>
      <c r="BA38" s="12"/>
      <c r="BB38" s="12"/>
      <c r="BC38" s="12" t="s">
        <v>779</v>
      </c>
      <c r="BD38" s="12" t="s">
        <v>652</v>
      </c>
      <c r="BE38" s="12"/>
      <c r="BF38" s="12"/>
      <c r="BG38" s="12" t="s">
        <v>588</v>
      </c>
      <c r="BH38" s="12" t="s">
        <v>349</v>
      </c>
      <c r="BI38" s="12" t="s">
        <v>613</v>
      </c>
      <c r="BJ38" s="12" t="s">
        <v>590</v>
      </c>
      <c r="BK38" s="12"/>
      <c r="BL38" s="15" t="s">
        <v>897</v>
      </c>
      <c r="BM38" s="12" t="s">
        <v>898</v>
      </c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0" t="s">
        <v>912</v>
      </c>
      <c r="CG38" s="10"/>
    </row>
    <row r="39" spans="1:85" x14ac:dyDescent="0.3">
      <c r="A39" s="11" t="s">
        <v>85</v>
      </c>
      <c r="B39" s="11" t="s">
        <v>86</v>
      </c>
      <c r="C39" s="12" t="s">
        <v>87</v>
      </c>
      <c r="D39" s="12" t="s">
        <v>481</v>
      </c>
      <c r="E39" s="12" t="s">
        <v>87</v>
      </c>
      <c r="F39" s="12" t="s">
        <v>479</v>
      </c>
      <c r="G39" s="13" t="s">
        <v>88</v>
      </c>
      <c r="H39" s="12"/>
      <c r="I39" s="12"/>
      <c r="J39" s="12"/>
      <c r="K39" s="12"/>
      <c r="L39" s="12"/>
      <c r="M39" s="12"/>
      <c r="N39" s="12"/>
      <c r="O39" s="12"/>
      <c r="P39" s="12"/>
      <c r="Q39" s="12">
        <v>61</v>
      </c>
      <c r="R39" s="12">
        <v>61</v>
      </c>
      <c r="S39" s="12" t="s">
        <v>368</v>
      </c>
      <c r="T39" s="12" t="s">
        <v>90</v>
      </c>
      <c r="U39" s="12"/>
      <c r="V39" s="12" t="s">
        <v>92</v>
      </c>
      <c r="W39" s="12" t="s">
        <v>369</v>
      </c>
      <c r="X39" s="12" t="s">
        <v>345</v>
      </c>
      <c r="Y39" s="12" t="s">
        <v>494</v>
      </c>
      <c r="Z39" s="12" t="s">
        <v>370</v>
      </c>
      <c r="AA39" s="12" t="s">
        <v>531</v>
      </c>
      <c r="AB39" s="12" t="s">
        <v>345</v>
      </c>
      <c r="AC39" s="12" t="s">
        <v>531</v>
      </c>
      <c r="AD39" s="14" t="s">
        <v>370</v>
      </c>
      <c r="AE39" s="12" t="s">
        <v>371</v>
      </c>
      <c r="AF39" s="12" t="s">
        <v>372</v>
      </c>
      <c r="AG39" s="12"/>
      <c r="AH39" s="12"/>
      <c r="AI39" s="12" t="s">
        <v>349</v>
      </c>
      <c r="AJ39" s="12"/>
      <c r="AK39" s="12"/>
      <c r="AL39" s="12" t="s">
        <v>553</v>
      </c>
      <c r="AM39" s="12" t="s">
        <v>575</v>
      </c>
      <c r="AN39" s="12" t="s">
        <v>576</v>
      </c>
      <c r="AO39" s="12" t="s">
        <v>780</v>
      </c>
      <c r="AP39" s="12" t="s">
        <v>781</v>
      </c>
      <c r="AQ39" s="12" t="s">
        <v>781</v>
      </c>
      <c r="AR39" s="12">
        <f t="shared" si="1"/>
        <v>82</v>
      </c>
      <c r="AS39" s="12" t="s">
        <v>646</v>
      </c>
      <c r="AT39" s="12" t="s">
        <v>660</v>
      </c>
      <c r="AU39" s="12" t="s">
        <v>764</v>
      </c>
      <c r="AV39" s="12"/>
      <c r="AW39" s="12"/>
      <c r="AX39" s="12" t="s">
        <v>782</v>
      </c>
      <c r="AY39" s="12"/>
      <c r="AZ39" s="12"/>
      <c r="BA39" s="12"/>
      <c r="BB39" s="12"/>
      <c r="BC39" s="12" t="s">
        <v>750</v>
      </c>
      <c r="BD39" s="12" t="s">
        <v>652</v>
      </c>
      <c r="BE39" s="12"/>
      <c r="BF39" s="12"/>
      <c r="BG39" s="12" t="s">
        <v>588</v>
      </c>
      <c r="BH39" s="12" t="s">
        <v>766</v>
      </c>
      <c r="BI39" s="12" t="s">
        <v>613</v>
      </c>
      <c r="BJ39" s="12" t="s">
        <v>590</v>
      </c>
      <c r="BK39" s="12"/>
      <c r="BL39" s="15" t="s">
        <v>895</v>
      </c>
      <c r="BM39" s="12" t="s">
        <v>896</v>
      </c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0" t="s">
        <v>912</v>
      </c>
      <c r="CG39" s="10"/>
    </row>
    <row r="40" spans="1:85" x14ac:dyDescent="0.3">
      <c r="A40" s="11" t="s">
        <v>85</v>
      </c>
      <c r="B40" s="11" t="s">
        <v>86</v>
      </c>
      <c r="C40" s="12" t="s">
        <v>87</v>
      </c>
      <c r="D40" s="12" t="s">
        <v>481</v>
      </c>
      <c r="E40" s="12" t="s">
        <v>87</v>
      </c>
      <c r="F40" s="12" t="s">
        <v>479</v>
      </c>
      <c r="G40" s="13" t="s">
        <v>88</v>
      </c>
      <c r="H40" s="12"/>
      <c r="I40" s="12"/>
      <c r="J40" s="12"/>
      <c r="K40" s="12"/>
      <c r="L40" s="12"/>
      <c r="M40" s="12"/>
      <c r="N40" s="12"/>
      <c r="O40" s="12"/>
      <c r="P40" s="12"/>
      <c r="Q40" s="12">
        <v>62</v>
      </c>
      <c r="R40" s="12">
        <v>62</v>
      </c>
      <c r="S40" s="12" t="s">
        <v>373</v>
      </c>
      <c r="T40" s="12" t="s">
        <v>90</v>
      </c>
      <c r="U40" s="12"/>
      <c r="V40" s="12" t="s">
        <v>92</v>
      </c>
      <c r="W40" s="12" t="s">
        <v>374</v>
      </c>
      <c r="X40" s="12" t="s">
        <v>345</v>
      </c>
      <c r="Y40" s="12" t="s">
        <v>494</v>
      </c>
      <c r="Z40" s="12" t="s">
        <v>375</v>
      </c>
      <c r="AA40" s="12" t="s">
        <v>532</v>
      </c>
      <c r="AB40" s="12" t="s">
        <v>345</v>
      </c>
      <c r="AC40" s="12" t="s">
        <v>532</v>
      </c>
      <c r="AD40" s="14" t="s">
        <v>375</v>
      </c>
      <c r="AE40" s="12" t="s">
        <v>376</v>
      </c>
      <c r="AF40" s="12" t="s">
        <v>377</v>
      </c>
      <c r="AG40" s="12"/>
      <c r="AH40" s="12"/>
      <c r="AI40" s="12" t="s">
        <v>349</v>
      </c>
      <c r="AJ40" s="12" t="s">
        <v>207</v>
      </c>
      <c r="AK40" s="12" t="s">
        <v>208</v>
      </c>
      <c r="AL40" s="12" t="s">
        <v>553</v>
      </c>
      <c r="AM40" s="12" t="s">
        <v>575</v>
      </c>
      <c r="AN40" s="12" t="s">
        <v>576</v>
      </c>
      <c r="AO40" s="12" t="s">
        <v>783</v>
      </c>
      <c r="AP40" s="12" t="s">
        <v>784</v>
      </c>
      <c r="AQ40" s="12" t="s">
        <v>784</v>
      </c>
      <c r="AR40" s="12">
        <f t="shared" si="1"/>
        <v>93</v>
      </c>
      <c r="AS40" s="12" t="s">
        <v>646</v>
      </c>
      <c r="AT40" s="12" t="s">
        <v>647</v>
      </c>
      <c r="AU40" s="12" t="s">
        <v>744</v>
      </c>
      <c r="AV40" s="12"/>
      <c r="AW40" s="12"/>
      <c r="AX40" s="12" t="s">
        <v>785</v>
      </c>
      <c r="AY40" s="12"/>
      <c r="AZ40" s="12"/>
      <c r="BA40" s="12"/>
      <c r="BB40" s="12"/>
      <c r="BC40" s="12" t="s">
        <v>779</v>
      </c>
      <c r="BD40" s="12" t="s">
        <v>652</v>
      </c>
      <c r="BE40" s="12"/>
      <c r="BF40" s="12"/>
      <c r="BG40" s="12" t="s">
        <v>588</v>
      </c>
      <c r="BH40" s="12" t="s">
        <v>349</v>
      </c>
      <c r="BI40" s="12" t="s">
        <v>613</v>
      </c>
      <c r="BJ40" s="12" t="s">
        <v>590</v>
      </c>
      <c r="BK40" s="12"/>
      <c r="BL40" s="15" t="s">
        <v>897</v>
      </c>
      <c r="BM40" s="12" t="s">
        <v>898</v>
      </c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0" t="s">
        <v>912</v>
      </c>
      <c r="CG40" s="10"/>
    </row>
    <row r="41" spans="1:85" x14ac:dyDescent="0.3">
      <c r="A41" s="11" t="s">
        <v>85</v>
      </c>
      <c r="B41" s="11" t="s">
        <v>86</v>
      </c>
      <c r="C41" s="12" t="s">
        <v>87</v>
      </c>
      <c r="D41" s="12" t="s">
        <v>481</v>
      </c>
      <c r="E41" s="12" t="s">
        <v>87</v>
      </c>
      <c r="F41" s="12" t="s">
        <v>479</v>
      </c>
      <c r="G41" s="13" t="s">
        <v>88</v>
      </c>
      <c r="H41" s="12"/>
      <c r="I41" s="12"/>
      <c r="J41" s="12"/>
      <c r="K41" s="12"/>
      <c r="L41" s="12"/>
      <c r="M41" s="12"/>
      <c r="N41" s="12"/>
      <c r="O41" s="12"/>
      <c r="P41" s="12"/>
      <c r="Q41" s="12">
        <v>63</v>
      </c>
      <c r="R41" s="12">
        <v>63</v>
      </c>
      <c r="S41" s="12" t="s">
        <v>378</v>
      </c>
      <c r="T41" s="12" t="s">
        <v>90</v>
      </c>
      <c r="U41" s="12"/>
      <c r="V41" s="12" t="s">
        <v>92</v>
      </c>
      <c r="W41" s="12" t="s">
        <v>379</v>
      </c>
      <c r="X41" s="12" t="s">
        <v>345</v>
      </c>
      <c r="Y41" s="12" t="s">
        <v>494</v>
      </c>
      <c r="Z41" s="12" t="s">
        <v>380</v>
      </c>
      <c r="AA41" s="12" t="s">
        <v>533</v>
      </c>
      <c r="AB41" s="12" t="s">
        <v>345</v>
      </c>
      <c r="AC41" s="12" t="s">
        <v>533</v>
      </c>
      <c r="AD41" s="14" t="s">
        <v>380</v>
      </c>
      <c r="AE41" s="12" t="s">
        <v>381</v>
      </c>
      <c r="AF41" s="12" t="s">
        <v>382</v>
      </c>
      <c r="AG41" s="12"/>
      <c r="AH41" s="12"/>
      <c r="AI41" s="12" t="s">
        <v>349</v>
      </c>
      <c r="AJ41" s="12" t="s">
        <v>207</v>
      </c>
      <c r="AK41" s="12" t="s">
        <v>208</v>
      </c>
      <c r="AL41" s="12" t="s">
        <v>553</v>
      </c>
      <c r="AM41" s="12" t="s">
        <v>575</v>
      </c>
      <c r="AN41" s="12" t="s">
        <v>576</v>
      </c>
      <c r="AO41" s="12" t="s">
        <v>786</v>
      </c>
      <c r="AP41" s="12" t="s">
        <v>787</v>
      </c>
      <c r="AQ41" s="12" t="s">
        <v>787</v>
      </c>
      <c r="AR41" s="12">
        <f t="shared" si="1"/>
        <v>93</v>
      </c>
      <c r="AS41" s="12" t="s">
        <v>646</v>
      </c>
      <c r="AT41" s="12" t="s">
        <v>647</v>
      </c>
      <c r="AU41" s="12" t="s">
        <v>744</v>
      </c>
      <c r="AV41" s="12"/>
      <c r="AW41" s="12"/>
      <c r="AX41" s="12" t="s">
        <v>788</v>
      </c>
      <c r="AY41" s="12"/>
      <c r="AZ41" s="12"/>
      <c r="BA41" s="12"/>
      <c r="BB41" s="12"/>
      <c r="BC41" s="12" t="s">
        <v>779</v>
      </c>
      <c r="BD41" s="12" t="s">
        <v>652</v>
      </c>
      <c r="BE41" s="12"/>
      <c r="BF41" s="12"/>
      <c r="BG41" s="12" t="s">
        <v>588</v>
      </c>
      <c r="BH41" s="12" t="s">
        <v>349</v>
      </c>
      <c r="BI41" s="12" t="s">
        <v>613</v>
      </c>
      <c r="BJ41" s="12" t="s">
        <v>590</v>
      </c>
      <c r="BK41" s="12"/>
      <c r="BL41" s="15" t="s">
        <v>897</v>
      </c>
      <c r="BM41" s="12" t="s">
        <v>898</v>
      </c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0" t="s">
        <v>912</v>
      </c>
      <c r="CG41" s="10"/>
    </row>
    <row r="42" spans="1:85" x14ac:dyDescent="0.3">
      <c r="A42" s="11" t="s">
        <v>85</v>
      </c>
      <c r="B42" s="11" t="s">
        <v>86</v>
      </c>
      <c r="C42" s="12" t="s">
        <v>87</v>
      </c>
      <c r="D42" s="12" t="s">
        <v>481</v>
      </c>
      <c r="E42" s="12" t="s">
        <v>87</v>
      </c>
      <c r="F42" s="12" t="s">
        <v>479</v>
      </c>
      <c r="G42" s="13" t="s">
        <v>88</v>
      </c>
      <c r="H42" s="12"/>
      <c r="I42" s="12"/>
      <c r="J42" s="12"/>
      <c r="K42" s="12"/>
      <c r="L42" s="12"/>
      <c r="M42" s="12"/>
      <c r="N42" s="12"/>
      <c r="O42" s="12"/>
      <c r="P42" s="12"/>
      <c r="Q42" s="12">
        <v>64</v>
      </c>
      <c r="R42" s="12">
        <v>64</v>
      </c>
      <c r="S42" s="12" t="s">
        <v>383</v>
      </c>
      <c r="T42" s="12" t="s">
        <v>90</v>
      </c>
      <c r="U42" s="12"/>
      <c r="V42" s="12" t="s">
        <v>92</v>
      </c>
      <c r="W42" s="12" t="s">
        <v>384</v>
      </c>
      <c r="X42" s="12" t="s">
        <v>345</v>
      </c>
      <c r="Y42" s="12" t="s">
        <v>494</v>
      </c>
      <c r="Z42" s="12" t="s">
        <v>385</v>
      </c>
      <c r="AA42" s="12" t="s">
        <v>534</v>
      </c>
      <c r="AB42" s="12" t="s">
        <v>345</v>
      </c>
      <c r="AC42" s="12" t="s">
        <v>534</v>
      </c>
      <c r="AD42" s="14" t="s">
        <v>385</v>
      </c>
      <c r="AE42" s="12" t="s">
        <v>386</v>
      </c>
      <c r="AF42" s="12" t="s">
        <v>387</v>
      </c>
      <c r="AG42" s="12"/>
      <c r="AH42" s="12"/>
      <c r="AI42" s="12" t="s">
        <v>349</v>
      </c>
      <c r="AJ42" s="12"/>
      <c r="AK42" s="12"/>
      <c r="AL42" s="12" t="s">
        <v>567</v>
      </c>
      <c r="AM42" s="12" t="s">
        <v>575</v>
      </c>
      <c r="AN42" s="12" t="s">
        <v>576</v>
      </c>
      <c r="AO42" s="12" t="s">
        <v>789</v>
      </c>
      <c r="AP42" s="12" t="s">
        <v>790</v>
      </c>
      <c r="AQ42" s="12" t="s">
        <v>790</v>
      </c>
      <c r="AR42" s="12">
        <f t="shared" si="1"/>
        <v>104</v>
      </c>
      <c r="AS42" s="12" t="s">
        <v>791</v>
      </c>
      <c r="AT42" s="12" t="s">
        <v>792</v>
      </c>
      <c r="AU42" s="12" t="s">
        <v>793</v>
      </c>
      <c r="AV42" s="12" t="s">
        <v>794</v>
      </c>
      <c r="AW42" s="12"/>
      <c r="AX42" s="12" t="s">
        <v>795</v>
      </c>
      <c r="AY42" s="12"/>
      <c r="AZ42" s="12"/>
      <c r="BA42" s="12"/>
      <c r="BB42" s="12" t="s">
        <v>796</v>
      </c>
      <c r="BC42" s="12"/>
      <c r="BD42" s="12" t="s">
        <v>652</v>
      </c>
      <c r="BE42" s="12"/>
      <c r="BF42" s="12"/>
      <c r="BG42" s="12" t="s">
        <v>588</v>
      </c>
      <c r="BH42" s="12" t="s">
        <v>766</v>
      </c>
      <c r="BI42" s="12" t="s">
        <v>613</v>
      </c>
      <c r="BJ42" s="12" t="s">
        <v>590</v>
      </c>
      <c r="BK42" s="12"/>
      <c r="BL42" s="15" t="s">
        <v>895</v>
      </c>
      <c r="BM42" s="12" t="s">
        <v>896</v>
      </c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0" t="s">
        <v>912</v>
      </c>
      <c r="CG42" s="10"/>
    </row>
    <row r="43" spans="1:85" x14ac:dyDescent="0.3">
      <c r="A43" s="11" t="s">
        <v>85</v>
      </c>
      <c r="B43" s="11" t="s">
        <v>86</v>
      </c>
      <c r="C43" s="12" t="s">
        <v>87</v>
      </c>
      <c r="D43" s="12" t="s">
        <v>481</v>
      </c>
      <c r="E43" s="12" t="s">
        <v>87</v>
      </c>
      <c r="F43" s="12" t="s">
        <v>479</v>
      </c>
      <c r="G43" s="13" t="s">
        <v>88</v>
      </c>
      <c r="H43" s="12"/>
      <c r="I43" s="12"/>
      <c r="J43" s="12"/>
      <c r="K43" s="12"/>
      <c r="L43" s="12"/>
      <c r="M43" s="12"/>
      <c r="N43" s="12"/>
      <c r="O43" s="12"/>
      <c r="P43" s="12"/>
      <c r="Q43" s="12">
        <v>65</v>
      </c>
      <c r="R43" s="12">
        <v>65</v>
      </c>
      <c r="S43" s="12" t="s">
        <v>388</v>
      </c>
      <c r="T43" s="12" t="s">
        <v>90</v>
      </c>
      <c r="U43" s="12"/>
      <c r="V43" s="12" t="s">
        <v>92</v>
      </c>
      <c r="W43" s="12" t="s">
        <v>389</v>
      </c>
      <c r="X43" s="12" t="s">
        <v>345</v>
      </c>
      <c r="Y43" s="12" t="s">
        <v>494</v>
      </c>
      <c r="Z43" s="12" t="s">
        <v>390</v>
      </c>
      <c r="AA43" s="12" t="s">
        <v>535</v>
      </c>
      <c r="AB43" s="12" t="s">
        <v>345</v>
      </c>
      <c r="AC43" s="12" t="s">
        <v>535</v>
      </c>
      <c r="AD43" s="14" t="s">
        <v>390</v>
      </c>
      <c r="AE43" s="12" t="s">
        <v>391</v>
      </c>
      <c r="AF43" s="12" t="s">
        <v>392</v>
      </c>
      <c r="AG43" s="12"/>
      <c r="AH43" s="12"/>
      <c r="AI43" s="12" t="s">
        <v>349</v>
      </c>
      <c r="AJ43" s="12"/>
      <c r="AK43" s="12"/>
      <c r="AL43" s="12" t="s">
        <v>553</v>
      </c>
      <c r="AM43" s="12" t="s">
        <v>575</v>
      </c>
      <c r="AN43" s="12" t="s">
        <v>576</v>
      </c>
      <c r="AO43" s="12" t="s">
        <v>797</v>
      </c>
      <c r="AP43" s="12" t="s">
        <v>798</v>
      </c>
      <c r="AQ43" s="12" t="s">
        <v>798</v>
      </c>
      <c r="AR43" s="12">
        <f t="shared" si="1"/>
        <v>82</v>
      </c>
      <c r="AS43" s="12" t="s">
        <v>646</v>
      </c>
      <c r="AT43" s="12" t="s">
        <v>660</v>
      </c>
      <c r="AU43" s="12" t="s">
        <v>764</v>
      </c>
      <c r="AV43" s="12"/>
      <c r="AW43" s="12"/>
      <c r="AX43" s="12" t="s">
        <v>799</v>
      </c>
      <c r="AY43" s="12"/>
      <c r="AZ43" s="12"/>
      <c r="BA43" s="12"/>
      <c r="BB43" s="12"/>
      <c r="BC43" s="12" t="s">
        <v>750</v>
      </c>
      <c r="BD43" s="12" t="s">
        <v>652</v>
      </c>
      <c r="BE43" s="12"/>
      <c r="BF43" s="12"/>
      <c r="BG43" s="12" t="s">
        <v>588</v>
      </c>
      <c r="BH43" s="12" t="s">
        <v>766</v>
      </c>
      <c r="BI43" s="12" t="s">
        <v>613</v>
      </c>
      <c r="BJ43" s="12" t="s">
        <v>590</v>
      </c>
      <c r="BK43" s="12"/>
      <c r="BL43" s="15" t="s">
        <v>895</v>
      </c>
      <c r="BM43" s="12" t="s">
        <v>896</v>
      </c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0" t="s">
        <v>912</v>
      </c>
      <c r="CG43" s="10"/>
    </row>
    <row r="44" spans="1:85" x14ac:dyDescent="0.3">
      <c r="A44" s="11" t="s">
        <v>85</v>
      </c>
      <c r="B44" s="11" t="s">
        <v>86</v>
      </c>
      <c r="C44" s="12" t="s">
        <v>87</v>
      </c>
      <c r="D44" s="12" t="s">
        <v>481</v>
      </c>
      <c r="E44" s="12" t="s">
        <v>87</v>
      </c>
      <c r="F44" s="12" t="s">
        <v>479</v>
      </c>
      <c r="G44" s="13" t="s">
        <v>88</v>
      </c>
      <c r="H44" s="12"/>
      <c r="I44" s="12"/>
      <c r="J44" s="12"/>
      <c r="K44" s="12"/>
      <c r="L44" s="12"/>
      <c r="M44" s="12"/>
      <c r="N44" s="12"/>
      <c r="O44" s="12"/>
      <c r="P44" s="12"/>
      <c r="Q44" s="12">
        <v>66</v>
      </c>
      <c r="R44" s="12">
        <v>66</v>
      </c>
      <c r="S44" s="12" t="s">
        <v>393</v>
      </c>
      <c r="T44" s="12" t="s">
        <v>90</v>
      </c>
      <c r="U44" s="12"/>
      <c r="V44" s="12" t="s">
        <v>92</v>
      </c>
      <c r="W44" s="12" t="s">
        <v>394</v>
      </c>
      <c r="X44" s="12" t="s">
        <v>345</v>
      </c>
      <c r="Y44" s="12" t="s">
        <v>494</v>
      </c>
      <c r="Z44" s="12" t="s">
        <v>395</v>
      </c>
      <c r="AA44" s="12" t="s">
        <v>536</v>
      </c>
      <c r="AB44" s="12" t="s">
        <v>345</v>
      </c>
      <c r="AC44" s="12" t="s">
        <v>536</v>
      </c>
      <c r="AD44" s="14" t="s">
        <v>395</v>
      </c>
      <c r="AE44" s="12" t="s">
        <v>396</v>
      </c>
      <c r="AF44" s="12" t="s">
        <v>397</v>
      </c>
      <c r="AG44" s="12"/>
      <c r="AH44" s="12"/>
      <c r="AI44" s="12" t="s">
        <v>349</v>
      </c>
      <c r="AJ44" s="12"/>
      <c r="AK44" s="12"/>
      <c r="AL44" s="12" t="s">
        <v>553</v>
      </c>
      <c r="AM44" s="12" t="s">
        <v>575</v>
      </c>
      <c r="AN44" s="12" t="s">
        <v>576</v>
      </c>
      <c r="AO44" s="12" t="s">
        <v>800</v>
      </c>
      <c r="AP44" s="12" t="s">
        <v>801</v>
      </c>
      <c r="AQ44" s="12" t="s">
        <v>801</v>
      </c>
      <c r="AR44" s="12">
        <f t="shared" si="1"/>
        <v>82</v>
      </c>
      <c r="AS44" s="12" t="s">
        <v>646</v>
      </c>
      <c r="AT44" s="12" t="s">
        <v>660</v>
      </c>
      <c r="AU44" s="12" t="s">
        <v>764</v>
      </c>
      <c r="AV44" s="12"/>
      <c r="AW44" s="12"/>
      <c r="AX44" s="12" t="s">
        <v>802</v>
      </c>
      <c r="AY44" s="12"/>
      <c r="AZ44" s="12"/>
      <c r="BA44" s="12"/>
      <c r="BB44" s="12"/>
      <c r="BC44" s="12" t="s">
        <v>750</v>
      </c>
      <c r="BD44" s="12" t="s">
        <v>652</v>
      </c>
      <c r="BE44" s="12"/>
      <c r="BF44" s="12"/>
      <c r="BG44" s="12" t="s">
        <v>588</v>
      </c>
      <c r="BH44" s="12" t="s">
        <v>766</v>
      </c>
      <c r="BI44" s="12" t="s">
        <v>613</v>
      </c>
      <c r="BJ44" s="12" t="s">
        <v>590</v>
      </c>
      <c r="BK44" s="12"/>
      <c r="BL44" s="15" t="s">
        <v>895</v>
      </c>
      <c r="BM44" s="12" t="s">
        <v>896</v>
      </c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0" t="s">
        <v>912</v>
      </c>
      <c r="CG44" s="10"/>
    </row>
    <row r="45" spans="1:85" x14ac:dyDescent="0.3">
      <c r="A45" s="11" t="s">
        <v>85</v>
      </c>
      <c r="B45" s="11" t="s">
        <v>86</v>
      </c>
      <c r="C45" s="12" t="s">
        <v>87</v>
      </c>
      <c r="D45" s="12" t="s">
        <v>481</v>
      </c>
      <c r="E45" s="12" t="s">
        <v>87</v>
      </c>
      <c r="F45" s="12" t="s">
        <v>479</v>
      </c>
      <c r="G45" s="13" t="s">
        <v>88</v>
      </c>
      <c r="H45" s="12"/>
      <c r="I45" s="12"/>
      <c r="J45" s="12"/>
      <c r="K45" s="12"/>
      <c r="L45" s="12"/>
      <c r="M45" s="12"/>
      <c r="N45" s="12"/>
      <c r="O45" s="12"/>
      <c r="P45" s="12"/>
      <c r="Q45" s="12">
        <v>67</v>
      </c>
      <c r="R45" s="12">
        <v>67</v>
      </c>
      <c r="S45" s="12" t="s">
        <v>398</v>
      </c>
      <c r="T45" s="12"/>
      <c r="U45" s="12"/>
      <c r="V45" s="12" t="s">
        <v>92</v>
      </c>
      <c r="W45" s="12"/>
      <c r="X45" s="12" t="s">
        <v>399</v>
      </c>
      <c r="Y45" s="12" t="s">
        <v>495</v>
      </c>
      <c r="Z45" s="12" t="s">
        <v>400</v>
      </c>
      <c r="AA45" s="12" t="s">
        <v>537</v>
      </c>
      <c r="AB45" s="12" t="s">
        <v>401</v>
      </c>
      <c r="AC45" s="12" t="s">
        <v>537</v>
      </c>
      <c r="AD45" s="14" t="s">
        <v>400</v>
      </c>
      <c r="AE45" s="12" t="s">
        <v>402</v>
      </c>
      <c r="AF45" s="12" t="s">
        <v>403</v>
      </c>
      <c r="AG45" s="12"/>
      <c r="AH45" s="12"/>
      <c r="AI45" s="12"/>
      <c r="AJ45" s="12"/>
      <c r="AK45" s="12"/>
      <c r="AL45" s="12" t="s">
        <v>568</v>
      </c>
      <c r="AM45" s="12" t="s">
        <v>575</v>
      </c>
      <c r="AN45" s="12" t="s">
        <v>576</v>
      </c>
      <c r="AO45" s="12" t="s">
        <v>803</v>
      </c>
      <c r="AP45" s="12" t="s">
        <v>804</v>
      </c>
      <c r="AQ45" s="12" t="s">
        <v>804</v>
      </c>
      <c r="AR45" s="12">
        <f t="shared" si="1"/>
        <v>59</v>
      </c>
      <c r="AS45" s="12" t="s">
        <v>805</v>
      </c>
      <c r="AT45" s="12" t="s">
        <v>806</v>
      </c>
      <c r="AU45" s="12" t="s">
        <v>744</v>
      </c>
      <c r="AV45" s="12"/>
      <c r="AW45" s="12"/>
      <c r="AX45" s="12" t="s">
        <v>807</v>
      </c>
      <c r="AY45" s="12"/>
      <c r="AZ45" s="12"/>
      <c r="BA45" s="12"/>
      <c r="BB45" s="12"/>
      <c r="BC45" s="12" t="s">
        <v>808</v>
      </c>
      <c r="BD45" s="12"/>
      <c r="BE45" s="12"/>
      <c r="BF45" s="12"/>
      <c r="BG45" s="12"/>
      <c r="BH45" s="12" t="s">
        <v>809</v>
      </c>
      <c r="BI45" s="12"/>
      <c r="BJ45" s="12"/>
      <c r="BK45" s="12"/>
      <c r="BL45" s="15" t="s">
        <v>899</v>
      </c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0" t="s">
        <v>912</v>
      </c>
      <c r="CG45" s="10"/>
    </row>
    <row r="46" spans="1:85" x14ac:dyDescent="0.3">
      <c r="A46" s="11" t="s">
        <v>85</v>
      </c>
      <c r="B46" s="11" t="s">
        <v>86</v>
      </c>
      <c r="C46" s="12" t="s">
        <v>87</v>
      </c>
      <c r="D46" s="12" t="s">
        <v>481</v>
      </c>
      <c r="E46" s="12" t="s">
        <v>87</v>
      </c>
      <c r="F46" s="12" t="s">
        <v>479</v>
      </c>
      <c r="G46" s="13" t="s">
        <v>88</v>
      </c>
      <c r="H46" s="12"/>
      <c r="I46" s="12"/>
      <c r="J46" s="12"/>
      <c r="K46" s="12"/>
      <c r="L46" s="12"/>
      <c r="M46" s="12"/>
      <c r="N46" s="12"/>
      <c r="O46" s="12"/>
      <c r="P46" s="12"/>
      <c r="Q46" s="12">
        <v>68</v>
      </c>
      <c r="R46" s="12">
        <v>68</v>
      </c>
      <c r="S46" s="12" t="s">
        <v>404</v>
      </c>
      <c r="T46" s="12" t="s">
        <v>90</v>
      </c>
      <c r="U46" s="12"/>
      <c r="V46" s="12" t="s">
        <v>92</v>
      </c>
      <c r="W46" s="12" t="s">
        <v>405</v>
      </c>
      <c r="X46" s="12" t="s">
        <v>406</v>
      </c>
      <c r="Y46" s="12" t="s">
        <v>406</v>
      </c>
      <c r="Z46" s="12" t="s">
        <v>407</v>
      </c>
      <c r="AA46" s="12" t="s">
        <v>407</v>
      </c>
      <c r="AB46" s="12" t="s">
        <v>406</v>
      </c>
      <c r="AC46" s="12" t="s">
        <v>407</v>
      </c>
      <c r="AD46" s="14" t="s">
        <v>407</v>
      </c>
      <c r="AE46" s="12" t="s">
        <v>408</v>
      </c>
      <c r="AF46" s="12" t="s">
        <v>409</v>
      </c>
      <c r="AG46" s="12"/>
      <c r="AH46" s="12"/>
      <c r="AI46" s="12" t="s">
        <v>410</v>
      </c>
      <c r="AJ46" s="12" t="s">
        <v>207</v>
      </c>
      <c r="AK46" s="12" t="s">
        <v>208</v>
      </c>
      <c r="AL46" s="12" t="s">
        <v>550</v>
      </c>
      <c r="AM46" s="12" t="s">
        <v>575</v>
      </c>
      <c r="AN46" s="12" t="s">
        <v>576</v>
      </c>
      <c r="AO46" s="12" t="s">
        <v>810</v>
      </c>
      <c r="AP46" s="12" t="s">
        <v>811</v>
      </c>
      <c r="AQ46" s="12" t="s">
        <v>811</v>
      </c>
      <c r="AR46" s="12">
        <f t="shared" si="1"/>
        <v>66</v>
      </c>
      <c r="AS46" s="12" t="s">
        <v>646</v>
      </c>
      <c r="AT46" s="12" t="s">
        <v>647</v>
      </c>
      <c r="AU46" s="17"/>
      <c r="AV46" s="12"/>
      <c r="AW46" s="12"/>
      <c r="AX46" s="12" t="s">
        <v>812</v>
      </c>
      <c r="AY46" s="12"/>
      <c r="AZ46" s="12"/>
      <c r="BA46" s="12"/>
      <c r="BB46" s="12"/>
      <c r="BC46" s="12"/>
      <c r="BD46" s="12" t="s">
        <v>652</v>
      </c>
      <c r="BE46" s="12"/>
      <c r="BF46" s="12"/>
      <c r="BG46" s="12" t="s">
        <v>598</v>
      </c>
      <c r="BH46" s="12" t="s">
        <v>410</v>
      </c>
      <c r="BI46" s="12" t="s">
        <v>613</v>
      </c>
      <c r="BJ46" s="12" t="s">
        <v>590</v>
      </c>
      <c r="BK46" s="12"/>
      <c r="BL46" s="15" t="s">
        <v>900</v>
      </c>
      <c r="BM46" s="12" t="s">
        <v>901</v>
      </c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0" t="s">
        <v>912</v>
      </c>
      <c r="CG46" s="10"/>
    </row>
    <row r="47" spans="1:85" x14ac:dyDescent="0.3">
      <c r="A47" s="11" t="s">
        <v>85</v>
      </c>
      <c r="B47" s="11" t="s">
        <v>86</v>
      </c>
      <c r="C47" s="12" t="s">
        <v>87</v>
      </c>
      <c r="D47" s="12" t="s">
        <v>483</v>
      </c>
      <c r="E47" s="12" t="s">
        <v>87</v>
      </c>
      <c r="F47" s="12" t="s">
        <v>479</v>
      </c>
      <c r="G47" s="13" t="s">
        <v>88</v>
      </c>
      <c r="H47" s="12"/>
      <c r="I47" s="12"/>
      <c r="J47" s="12"/>
      <c r="K47" s="12"/>
      <c r="L47" s="12"/>
      <c r="M47" s="12"/>
      <c r="N47" s="12"/>
      <c r="O47" s="12"/>
      <c r="P47" s="12"/>
      <c r="Q47" s="12">
        <v>69</v>
      </c>
      <c r="R47" s="12">
        <v>69</v>
      </c>
      <c r="S47" s="12" t="s">
        <v>411</v>
      </c>
      <c r="T47" s="12" t="s">
        <v>412</v>
      </c>
      <c r="U47" s="12"/>
      <c r="V47" s="12" t="s">
        <v>92</v>
      </c>
      <c r="W47" s="12" t="s">
        <v>413</v>
      </c>
      <c r="X47" s="12" t="s">
        <v>406</v>
      </c>
      <c r="Y47" s="12" t="s">
        <v>406</v>
      </c>
      <c r="Z47" s="12" t="s">
        <v>414</v>
      </c>
      <c r="AA47" s="12" t="s">
        <v>414</v>
      </c>
      <c r="AB47" s="12" t="s">
        <v>406</v>
      </c>
      <c r="AC47" s="12" t="s">
        <v>414</v>
      </c>
      <c r="AD47" s="14" t="s">
        <v>414</v>
      </c>
      <c r="AE47" s="12" t="s">
        <v>415</v>
      </c>
      <c r="AF47" s="12" t="s">
        <v>416</v>
      </c>
      <c r="AG47" s="12"/>
      <c r="AH47" s="12"/>
      <c r="AI47" s="12" t="s">
        <v>417</v>
      </c>
      <c r="AJ47" s="12" t="s">
        <v>361</v>
      </c>
      <c r="AK47" s="12" t="s">
        <v>362</v>
      </c>
      <c r="AL47" s="12" t="s">
        <v>566</v>
      </c>
      <c r="AM47" s="12" t="s">
        <v>575</v>
      </c>
      <c r="AN47" s="12" t="s">
        <v>576</v>
      </c>
      <c r="AO47" s="12" t="s">
        <v>813</v>
      </c>
      <c r="AP47" s="12" t="s">
        <v>814</v>
      </c>
      <c r="AQ47" s="12" t="s">
        <v>814</v>
      </c>
      <c r="AR47" s="12">
        <f t="shared" si="1"/>
        <v>67</v>
      </c>
      <c r="AS47" s="12" t="s">
        <v>815</v>
      </c>
      <c r="AT47" s="12" t="s">
        <v>660</v>
      </c>
      <c r="AU47" s="17"/>
      <c r="AV47" s="12"/>
      <c r="AW47" s="12"/>
      <c r="AX47" s="12"/>
      <c r="AY47" s="12"/>
      <c r="AZ47" s="12"/>
      <c r="BA47" s="12"/>
      <c r="BB47" s="12"/>
      <c r="BC47" s="12"/>
      <c r="BD47" s="12" t="s">
        <v>816</v>
      </c>
      <c r="BE47" s="12"/>
      <c r="BF47" s="12"/>
      <c r="BG47" s="12" t="s">
        <v>588</v>
      </c>
      <c r="BH47" s="12" t="s">
        <v>417</v>
      </c>
      <c r="BI47" s="12" t="s">
        <v>613</v>
      </c>
      <c r="BJ47" s="12" t="s">
        <v>590</v>
      </c>
      <c r="BK47" s="12"/>
      <c r="BL47" s="15" t="s">
        <v>902</v>
      </c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0" t="s">
        <v>912</v>
      </c>
      <c r="CG47" s="10"/>
    </row>
    <row r="48" spans="1:85" x14ac:dyDescent="0.3">
      <c r="A48" s="11" t="s">
        <v>85</v>
      </c>
      <c r="B48" s="11" t="s">
        <v>86</v>
      </c>
      <c r="C48" s="12" t="s">
        <v>87</v>
      </c>
      <c r="D48" s="12" t="s">
        <v>481</v>
      </c>
      <c r="E48" s="12" t="s">
        <v>87</v>
      </c>
      <c r="F48" s="12" t="s">
        <v>479</v>
      </c>
      <c r="G48" s="13" t="s">
        <v>88</v>
      </c>
      <c r="H48" s="12"/>
      <c r="I48" s="12"/>
      <c r="J48" s="12"/>
      <c r="K48" s="12"/>
      <c r="L48" s="12"/>
      <c r="M48" s="12"/>
      <c r="N48" s="12"/>
      <c r="O48" s="12"/>
      <c r="P48" s="12"/>
      <c r="Q48" s="12">
        <v>70</v>
      </c>
      <c r="R48" s="12">
        <v>70</v>
      </c>
      <c r="S48" s="12" t="s">
        <v>418</v>
      </c>
      <c r="T48" s="12"/>
      <c r="U48" s="12"/>
      <c r="V48" s="12" t="s">
        <v>152</v>
      </c>
      <c r="W48" s="12"/>
      <c r="X48" s="12" t="s">
        <v>419</v>
      </c>
      <c r="Y48" s="12" t="s">
        <v>496</v>
      </c>
      <c r="Z48" s="12" t="s">
        <v>420</v>
      </c>
      <c r="AA48" s="12" t="s">
        <v>538</v>
      </c>
      <c r="AB48" s="12" t="s">
        <v>421</v>
      </c>
      <c r="AC48" s="12" t="s">
        <v>538</v>
      </c>
      <c r="AD48" s="14" t="s">
        <v>420</v>
      </c>
      <c r="AE48" s="12" t="s">
        <v>422</v>
      </c>
      <c r="AF48" s="12" t="s">
        <v>423</v>
      </c>
      <c r="AG48" s="12" t="s">
        <v>423</v>
      </c>
      <c r="AH48" s="12"/>
      <c r="AI48" s="12" t="s">
        <v>424</v>
      </c>
      <c r="AJ48" s="12" t="s">
        <v>425</v>
      </c>
      <c r="AK48" s="12" t="s">
        <v>426</v>
      </c>
      <c r="AL48" s="12" t="s">
        <v>569</v>
      </c>
      <c r="AM48" s="12"/>
      <c r="AN48" s="12"/>
      <c r="AO48" s="12" t="s">
        <v>817</v>
      </c>
      <c r="AP48" s="12" t="s">
        <v>818</v>
      </c>
      <c r="AQ48" s="12" t="s">
        <v>818</v>
      </c>
      <c r="AR48" s="12">
        <f t="shared" si="1"/>
        <v>70</v>
      </c>
      <c r="AS48" s="12" t="s">
        <v>819</v>
      </c>
      <c r="AT48" s="12" t="s">
        <v>820</v>
      </c>
      <c r="AU48" s="12" t="s">
        <v>821</v>
      </c>
      <c r="AV48" s="12"/>
      <c r="AW48" s="12"/>
      <c r="AX48" s="12"/>
      <c r="AY48" s="12"/>
      <c r="AZ48" s="12"/>
      <c r="BA48" s="12"/>
      <c r="BB48" s="12"/>
      <c r="BC48" s="12" t="s">
        <v>822</v>
      </c>
      <c r="BD48" s="12"/>
      <c r="BE48" s="12"/>
      <c r="BF48" s="12"/>
      <c r="BG48" s="12"/>
      <c r="BH48" s="12" t="s">
        <v>424</v>
      </c>
      <c r="BI48" s="12"/>
      <c r="BJ48" s="12"/>
      <c r="BK48" s="12"/>
      <c r="BL48" s="12" t="s">
        <v>903</v>
      </c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0" t="s">
        <v>912</v>
      </c>
      <c r="CG48" s="10"/>
    </row>
    <row r="49" spans="1:85" x14ac:dyDescent="0.3">
      <c r="A49" s="11" t="s">
        <v>85</v>
      </c>
      <c r="B49" s="11" t="s">
        <v>86</v>
      </c>
      <c r="C49" s="12" t="s">
        <v>87</v>
      </c>
      <c r="D49" s="12" t="s">
        <v>481</v>
      </c>
      <c r="E49" s="12" t="s">
        <v>87</v>
      </c>
      <c r="F49" s="12" t="s">
        <v>479</v>
      </c>
      <c r="G49" s="13" t="s">
        <v>88</v>
      </c>
      <c r="H49" s="12"/>
      <c r="I49" s="12"/>
      <c r="J49" s="12"/>
      <c r="K49" s="12"/>
      <c r="L49" s="12"/>
      <c r="M49" s="12"/>
      <c r="N49" s="12"/>
      <c r="O49" s="12"/>
      <c r="P49" s="12"/>
      <c r="Q49" s="12">
        <v>71</v>
      </c>
      <c r="R49" s="12">
        <v>71</v>
      </c>
      <c r="S49" s="12" t="s">
        <v>427</v>
      </c>
      <c r="T49" s="12" t="s">
        <v>90</v>
      </c>
      <c r="U49" s="12" t="s">
        <v>428</v>
      </c>
      <c r="V49" s="12" t="s">
        <v>92</v>
      </c>
      <c r="W49" s="12" t="s">
        <v>429</v>
      </c>
      <c r="X49" s="12" t="s">
        <v>430</v>
      </c>
      <c r="Y49" s="12" t="s">
        <v>497</v>
      </c>
      <c r="Z49" s="12" t="s">
        <v>431</v>
      </c>
      <c r="AA49" s="15" t="s">
        <v>539</v>
      </c>
      <c r="AB49" s="12" t="s">
        <v>432</v>
      </c>
      <c r="AC49" s="15" t="s">
        <v>539</v>
      </c>
      <c r="AD49" s="14" t="s">
        <v>431</v>
      </c>
      <c r="AE49" s="12" t="s">
        <v>433</v>
      </c>
      <c r="AF49" s="12" t="s">
        <v>434</v>
      </c>
      <c r="AG49" s="12" t="s">
        <v>434</v>
      </c>
      <c r="AH49" s="12"/>
      <c r="AI49" s="12" t="s">
        <v>435</v>
      </c>
      <c r="AJ49" s="12" t="s">
        <v>436</v>
      </c>
      <c r="AK49" s="12" t="s">
        <v>437</v>
      </c>
      <c r="AL49" s="12" t="s">
        <v>570</v>
      </c>
      <c r="AM49" s="12"/>
      <c r="AN49" s="12"/>
      <c r="AO49" s="12" t="s">
        <v>823</v>
      </c>
      <c r="AP49" s="12" t="s">
        <v>824</v>
      </c>
      <c r="AQ49" s="12" t="s">
        <v>824</v>
      </c>
      <c r="AR49" s="12">
        <f t="shared" si="1"/>
        <v>81</v>
      </c>
      <c r="AS49" s="12" t="s">
        <v>825</v>
      </c>
      <c r="AT49" s="12" t="s">
        <v>826</v>
      </c>
      <c r="AU49" s="12"/>
      <c r="AV49" s="15" t="s">
        <v>827</v>
      </c>
      <c r="AW49" s="12"/>
      <c r="AX49" s="12" t="s">
        <v>828</v>
      </c>
      <c r="AY49" s="12"/>
      <c r="AZ49" s="12"/>
      <c r="BA49" s="12"/>
      <c r="BB49" s="12"/>
      <c r="BC49" s="12"/>
      <c r="BD49" s="12" t="s">
        <v>829</v>
      </c>
      <c r="BE49" s="12"/>
      <c r="BF49" s="12"/>
      <c r="BG49" s="12" t="s">
        <v>598</v>
      </c>
      <c r="BH49" s="12" t="s">
        <v>435</v>
      </c>
      <c r="BI49" s="12" t="s">
        <v>613</v>
      </c>
      <c r="BJ49" s="12" t="s">
        <v>590</v>
      </c>
      <c r="BK49" s="12"/>
      <c r="BL49" s="15" t="s">
        <v>904</v>
      </c>
      <c r="BM49" s="12" t="s">
        <v>905</v>
      </c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0" t="s">
        <v>912</v>
      </c>
      <c r="CG49" s="10"/>
    </row>
    <row r="50" spans="1:85" x14ac:dyDescent="0.3">
      <c r="A50" s="11" t="s">
        <v>85</v>
      </c>
      <c r="B50" s="11" t="s">
        <v>86</v>
      </c>
      <c r="C50" s="12" t="s">
        <v>87</v>
      </c>
      <c r="D50" s="12" t="s">
        <v>481</v>
      </c>
      <c r="E50" s="12" t="s">
        <v>87</v>
      </c>
      <c r="F50" s="12" t="s">
        <v>479</v>
      </c>
      <c r="G50" s="13" t="s">
        <v>88</v>
      </c>
      <c r="H50" s="12"/>
      <c r="I50" s="12"/>
      <c r="J50" s="12"/>
      <c r="K50" s="12"/>
      <c r="L50" s="12"/>
      <c r="M50" s="12"/>
      <c r="N50" s="12"/>
      <c r="O50" s="12"/>
      <c r="P50" s="12"/>
      <c r="Q50" s="12">
        <v>72</v>
      </c>
      <c r="R50" s="12">
        <v>72</v>
      </c>
      <c r="S50" s="12" t="s">
        <v>438</v>
      </c>
      <c r="T50" s="12" t="s">
        <v>90</v>
      </c>
      <c r="U50" s="12"/>
      <c r="V50" s="12" t="s">
        <v>92</v>
      </c>
      <c r="W50" s="12" t="s">
        <v>439</v>
      </c>
      <c r="X50" s="12" t="s">
        <v>430</v>
      </c>
      <c r="Y50" s="12" t="s">
        <v>497</v>
      </c>
      <c r="Z50" s="12" t="s">
        <v>440</v>
      </c>
      <c r="AA50" s="12" t="s">
        <v>540</v>
      </c>
      <c r="AB50" s="12" t="s">
        <v>432</v>
      </c>
      <c r="AC50" s="12" t="s">
        <v>540</v>
      </c>
      <c r="AD50" s="14" t="s">
        <v>440</v>
      </c>
      <c r="AE50" s="12" t="s">
        <v>441</v>
      </c>
      <c r="AF50" s="12" t="s">
        <v>442</v>
      </c>
      <c r="AG50" s="12" t="s">
        <v>443</v>
      </c>
      <c r="AH50" s="12"/>
      <c r="AI50" s="12" t="s">
        <v>435</v>
      </c>
      <c r="AJ50" s="12" t="s">
        <v>444</v>
      </c>
      <c r="AK50" s="12" t="s">
        <v>445</v>
      </c>
      <c r="AL50" s="12" t="s">
        <v>571</v>
      </c>
      <c r="AM50" s="12"/>
      <c r="AN50" s="12"/>
      <c r="AO50" s="12" t="s">
        <v>830</v>
      </c>
      <c r="AP50" s="12" t="s">
        <v>831</v>
      </c>
      <c r="AQ50" s="12" t="s">
        <v>831</v>
      </c>
      <c r="AR50" s="12">
        <f t="shared" si="1"/>
        <v>152</v>
      </c>
      <c r="AS50" s="12" t="s">
        <v>832</v>
      </c>
      <c r="AT50" s="12" t="s">
        <v>826</v>
      </c>
      <c r="AU50" s="12" t="s">
        <v>833</v>
      </c>
      <c r="AV50" s="12" t="s">
        <v>632</v>
      </c>
      <c r="AW50" s="12"/>
      <c r="AX50" s="12" t="s">
        <v>834</v>
      </c>
      <c r="AY50" s="12"/>
      <c r="AZ50" s="12"/>
      <c r="BA50" s="12"/>
      <c r="BB50" s="12"/>
      <c r="BC50" s="12" t="s">
        <v>835</v>
      </c>
      <c r="BD50" s="12"/>
      <c r="BE50" s="12"/>
      <c r="BF50" s="12"/>
      <c r="BG50" s="12" t="s">
        <v>598</v>
      </c>
      <c r="BH50" s="12" t="s">
        <v>435</v>
      </c>
      <c r="BI50" s="12" t="s">
        <v>613</v>
      </c>
      <c r="BJ50" s="12" t="s">
        <v>590</v>
      </c>
      <c r="BK50" s="12"/>
      <c r="BL50" s="15" t="s">
        <v>906</v>
      </c>
      <c r="BM50" s="12" t="s">
        <v>907</v>
      </c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0" t="s">
        <v>912</v>
      </c>
      <c r="CG50" s="10"/>
    </row>
    <row r="51" spans="1:85" x14ac:dyDescent="0.3">
      <c r="A51" s="11" t="s">
        <v>85</v>
      </c>
      <c r="B51" s="11" t="s">
        <v>86</v>
      </c>
      <c r="C51" s="12" t="s">
        <v>87</v>
      </c>
      <c r="D51" s="12" t="s">
        <v>482</v>
      </c>
      <c r="E51" s="12" t="s">
        <v>87</v>
      </c>
      <c r="F51" s="12" t="s">
        <v>480</v>
      </c>
      <c r="G51" s="13" t="s">
        <v>88</v>
      </c>
      <c r="H51" s="12"/>
      <c r="I51" s="12"/>
      <c r="J51" s="12"/>
      <c r="K51" s="12"/>
      <c r="L51" s="12"/>
      <c r="M51" s="12"/>
      <c r="N51" s="12"/>
      <c r="O51" s="12"/>
      <c r="P51" s="12"/>
      <c r="Q51" s="12">
        <v>73</v>
      </c>
      <c r="R51" s="12">
        <v>73</v>
      </c>
      <c r="S51" s="12" t="s">
        <v>446</v>
      </c>
      <c r="T51" s="12"/>
      <c r="U51" s="12"/>
      <c r="V51" s="12" t="s">
        <v>92</v>
      </c>
      <c r="W51" s="12"/>
      <c r="X51" s="12" t="s">
        <v>447</v>
      </c>
      <c r="Y51" s="12" t="s">
        <v>498</v>
      </c>
      <c r="Z51" s="12" t="s">
        <v>448</v>
      </c>
      <c r="AA51" s="12" t="s">
        <v>448</v>
      </c>
      <c r="AB51" s="12" t="s">
        <v>447</v>
      </c>
      <c r="AC51" s="12" t="s">
        <v>448</v>
      </c>
      <c r="AD51" s="14" t="s">
        <v>448</v>
      </c>
      <c r="AE51" s="12" t="s">
        <v>449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>
        <f t="shared" si="1"/>
        <v>0</v>
      </c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 t="s">
        <v>860</v>
      </c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0" t="s">
        <v>912</v>
      </c>
      <c r="CG51" s="10"/>
    </row>
    <row r="52" spans="1:85" x14ac:dyDescent="0.3">
      <c r="A52" s="11" t="s">
        <v>85</v>
      </c>
      <c r="B52" s="11" t="s">
        <v>86</v>
      </c>
      <c r="C52" s="12" t="s">
        <v>87</v>
      </c>
      <c r="D52" s="12" t="s">
        <v>481</v>
      </c>
      <c r="E52" s="12" t="s">
        <v>87</v>
      </c>
      <c r="F52" s="12" t="s">
        <v>479</v>
      </c>
      <c r="G52" s="13" t="s">
        <v>88</v>
      </c>
      <c r="H52" s="12"/>
      <c r="I52" s="12"/>
      <c r="J52" s="12"/>
      <c r="K52" s="12"/>
      <c r="L52" s="12"/>
      <c r="M52" s="12"/>
      <c r="N52" s="12"/>
      <c r="O52" s="12"/>
      <c r="P52" s="12"/>
      <c r="Q52" s="12">
        <v>74</v>
      </c>
      <c r="R52" s="12">
        <v>74</v>
      </c>
      <c r="S52" s="12" t="s">
        <v>450</v>
      </c>
      <c r="T52" s="12" t="s">
        <v>451</v>
      </c>
      <c r="U52" s="12" t="s">
        <v>452</v>
      </c>
      <c r="V52" s="12" t="s">
        <v>152</v>
      </c>
      <c r="W52" s="12" t="s">
        <v>453</v>
      </c>
      <c r="X52" s="12" t="s">
        <v>430</v>
      </c>
      <c r="Y52" s="12" t="s">
        <v>499</v>
      </c>
      <c r="Z52" s="12" t="s">
        <v>454</v>
      </c>
      <c r="AA52" s="12" t="s">
        <v>454</v>
      </c>
      <c r="AB52" s="12" t="s">
        <v>432</v>
      </c>
      <c r="AC52" s="12" t="s">
        <v>454</v>
      </c>
      <c r="AD52" s="14" t="s">
        <v>454</v>
      </c>
      <c r="AE52" s="12" t="s">
        <v>455</v>
      </c>
      <c r="AF52" s="12" t="s">
        <v>456</v>
      </c>
      <c r="AG52" s="12" t="s">
        <v>457</v>
      </c>
      <c r="AH52" s="12"/>
      <c r="AI52" s="12" t="s">
        <v>458</v>
      </c>
      <c r="AJ52" s="12" t="s">
        <v>459</v>
      </c>
      <c r="AK52" s="12" t="s">
        <v>460</v>
      </c>
      <c r="AL52" s="12" t="s">
        <v>572</v>
      </c>
      <c r="AM52" s="12"/>
      <c r="AN52" s="12"/>
      <c r="AO52" s="12" t="s">
        <v>836</v>
      </c>
      <c r="AP52" s="12" t="s">
        <v>837</v>
      </c>
      <c r="AQ52" s="12" t="s">
        <v>837</v>
      </c>
      <c r="AR52" s="12">
        <f t="shared" si="1"/>
        <v>113</v>
      </c>
      <c r="AS52" s="12" t="s">
        <v>806</v>
      </c>
      <c r="AT52" s="12" t="s">
        <v>838</v>
      </c>
      <c r="AU52" s="12" t="s">
        <v>839</v>
      </c>
      <c r="AV52" s="12" t="s">
        <v>840</v>
      </c>
      <c r="AW52" s="12"/>
      <c r="AX52" s="12" t="s">
        <v>841</v>
      </c>
      <c r="AY52" s="12"/>
      <c r="AZ52" s="12"/>
      <c r="BA52" s="12"/>
      <c r="BB52" s="12"/>
      <c r="BC52" s="12" t="s">
        <v>842</v>
      </c>
      <c r="BD52" s="12" t="s">
        <v>843</v>
      </c>
      <c r="BE52" s="12"/>
      <c r="BF52" s="12" t="s">
        <v>844</v>
      </c>
      <c r="BG52" s="12" t="s">
        <v>588</v>
      </c>
      <c r="BH52" s="12" t="s">
        <v>845</v>
      </c>
      <c r="BI52" s="12" t="s">
        <v>613</v>
      </c>
      <c r="BJ52" s="12" t="s">
        <v>590</v>
      </c>
      <c r="BK52" s="12"/>
      <c r="BL52" s="12" t="s">
        <v>908</v>
      </c>
      <c r="BM52" s="12" t="s">
        <v>909</v>
      </c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0" t="s">
        <v>912</v>
      </c>
      <c r="CG52" s="10"/>
    </row>
    <row r="53" spans="1:85" x14ac:dyDescent="0.3">
      <c r="A53" s="11" t="s">
        <v>85</v>
      </c>
      <c r="B53" s="11" t="s">
        <v>86</v>
      </c>
      <c r="C53" s="12" t="s">
        <v>87</v>
      </c>
      <c r="D53" s="12" t="s">
        <v>481</v>
      </c>
      <c r="E53" s="12" t="s">
        <v>87</v>
      </c>
      <c r="F53" s="12" t="s">
        <v>479</v>
      </c>
      <c r="G53" s="13" t="s">
        <v>88</v>
      </c>
      <c r="H53" s="12"/>
      <c r="I53" s="12"/>
      <c r="J53" s="12"/>
      <c r="K53" s="12"/>
      <c r="L53" s="12"/>
      <c r="M53" s="12"/>
      <c r="N53" s="12"/>
      <c r="O53" s="12"/>
      <c r="P53" s="12"/>
      <c r="Q53" s="12">
        <v>80</v>
      </c>
      <c r="R53" s="12">
        <v>80</v>
      </c>
      <c r="S53" s="12" t="s">
        <v>461</v>
      </c>
      <c r="T53" s="12" t="s">
        <v>462</v>
      </c>
      <c r="U53" s="12" t="s">
        <v>463</v>
      </c>
      <c r="V53" s="12" t="s">
        <v>254</v>
      </c>
      <c r="W53" s="12" t="s">
        <v>464</v>
      </c>
      <c r="X53" s="12" t="s">
        <v>465</v>
      </c>
      <c r="Y53" s="12" t="s">
        <v>500</v>
      </c>
      <c r="Z53" s="12" t="s">
        <v>466</v>
      </c>
      <c r="AA53" s="12" t="s">
        <v>466</v>
      </c>
      <c r="AB53" s="12" t="s">
        <v>465</v>
      </c>
      <c r="AC53" s="12" t="s">
        <v>466</v>
      </c>
      <c r="AD53" s="14" t="s">
        <v>466</v>
      </c>
      <c r="AE53" s="12" t="s">
        <v>467</v>
      </c>
      <c r="AF53" s="12" t="s">
        <v>468</v>
      </c>
      <c r="AG53" s="12" t="s">
        <v>468</v>
      </c>
      <c r="AH53" s="12"/>
      <c r="AI53" s="12" t="s">
        <v>465</v>
      </c>
      <c r="AJ53" s="12" t="s">
        <v>469</v>
      </c>
      <c r="AK53" s="12" t="s">
        <v>470</v>
      </c>
      <c r="AL53" s="12" t="s">
        <v>573</v>
      </c>
      <c r="AM53" s="12"/>
      <c r="AN53" s="12"/>
      <c r="AO53" s="12" t="s">
        <v>846</v>
      </c>
      <c r="AP53" s="12" t="s">
        <v>847</v>
      </c>
      <c r="AQ53" s="12" t="s">
        <v>847</v>
      </c>
      <c r="AR53" s="12">
        <f t="shared" si="1"/>
        <v>101</v>
      </c>
      <c r="AS53" s="12" t="s">
        <v>848</v>
      </c>
      <c r="AT53" s="12" t="s">
        <v>849</v>
      </c>
      <c r="AU53" s="12"/>
      <c r="AV53" s="12"/>
      <c r="AW53" s="12"/>
      <c r="AX53" s="12"/>
      <c r="AY53" s="12"/>
      <c r="AZ53" s="15" t="s">
        <v>850</v>
      </c>
      <c r="BA53" s="12"/>
      <c r="BB53" s="12"/>
      <c r="BC53" s="12" t="s">
        <v>851</v>
      </c>
      <c r="BD53" s="12"/>
      <c r="BE53" s="12"/>
      <c r="BF53" s="12"/>
      <c r="BG53" s="12" t="s">
        <v>588</v>
      </c>
      <c r="BH53" s="12" t="s">
        <v>852</v>
      </c>
      <c r="BI53" s="12" t="s">
        <v>589</v>
      </c>
      <c r="BJ53" s="12"/>
      <c r="BK53" s="12"/>
      <c r="BL53" s="15" t="s">
        <v>910</v>
      </c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0" t="s">
        <v>912</v>
      </c>
      <c r="CG53" s="10"/>
    </row>
    <row r="54" spans="1:85" x14ac:dyDescent="0.3">
      <c r="A54" s="11" t="s">
        <v>85</v>
      </c>
      <c r="B54" s="11" t="s">
        <v>86</v>
      </c>
      <c r="C54" s="12" t="s">
        <v>87</v>
      </c>
      <c r="D54" s="12" t="s">
        <v>481</v>
      </c>
      <c r="E54" s="12" t="s">
        <v>87</v>
      </c>
      <c r="F54" s="12" t="s">
        <v>479</v>
      </c>
      <c r="G54" s="13" t="s">
        <v>88</v>
      </c>
      <c r="H54" s="12"/>
      <c r="I54" s="12"/>
      <c r="J54" s="12"/>
      <c r="K54" s="12"/>
      <c r="L54" s="12"/>
      <c r="M54" s="12"/>
      <c r="N54" s="12"/>
      <c r="O54" s="12"/>
      <c r="P54" s="12"/>
      <c r="Q54" s="12">
        <v>87</v>
      </c>
      <c r="R54" s="12">
        <v>87</v>
      </c>
      <c r="S54" s="12" t="s">
        <v>471</v>
      </c>
      <c r="T54" s="12" t="s">
        <v>472</v>
      </c>
      <c r="U54" s="12" t="s">
        <v>473</v>
      </c>
      <c r="V54" s="12" t="s">
        <v>254</v>
      </c>
      <c r="W54" s="12" t="s">
        <v>474</v>
      </c>
      <c r="X54" s="12" t="s">
        <v>465</v>
      </c>
      <c r="Y54" s="12" t="s">
        <v>500</v>
      </c>
      <c r="Z54" s="12" t="s">
        <v>475</v>
      </c>
      <c r="AA54" s="12" t="s">
        <v>475</v>
      </c>
      <c r="AB54" s="12" t="s">
        <v>465</v>
      </c>
      <c r="AC54" s="12" t="s">
        <v>475</v>
      </c>
      <c r="AD54" s="14" t="s">
        <v>475</v>
      </c>
      <c r="AE54" s="12" t="s">
        <v>476</v>
      </c>
      <c r="AF54" s="12" t="s">
        <v>477</v>
      </c>
      <c r="AG54" s="12" t="s">
        <v>478</v>
      </c>
      <c r="AH54" s="12"/>
      <c r="AI54" s="12" t="s">
        <v>465</v>
      </c>
      <c r="AJ54" s="12" t="s">
        <v>469</v>
      </c>
      <c r="AK54" s="12" t="s">
        <v>470</v>
      </c>
      <c r="AL54" s="12" t="s">
        <v>573</v>
      </c>
      <c r="AM54" s="12"/>
      <c r="AN54" s="12"/>
      <c r="AO54" s="12" t="s">
        <v>853</v>
      </c>
      <c r="AP54" s="12" t="s">
        <v>854</v>
      </c>
      <c r="AQ54" s="12" t="s">
        <v>854</v>
      </c>
      <c r="AR54" s="12">
        <f t="shared" si="1"/>
        <v>116</v>
      </c>
      <c r="AS54" s="12" t="s">
        <v>848</v>
      </c>
      <c r="AT54" s="12" t="s">
        <v>849</v>
      </c>
      <c r="AU54" s="12" t="s">
        <v>855</v>
      </c>
      <c r="AV54" s="12"/>
      <c r="AW54" s="12"/>
      <c r="AX54" s="12"/>
      <c r="AY54" s="12"/>
      <c r="AZ54" s="12" t="s">
        <v>850</v>
      </c>
      <c r="BA54" s="12"/>
      <c r="BB54" s="12"/>
      <c r="BC54" s="12" t="s">
        <v>856</v>
      </c>
      <c r="BD54" s="12" t="s">
        <v>857</v>
      </c>
      <c r="BE54" s="12"/>
      <c r="BF54" s="12"/>
      <c r="BG54" s="12" t="s">
        <v>588</v>
      </c>
      <c r="BH54" s="12"/>
      <c r="BI54" s="12" t="s">
        <v>589</v>
      </c>
      <c r="BJ54" s="12"/>
      <c r="BK54" s="12"/>
      <c r="BL54" s="12" t="s">
        <v>911</v>
      </c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0" t="s">
        <v>912</v>
      </c>
      <c r="CG5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Vijay Nongmaithem</cp:lastModifiedBy>
  <dcterms:created xsi:type="dcterms:W3CDTF">2023-06-15T12:51:58Z</dcterms:created>
  <dcterms:modified xsi:type="dcterms:W3CDTF">2023-06-15T12:59:07Z</dcterms:modified>
</cp:coreProperties>
</file>