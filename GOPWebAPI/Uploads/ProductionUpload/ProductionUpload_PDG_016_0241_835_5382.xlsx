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Sheet1!$A$1:$DG$43</definedName>
  </definedNames>
  <calcPr calcId="144525"/>
  <webPublishing codePage="0"/>
</workbook>
</file>

<file path=xl/calcChain.xml><?xml version="1.0" encoding="utf-8"?>
<calcChain xmlns="http://schemas.openxmlformats.org/spreadsheetml/2006/main">
  <c r="AW43" i="1" l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<sst xmlns="http://schemas.openxmlformats.org/spreadsheetml/2006/main" count="1669" uniqueCount="683">
  <si>
    <t>Size</t>
  </si>
  <si>
    <t>PERIOSTEAL ELEV STRONG CVD RND EDGE 14MM</t>
  </si>
  <si>
    <t>ProdigoItemKey</t>
  </si>
  <si>
    <t>CARDINAL_OS1059004</t>
  </si>
  <si>
    <t>OP9303</t>
  </si>
  <si>
    <t>CARDINAL_OS1059003</t>
  </si>
  <si>
    <t>CARDINAL_OS1088011</t>
  </si>
  <si>
    <t>PRODIGO1059213</t>
  </si>
  <si>
    <t>HCPCS1</t>
  </si>
  <si>
    <t>PRODIGO1059243</t>
  </si>
  <si>
    <t>HCPCS Desc1</t>
  </si>
  <si>
    <t>OS1090009</t>
  </si>
  <si>
    <t>OSTEOTOME STR BLADE 8MM WIDE 7-1/4IN</t>
  </si>
  <si>
    <t>OS1013005</t>
  </si>
  <si>
    <t>UNSPSC Description1</t>
  </si>
  <si>
    <t>To_Process</t>
  </si>
  <si>
    <t>OS1115002</t>
  </si>
  <si>
    <t>CARDINAL_OS1090008</t>
  </si>
  <si>
    <t>CARDINAL_SU181</t>
  </si>
  <si>
    <t>CARDINAL_OS1090002</t>
  </si>
  <si>
    <t>Job No1</t>
  </si>
  <si>
    <t>Ref</t>
  </si>
  <si>
    <t>PRODIGO1059215</t>
  </si>
  <si>
    <t>64kProdigoItemKey</t>
  </si>
  <si>
    <t>OS1612001</t>
  </si>
  <si>
    <t>OS1090007</t>
  </si>
  <si>
    <t>OS1062019</t>
  </si>
  <si>
    <t>NYLON REPLACE CAP F/MEAD MALLET OS1520</t>
  </si>
  <si>
    <t>Modifier</t>
  </si>
  <si>
    <t>CARDINAL_OS1090005</t>
  </si>
  <si>
    <t>Sterile</t>
  </si>
  <si>
    <t>Mfg Item Number</t>
  </si>
  <si>
    <t>PRODIGO1059238</t>
  </si>
  <si>
    <t>PRODIGO1059059</t>
  </si>
  <si>
    <t>PRODIGO1059218</t>
  </si>
  <si>
    <t>OS1088013</t>
  </si>
  <si>
    <t>RICHARDSON TYP RETR BLDE 55X22MM 9-1/2IN</t>
  </si>
  <si>
    <t>PRODIGO1059226</t>
  </si>
  <si>
    <t>PRODIGO1059236</t>
  </si>
  <si>
    <t>PRODIGO1059216</t>
  </si>
  <si>
    <t>PRODIGO1059246</t>
  </si>
  <si>
    <t>OSTEOTOME SET SMALL W/8-OSTEO &amp;1 MALLET</t>
  </si>
  <si>
    <t>CARDINAL_OS1061032</t>
  </si>
  <si>
    <t>CE Comments</t>
  </si>
  <si>
    <t>CARDINAL_OS1061038</t>
  </si>
  <si>
    <t>OP9301</t>
  </si>
  <si>
    <t>BANKART/KOBEL-TYPE STD ORTHOPEDIC REPAIR</t>
  </si>
  <si>
    <t>CARDINAL_OS1088015</t>
  </si>
  <si>
    <t>CARDINAL_SU1895</t>
  </si>
  <si>
    <t>CAREFUSION 2200 V MUELLER</t>
  </si>
  <si>
    <t>Standardized UNSPSC1</t>
  </si>
  <si>
    <t>PrimaryDimension(IDXODXLXWXHXDXTHK)</t>
  </si>
  <si>
    <t>LAMBOTTE OSTEOTOME CVD 1-1/4IN(32MM).9IN</t>
  </si>
  <si>
    <t>Short Description 60 Enriched</t>
  </si>
  <si>
    <t>Count</t>
  </si>
  <si>
    <t>PRODIGO1059247</t>
  </si>
  <si>
    <t>CARDINAL_OS1079005</t>
  </si>
  <si>
    <t>CARDINAL_SU1897</t>
  </si>
  <si>
    <t>Batch</t>
  </si>
  <si>
    <t>CARDINAL_OS1041328</t>
  </si>
  <si>
    <t>PERIOS ELEV PHENOLIC HNDL STR EDGE 13MM</t>
  </si>
  <si>
    <t>Status</t>
  </si>
  <si>
    <t>Prodigo Standard Short Description - 254</t>
  </si>
  <si>
    <t>OS1088015</t>
  </si>
  <si>
    <t>OS1088017</t>
  </si>
  <si>
    <t>OS1088011</t>
  </si>
  <si>
    <t>Job No</t>
  </si>
  <si>
    <t>PRODIGO1059242</t>
  </si>
  <si>
    <t>UNSPSC Description</t>
  </si>
  <si>
    <t>CARDINAL_OS1090006</t>
  </si>
  <si>
    <t>PRODIGO1059233</t>
  </si>
  <si>
    <t>OS1090008</t>
  </si>
  <si>
    <t>OS1090004</t>
  </si>
  <si>
    <t>OS1090006</t>
  </si>
  <si>
    <t>OS1090002</t>
  </si>
  <si>
    <t>Validated MFR Name</t>
  </si>
  <si>
    <t>CARDINAL_OS1521</t>
  </si>
  <si>
    <t>Noun</t>
  </si>
  <si>
    <t>PRODIGO1059224</t>
  </si>
  <si>
    <t>DE Code</t>
  </si>
  <si>
    <t>QE Code</t>
  </si>
  <si>
    <t>BERENS PUNCTUM DILATOR OVER LGTH 4-1/2IN</t>
  </si>
  <si>
    <t>Adjective</t>
  </si>
  <si>
    <t>PRODIGO1059245</t>
  </si>
  <si>
    <t>OP2710001</t>
  </si>
  <si>
    <t>Len</t>
  </si>
  <si>
    <t>Long Description 254 Enriched1</t>
  </si>
  <si>
    <t>Quality A/R</t>
  </si>
  <si>
    <t>PRODIGO1059244</t>
  </si>
  <si>
    <t>PRODIGO1059222</t>
  </si>
  <si>
    <t>PRODIGO1059232</t>
  </si>
  <si>
    <t>PRODIGO1059212</t>
  </si>
  <si>
    <t>PRODIGO1059234</t>
  </si>
  <si>
    <t>Classification Remarks</t>
  </si>
  <si>
    <t>Miscellaneous1</t>
  </si>
  <si>
    <t>Standardized Manufacturer Item Number</t>
  </si>
  <si>
    <t>PRODIGO1059223</t>
  </si>
  <si>
    <t>ProdigoItemKey1</t>
  </si>
  <si>
    <t>KEY PERIOSTEAL ELEVATOR 15.8MM 7-3/4IN</t>
  </si>
  <si>
    <t>SU1897</t>
  </si>
  <si>
    <t>Brandname1</t>
  </si>
  <si>
    <t>016-241</t>
  </si>
  <si>
    <t>CARDINAL_OS1090009</t>
  </si>
  <si>
    <t>Project2</t>
  </si>
  <si>
    <t>CARDINAL_OS1059007</t>
  </si>
  <si>
    <t>HCPCS description</t>
  </si>
  <si>
    <t>File Name</t>
  </si>
  <si>
    <t>URL1</t>
  </si>
  <si>
    <t>Sort Code</t>
  </si>
  <si>
    <t>URL</t>
  </si>
  <si>
    <t>CARDINAL_OP9303</t>
  </si>
  <si>
    <t>CASTROVIEJO CALIPER CVD 3-1/4W/THUMBSRCW</t>
  </si>
  <si>
    <t>Corrected By</t>
  </si>
  <si>
    <t>Short Description</t>
  </si>
  <si>
    <t>ASIS Item Description (Long Description 4000)</t>
  </si>
  <si>
    <t>BONE IMPACTOR ALUM HEAD 20MMDIA 6-1/2IN</t>
  </si>
  <si>
    <t>OS1400</t>
  </si>
  <si>
    <t>Long Description</t>
  </si>
  <si>
    <t>CARDINAL_OS1400</t>
  </si>
  <si>
    <t>CARDINAL_OP7000</t>
  </si>
  <si>
    <t>PERIOSTEAL ELEV SLIGHT CVD STR EDGE 6MM</t>
  </si>
  <si>
    <t>PRODIGO1060197</t>
  </si>
  <si>
    <t>PRODIGO1059240</t>
  </si>
  <si>
    <t>OP2800007</t>
  </si>
  <si>
    <t>OS1059003</t>
  </si>
  <si>
    <t>OS1041328</t>
  </si>
  <si>
    <t>PRODIGO1059228</t>
  </si>
  <si>
    <t>Previous CE Code</t>
  </si>
  <si>
    <t>Ref#</t>
  </si>
  <si>
    <t>UNSPSC1</t>
  </si>
  <si>
    <t>KIRBY INTRACAPSULAR LENS LOOP 5-1/2IN</t>
  </si>
  <si>
    <t>OSTEOTOME STR BLADE 4MM WIDE 7-1/4IN</t>
  </si>
  <si>
    <t>PERIOSTEAL ELEV STRONG CVD STR EDGE 13MM</t>
  </si>
  <si>
    <t>OS1521</t>
  </si>
  <si>
    <t>SU1890</t>
  </si>
  <si>
    <t>OS1059002</t>
  </si>
  <si>
    <t>OS1059006</t>
  </si>
  <si>
    <t>OS1059008</t>
  </si>
  <si>
    <t>LAMBOTTE MINI OSTEOTOME STR BLD 19MM 5IN</t>
  </si>
  <si>
    <t>OS1090005</t>
  </si>
  <si>
    <t>LINCOLN DISSECT SCISS BLDE LGTH 30MM CVD</t>
  </si>
  <si>
    <t>SE Code</t>
  </si>
  <si>
    <t>PRODIGO1059229</t>
  </si>
  <si>
    <t>PRODIGO1059239</t>
  </si>
  <si>
    <t>OSTEOTOME CVD BLADE 7MM WIDE 7-1/4IN</t>
  </si>
  <si>
    <t>PRODIGO1059214</t>
  </si>
  <si>
    <t>CARDINAL_OS293115</t>
  </si>
  <si>
    <t>BrandName</t>
  </si>
  <si>
    <t>Description Duplicate</t>
  </si>
  <si>
    <t>Secondary Dimension(IDXODXLXWXHXDXTHK)</t>
  </si>
  <si>
    <t>Property</t>
  </si>
  <si>
    <t>OS1059005</t>
  </si>
  <si>
    <t>Conc</t>
  </si>
  <si>
    <t>PRODIGO1059220</t>
  </si>
  <si>
    <t>METATARSAL ELEVATOR BLADE 15MM 6-1/2IN</t>
  </si>
  <si>
    <t>CARDINAL_OS1059006</t>
  </si>
  <si>
    <t>CARDINAL_OS1059005</t>
  </si>
  <si>
    <t>OS1061038</t>
  </si>
  <si>
    <t>Delivered</t>
  </si>
  <si>
    <t>PRODIGO1059241</t>
  </si>
  <si>
    <t>To Process</t>
  </si>
  <si>
    <t>Item Name (Short Description)</t>
  </si>
  <si>
    <t>METATARSAL ELEVATOR BLADE 11MM 6-1/2IN</t>
  </si>
  <si>
    <t>OS1059004</t>
  </si>
  <si>
    <t>Age</t>
  </si>
  <si>
    <t>Potential Duplicates1</t>
  </si>
  <si>
    <t>CARDINAL_OS1059009</t>
  </si>
  <si>
    <t>Validated MFR Num</t>
  </si>
  <si>
    <t>Production Comments</t>
  </si>
  <si>
    <t>PRODIGO1059230</t>
  </si>
  <si>
    <t>Mfg Ref ID</t>
  </si>
  <si>
    <t>Gender</t>
  </si>
  <si>
    <t>MCINDOE RONGEUR FORCEPS 5MM JAW CVD 6IN</t>
  </si>
  <si>
    <t>GILLS-WELSH LENS LOOP 7X5MM THIN 4-3/4IN</t>
  </si>
  <si>
    <t>CARDINAL_OP2800007</t>
  </si>
  <si>
    <t>METATARSAL ELEVATOR BLADE 17MM 6-1/2IN</t>
  </si>
  <si>
    <t>LAMBOTTE OSTEOTOME CVD 1-1/2IN(38MM) 9IN</t>
  </si>
  <si>
    <t>UNSPSC</t>
  </si>
  <si>
    <t>Data Enrichment | UNSPSC Classification</t>
  </si>
  <si>
    <t>Activities</t>
  </si>
  <si>
    <t>Volume/Weight</t>
  </si>
  <si>
    <t>Packaging for drugs and solutions</t>
  </si>
  <si>
    <t>OS1079005</t>
  </si>
  <si>
    <t>OP7000</t>
  </si>
  <si>
    <t>CARDINAL_OS1062019</t>
  </si>
  <si>
    <t>Miscellaneous</t>
  </si>
  <si>
    <t>OSTEOTOME STR 16MMWIDE OVER LGTH 7-1/4IN</t>
  </si>
  <si>
    <t>Color</t>
  </si>
  <si>
    <t>CARDINAL_OS1090004</t>
  </si>
  <si>
    <t>OSTEOTOME STR 22MMWIDE OVER LGTH 7-1/4IN</t>
  </si>
  <si>
    <t>Short Description 60 Enriched1</t>
  </si>
  <si>
    <t>HILL-FERGUSON RECTAL RETR SM 2-1/2X15/16</t>
  </si>
  <si>
    <t>Descr Status</t>
  </si>
  <si>
    <t>SURGICAL ELEVATORS OR LEVERS</t>
  </si>
  <si>
    <t>Classification Remarks1</t>
  </si>
  <si>
    <t>SE Comments</t>
  </si>
  <si>
    <t>OS1612</t>
  </si>
  <si>
    <t>PRODIGO1059221</t>
  </si>
  <si>
    <t>CARDINAL_OS1115002</t>
  </si>
  <si>
    <t>SlNo</t>
  </si>
  <si>
    <t>CARDINAL_OS1059008</t>
  </si>
  <si>
    <t>OS1610006</t>
  </si>
  <si>
    <t>Standardized Manufacturer Name</t>
  </si>
  <si>
    <t>SU1895</t>
  </si>
  <si>
    <t>B2</t>
  </si>
  <si>
    <t>BONE TAMP CROSS SERR TIP 6MM DIA 6-1/4IN</t>
  </si>
  <si>
    <t>CARDINAL_OP2710001</t>
  </si>
  <si>
    <t>Mfg Name</t>
  </si>
  <si>
    <t>Accepted Date</t>
  </si>
  <si>
    <t>Standardized UNSPSC</t>
  </si>
  <si>
    <t>PERIOS ELEV PHENOLIC HNDL STR 14MM ROUND</t>
  </si>
  <si>
    <t>Sort Comment</t>
  </si>
  <si>
    <t>PRODIGO1059176</t>
  </si>
  <si>
    <t>Source</t>
  </si>
  <si>
    <t>OS1059009</t>
  </si>
  <si>
    <t>MALLET HEAD 25MM OVERALL LENGTH 9-1/2IN</t>
  </si>
  <si>
    <t>RefName</t>
  </si>
  <si>
    <t>OSTEOTOME STR BLADE 6MM WIDE 7-1/4IN</t>
  </si>
  <si>
    <t>PDF</t>
  </si>
  <si>
    <t>PDG</t>
  </si>
  <si>
    <t>CARDINAL_OS1088013</t>
  </si>
  <si>
    <t>Latex</t>
  </si>
  <si>
    <t>PRODIGO1059058</t>
  </si>
  <si>
    <t>Material</t>
  </si>
  <si>
    <t>PRODIGO1059231</t>
  </si>
  <si>
    <t>Mapped with 066</t>
  </si>
  <si>
    <t>Item Description (Long Description)</t>
  </si>
  <si>
    <t>CARDINAL_OS1059002</t>
  </si>
  <si>
    <t>OS1061032</t>
  </si>
  <si>
    <t>METATARSAL ELEVATOR BLADE 13MM 6-1/2IN</t>
  </si>
  <si>
    <t>OS1059007</t>
  </si>
  <si>
    <t>PRODIGO1060201</t>
  </si>
  <si>
    <t>HCPCS code</t>
  </si>
  <si>
    <t>PRODIGO1059219</t>
  </si>
  <si>
    <t>CARDINAL_OS1013005</t>
  </si>
  <si>
    <t>Potential / Desc Duplicate across Consolidated</t>
  </si>
  <si>
    <t>CARDINAL_OS1612</t>
  </si>
  <si>
    <t>SLNo_Prod</t>
  </si>
  <si>
    <t>PRODIGO1060203</t>
  </si>
  <si>
    <t>CARDINAL</t>
  </si>
  <si>
    <t>Project1</t>
  </si>
  <si>
    <t>NYLON REPLACE CAP F/OS1612 BONE IMPACTOR</t>
  </si>
  <si>
    <t>PRODIGO1060202</t>
  </si>
  <si>
    <t>Potential Duplicates</t>
  </si>
  <si>
    <t>CAREFUSION</t>
  </si>
  <si>
    <t>PRODIGO1059227</t>
  </si>
  <si>
    <t>OSTEOTOME STR BLADE 10MM WIDE 7-1/4IN</t>
  </si>
  <si>
    <t>Disposable</t>
  </si>
  <si>
    <t>Source1</t>
  </si>
  <si>
    <t>CARDINAL_OS1610006</t>
  </si>
  <si>
    <t>CARDINAL_OP9301</t>
  </si>
  <si>
    <t>Customer Code</t>
  </si>
  <si>
    <t>CARDINAL_OS1090007</t>
  </si>
  <si>
    <t>OS293115</t>
  </si>
  <si>
    <t>LINCOLN DISSECT SCISS BLDE LGTH 30MM STR</t>
  </si>
  <si>
    <t>Project_Code</t>
  </si>
  <si>
    <t>GILLS-WELSH VANNAS CAPSULOTOMY SCISS 3IN</t>
  </si>
  <si>
    <t>RUSKIN RONGEUR FORCEPS 6X16MM CUP 7IN</t>
  </si>
  <si>
    <t>UNSPC V24</t>
  </si>
  <si>
    <t>CARDINAL_OS1059</t>
  </si>
  <si>
    <t>LINCOLN DISSECT SCISS BLDE LGTH 27MM CVD</t>
  </si>
  <si>
    <t>QA Code</t>
  </si>
  <si>
    <t>Delivered Date</t>
  </si>
  <si>
    <t>Production User</t>
  </si>
  <si>
    <t>PRODIGO1059217</t>
  </si>
  <si>
    <t>Remarks1</t>
  </si>
  <si>
    <t>SURGICAL SCISSORS</t>
  </si>
  <si>
    <t>Item Description (Long Description 4000)1</t>
  </si>
  <si>
    <t>OS1059</t>
  </si>
  <si>
    <t>PERIOSTEAL ELEV SLIGHT CVD 6MM RND EDGE</t>
  </si>
  <si>
    <t>OSTEOTOME STR BLADE 12MM WIDE 7-1/4IN</t>
  </si>
  <si>
    <t>SZG</t>
  </si>
  <si>
    <t>RefCat</t>
  </si>
  <si>
    <t>PERIOS ELEV PHENOLIC HNDL STR 20MM ROUND</t>
  </si>
  <si>
    <t>Long Description 254 Enriched</t>
  </si>
  <si>
    <t>CARDINAL_OS1612001</t>
  </si>
  <si>
    <t>Location</t>
  </si>
  <si>
    <t>Start Date</t>
  </si>
  <si>
    <t>11kProdigoItemKey</t>
  </si>
  <si>
    <t>Project</t>
  </si>
  <si>
    <t>CARDINAL_OS1088017</t>
  </si>
  <si>
    <t>Remarks</t>
  </si>
  <si>
    <t>PRODIGO1059237</t>
  </si>
  <si>
    <t>QA Comments</t>
  </si>
  <si>
    <t>Tab</t>
  </si>
  <si>
    <t>PRODIGO1059235</t>
  </si>
  <si>
    <t>SU181</t>
  </si>
  <si>
    <t>QE Comments</t>
  </si>
  <si>
    <t>CARDINAL_SU1890</t>
  </si>
  <si>
    <t>BECTON DICKINSON &amp; CO</t>
  </si>
  <si>
    <t>OP2710-001</t>
  </si>
  <si>
    <t>OP2800-007</t>
  </si>
  <si>
    <t>OS1013-005</t>
  </si>
  <si>
    <t>OS1041-328</t>
  </si>
  <si>
    <t>OS1059-002</t>
  </si>
  <si>
    <t>OS1059-003</t>
  </si>
  <si>
    <t>OS1059-004</t>
  </si>
  <si>
    <t>OS1059-005</t>
  </si>
  <si>
    <t>OS1059-006</t>
  </si>
  <si>
    <t>OS1059-007</t>
  </si>
  <si>
    <t>OS1059-008</t>
  </si>
  <si>
    <t>OS1059-009</t>
  </si>
  <si>
    <t>OS1061-032</t>
  </si>
  <si>
    <t>OS1061-038</t>
  </si>
  <si>
    <t>OS1062-019</t>
  </si>
  <si>
    <t>OS1079-005</t>
  </si>
  <si>
    <t>OS1088-011</t>
  </si>
  <si>
    <t>OS1088-013</t>
  </si>
  <si>
    <t>OS1088-015</t>
  </si>
  <si>
    <t>OS1088-017</t>
  </si>
  <si>
    <t>OS1090-002</t>
  </si>
  <si>
    <t>OS1090-004</t>
  </si>
  <si>
    <t>OS1090-005</t>
  </si>
  <si>
    <t>OS1090-006</t>
  </si>
  <si>
    <t>OS1090-007</t>
  </si>
  <si>
    <t>OS1090-008</t>
  </si>
  <si>
    <t>OS1090-009</t>
  </si>
  <si>
    <t>OS1115-002</t>
  </si>
  <si>
    <t>OS1610-006</t>
  </si>
  <si>
    <t>OS1612-001</t>
  </si>
  <si>
    <t>42293001  Surgical calipers or rulers or protractors</t>
  </si>
  <si>
    <t>42296805  Ophthalmic surgery instruments</t>
  </si>
  <si>
    <t>42292601  Surgical dilators</t>
  </si>
  <si>
    <t>42291614  Surgical scissors</t>
  </si>
  <si>
    <t>42291612  Surgical rongeurs</t>
  </si>
  <si>
    <t>42292502  Surgical hammers or mallets</t>
  </si>
  <si>
    <t>42291619  Surgical tomes</t>
  </si>
  <si>
    <t>42292702  Surgical elevators or levers</t>
  </si>
  <si>
    <t>42294219  Orthopedic surgical instrument sets</t>
  </si>
  <si>
    <t>42292501  Surgical tamps</t>
  </si>
  <si>
    <t>42292503  Surgical impactors or packers</t>
  </si>
  <si>
    <t>42293139  Retractor accessories</t>
  </si>
  <si>
    <t>42293107  Surgical retractors</t>
  </si>
  <si>
    <t>CASTROVIEJO CALIPERS COMBINATION MEASURING AND MARKING INSTRUMENT. THUMBSCREW TO HOLD TIPS APART. OVERALL LENGTH 3-1/4IN (8.3CM). CURVED</t>
  </si>
  <si>
    <t>CALIPER, SURGICAL, CASTROVIEJO, 3.25 IN, THUMBSCREW, CURVED, NON STERILE, LATEX</t>
  </si>
  <si>
    <t>CALIPER SURGICAL CASTROVIEJO 3.25 IN THUMBSCREW CURVED NON STERILE LATEX</t>
  </si>
  <si>
    <t>CALIPER, SURG, CASTRO, 3.25 IN, THUMBSCREW, CRV, NS, LTX</t>
  </si>
  <si>
    <t>CALIPER</t>
  </si>
  <si>
    <t>SURGICAL</t>
  </si>
  <si>
    <t>CASTROVIEJO</t>
  </si>
  <si>
    <t>3.25 IN</t>
  </si>
  <si>
    <t>THUMBSCREW, CURVED</t>
  </si>
  <si>
    <t>NON STERILE</t>
  </si>
  <si>
    <t>LATEX</t>
  </si>
  <si>
    <t>https://www.bd.com/en-us/products-and-solutions/products/product-page.OP2710-001#overview, https://accessgudid.nlm.nih.gov/devices/10885403097898</t>
  </si>
  <si>
    <t>KIRBY LENS LOOP 6.5MM X 4MM WIDE. ROUND KNURLED HANDLE. OVERALL LENGTH 5-1/2IN (14CM)</t>
  </si>
  <si>
    <t>LOOP, LENS, KIRBY, 5.5 IN, 6.5X4 MM, KIRBY, ROUND KNURLED HANDLE, NON STERILE, LATEX</t>
  </si>
  <si>
    <t>LOOP LENS KIRBY 5.5 IN 6.5X4 MM KIRBY ROUND KNURLED HANDLE NON STERILE LATEX</t>
  </si>
  <si>
    <t>LOOP, LENS, KIRBY, 5.5 IN, 6.5X4 MM, KIRBY, RND KNURLED HNDL, NS, LTX</t>
  </si>
  <si>
    <t>LOOP, LENS, KIRBY, 5.5 IN, 6.5X4 MM, KIRBY, RND KNURLED HNDL, NS</t>
  </si>
  <si>
    <t>LOOP</t>
  </si>
  <si>
    <t>LENS</t>
  </si>
  <si>
    <t>KIRBY</t>
  </si>
  <si>
    <t>5.5 IN</t>
  </si>
  <si>
    <t>6.5X4 MM</t>
  </si>
  <si>
    <t>KIRBY, ROUND KNURLED HANDLE</t>
  </si>
  <si>
    <t>https://www.bd.com/en-us/products-and-solutions/products/product-page.OP2800-007#overview, https://accessgudid.nlm.nih.gov/devices/10885403097928</t>
  </si>
  <si>
    <t>BERENS PUNCTUM DILATOR OVERALL LENGTH 4-1/2 (11.4CM)</t>
  </si>
  <si>
    <t>DILATOR, SURGICAL, BERENS PUNCTUM, 4.5 IN, NON STERILE, LATEX</t>
  </si>
  <si>
    <t>DILATOR SURGICAL BERENS PUNCTUM 4.5 IN NON STERILE LATEX</t>
  </si>
  <si>
    <t>DILATOR, SURG, BERENS PUNCTUM, 4.5 IN, NS, LTX</t>
  </si>
  <si>
    <t>DILATOR</t>
  </si>
  <si>
    <t>BERENS PUNCTUM</t>
  </si>
  <si>
    <t>4.5 IN</t>
  </si>
  <si>
    <t>https://accessgudid.nlm.nih.gov/devices/10885403099977, https://accessgudid.nlm.nih.gov/devices/10885403099977</t>
  </si>
  <si>
    <t>GILLS-WELSH LENS LOOP OLIVE TIP ON OPPOSITE END. 7MM X 5MM WIDE THIN LOOP. MIRROR AND SATIN FINISH. OVERALL LENGTH 4-3/4IN (12.1CM)</t>
  </si>
  <si>
    <t>LOOP, LENS, GILLS-WELSH, 4.75 IN, 7X5 MM, OLIVE TIP ON OPPOSITE END, THIN LOOP, MIRROR AND SATIN FINISH, NON STERILE, LATEX</t>
  </si>
  <si>
    <t>LOOP LENS GILLS-WELSH 4.75 IN 7X5 MM OLIVE TIP ON OPPOSITE END THIN LOOP MIRROR AND SATIN FINISH NON STERILE LATEX</t>
  </si>
  <si>
    <t>LOOP, LENS, GILLS-WELSH, 4.75 IN, 7X5 MM, OLV TIP ON OPPOSITE END, THN LOOP, MIRROR &amp; SATIN FINISH, NS, LTX</t>
  </si>
  <si>
    <t>LOOP, LENS, GILLS-WELSH, 4.75 IN, 7X5 MM, OLV TIP ON OPPOSITE END</t>
  </si>
  <si>
    <t>GILLS-WELSH</t>
  </si>
  <si>
    <t>4.75 IN</t>
  </si>
  <si>
    <t>7X5 MM</t>
  </si>
  <si>
    <t>OLIVE TIP ON OPPOSITE END, THIN LOOP, MIRROR AND SATIN FINISH</t>
  </si>
  <si>
    <t>https://www.bd.com/en-us/products-and-solutions/products/product-page.OP9301#overview, https://accessgudid.nlm.nih.gov/devices/10885403100680</t>
  </si>
  <si>
    <t>GILLS-WELSH-VANNAS CAPSULOTOMY SCISSORS ANGLED BLADES 5MM FROM MID-SCREW. MIRROR FINISH. OVERALL LENGTH 3IN (7.6CM)</t>
  </si>
  <si>
    <t>SCISSORS, SURGICAL, GILLS-WELSH-VANNAS, 3 IN, 5 MM, CAPSULOTOMY, MIRROR FINISH, NON STERILE, LATEX</t>
  </si>
  <si>
    <t>SCISSORS SURGICAL GILLS-WELSH-VANNAS 3 IN 5 MM CAPSULOTOMY MIRROR FINISH NON STERILE LATEX</t>
  </si>
  <si>
    <t>SCISSORS, SURG, GILLS-WELSH-VANNAS, 3 IN, 5 MM, CAPSLTMY, MIRROR FINISH, NS, LTX</t>
  </si>
  <si>
    <t>SCISSORS, SURG, GILLS-WELSH-VANNAS, 3 IN, 5 MM, CAPSLTMY, MIRROR</t>
  </si>
  <si>
    <t>SCISSORS</t>
  </si>
  <si>
    <t>GILLS-WELSH-VANNAS</t>
  </si>
  <si>
    <t>3 IN</t>
  </si>
  <si>
    <t>5 MM</t>
  </si>
  <si>
    <t>CAPSULOTOMY, MIRROR FINISH</t>
  </si>
  <si>
    <t>https://www.bd.com/en-us/products-and-solutions/products/product-page.OP8615#overview, https://accessgudid.nlm.nih.gov/devices/10885403100703</t>
  </si>
  <si>
    <t>RUSKIN RONGEUR FORCEPS DUCKBILL CURVED PATTERN. CUP 6MM X 16MM. OVERALL LENGTH 7IN (17.8CM)</t>
  </si>
  <si>
    <t>RONGEUR, SURGICAL, RUSKIN, 7 IN, 6X16 MM, FORCEP, DUCKBILL, CURVED PATTERN, CUP, NON STERILE, LATEX</t>
  </si>
  <si>
    <t>RONGEUR SURGICAL RUSKIN 7 IN 6X16 MM FORCEP DUCKBILL CURVED PATTERN CUP NON STERILE LATEX</t>
  </si>
  <si>
    <t>RONGEUR, SURG, RUSKIN, 7 IN, 6X16 MM, FORCEP, DUCKBILL, CRV PAT, CUP, NS, LTX</t>
  </si>
  <si>
    <t>RONGEUR, SURG, RUSKIN, 7 IN, 6X16 MM, FORCEP, DUCKBILL, CRV PAT, CUP</t>
  </si>
  <si>
    <t>RONGEUR</t>
  </si>
  <si>
    <t>RUSKIN</t>
  </si>
  <si>
    <t>7 IN</t>
  </si>
  <si>
    <t>6X16 MM</t>
  </si>
  <si>
    <t>FORCEP, DUCKBILL, CURVED PATTERN, CUP</t>
  </si>
  <si>
    <t>https://www.bd.com/en-us/products-and-solutions/products/product-page.OS1013-005#overview, https://accessgudid.nlm.nih.gov/devices/10885403102035</t>
  </si>
  <si>
    <t>MALLET HEAD 25MM OVERALL LENGTH 9-1/2 (24.1CM)</t>
  </si>
  <si>
    <t>MALLET, SURGICAL, 9.5 IN, 25 MM, NON STERILE, LATEX</t>
  </si>
  <si>
    <t>MALLET SURGICAL 9.5 IN 25 MM NON STERILE LATEX</t>
  </si>
  <si>
    <t>MALLET, SURG, 9.5 IN, 25 MM, NS, LTX</t>
  </si>
  <si>
    <t>MALLET</t>
  </si>
  <si>
    <t>9.5 IN</t>
  </si>
  <si>
    <t>25 MM</t>
  </si>
  <si>
    <t>https://accessgudid.nlm.nih.gov/devices/10885403105944, https://accessgudid.nlm.nih.gov/devices/10885403105944</t>
  </si>
  <si>
    <t>SMALL OSTEOTOMES OVERALL LENGTH 7-1/4IN (18.5CM). SET INCLUDES 8 OSTEOTOMES AND 1 MALLET</t>
  </si>
  <si>
    <t>OSTEOTOME, SURGICAL, SMALL, 7.25 IN, SET, 8 OSTEOTOMES AND 1 MALLET, NON STERILE, LATEX</t>
  </si>
  <si>
    <t>OSTEOTOME SURGICAL SMALL 7.25 IN SET 8 OSTEOTOMES AND 1 MALLET NON STERILE LATEX</t>
  </si>
  <si>
    <t>OSTEOTOME, SURG, SM, 7.25 IN, SET, 8 OSTEOTOMES &amp; 1 MALLET, NS, LTX</t>
  </si>
  <si>
    <t>OSTEOTOME</t>
  </si>
  <si>
    <t>SMALL</t>
  </si>
  <si>
    <t>7.25 IN</t>
  </si>
  <si>
    <t>SET, 8 OSTEOTOMES AND 1 MALLET</t>
  </si>
  <si>
    <t>https://www.bd.com/en-us/products-and-solutions/products/product-page.OS1059#overview, https://accessgudid.nlm.nih.gov/devices/10885403063305</t>
  </si>
  <si>
    <t>SMALL OSTEOTOMES OVERALL LENGTH 7-1/4IN (18.5CM). STRAIGHT. BLADE 22MM WIDE</t>
  </si>
  <si>
    <t>OSTEOTOME, SURGICAL, SMALL, 7.25 IN, 22 MM, STRAIGHT, BLADE, NON STERILE, LATEX</t>
  </si>
  <si>
    <t>OSTEOTOME SURGICAL SMALL 7.25 IN 22 MM STRAIGHT BLADE NON STERILE LATEX</t>
  </si>
  <si>
    <t>OSTEOTOME, SURG, SM, 7.25 IN, 22 MM, STR, BLADE, NS, LTX</t>
  </si>
  <si>
    <t>22 MM</t>
  </si>
  <si>
    <t>STRAIGHT, BLADE</t>
  </si>
  <si>
    <t>https://www.bd.com/en-us/products-and-solutions/products/product-page.OS1059-002#overview, https://accessgudid.nlm.nih.gov/devices/10885403063312</t>
  </si>
  <si>
    <t>SMALL OSTEOTOMES OVERALL LENGTH 7-1/4IN (18.5CM). STRAIGHT. BLADE 16MM WIDE</t>
  </si>
  <si>
    <t>OSTEOTOME, SURGICAL, SMALL, 7.25 IN, 16 MM, STRAIGHT, BLADE, NON STERILE, LATEX</t>
  </si>
  <si>
    <t>OSTEOTOME SURGICAL SMALL 7.25 IN 16 MM STRAIGHT BLADE NON STERILE LATEX</t>
  </si>
  <si>
    <t>OSTEOTOME, SURG, SM, 7.25 IN, 16 MM, STR, BLADE, NS, LTX</t>
  </si>
  <si>
    <t>16 MM</t>
  </si>
  <si>
    <t>https://www.bd.com/en-us/products-and-solutions/products/product-page.OS1059-003#overview, https://accessgudid.nlm.nih.gov/devices/10885403063329</t>
  </si>
  <si>
    <t>SMALL OSTEOTOMES OVERALL LENGTH 7-1/4IN (18.5CM). STRAIGHT. BLADE 12MM WIDE</t>
  </si>
  <si>
    <t>OSTEOTOME, SURGICAL, SMALL, 7.25 IN, 12 MM, STRAIGHT, BLADE, NON STERILE, LATEX</t>
  </si>
  <si>
    <t>OSTEOTOME SURGICAL SMALL 7.25 IN 12 MM STRAIGHT BLADE NON STERILE LATEX</t>
  </si>
  <si>
    <t>OSTEOTOME, SURG, SM, 7.25 IN, 12 MM, STR, BLADE, NS, LTX</t>
  </si>
  <si>
    <t>12 MM</t>
  </si>
  <si>
    <t>https://www.bd.com/en-us/products-and-solutions/products/product-page.OS1059-004#overview, https://accessgudid.nlm.nih.gov/devices/10885403063336</t>
  </si>
  <si>
    <t>SMALL OSTEOTOMES OVERALL LENGTH 7-1/4IN (18.5CM). STRAIGHT. BLADE 10MM WIDE</t>
  </si>
  <si>
    <t>OSTEOTOME, SURGICAL, SMALL, 7.25 IN, 10 MM, STRAIGHT, BLADE, NON STERILE, LATEX</t>
  </si>
  <si>
    <t>OSTEOTOME SURGICAL SMALL 7.25 IN 10 MM STRAIGHT BLADE NON STERILE LATEX</t>
  </si>
  <si>
    <t>OSTEOTOME, SURG, SM, 7.25 IN, 10 MM, STR, BLADE, NS, LTX</t>
  </si>
  <si>
    <t>10 MM</t>
  </si>
  <si>
    <t>https://www.bd.com/en-us/products-and-solutions/products/product-print-page.os1059-005, https://accessgudid.nlm.nih.gov/devices/10885403063343</t>
  </si>
  <si>
    <t>SMALL OSTEOTOMES OVERALL LENGTH 7-1/4IN (18.5CM). STRAIGHT. BLADE 8MM WIDE</t>
  </si>
  <si>
    <t>OSTEOTOME, SURGICAL, SMALL, 7.25 IN, 8 MM, STRAIGHT, BLADE, NON STERILE, LATEX</t>
  </si>
  <si>
    <t>OSTEOTOME SURGICAL SMALL 7.25 IN 8 MM STRAIGHT BLADE NON STERILE LATEX</t>
  </si>
  <si>
    <t>OSTEOTOME, SURG, SM, 7.25 IN, 8 MM, STR, BLADE, NS, LTX</t>
  </si>
  <si>
    <t>8 MM</t>
  </si>
  <si>
    <t>https://www.bd.com/en-us/products-and-solutions/products/product-page.OS1059-006#overview, https://accessgudid.nlm.nih.gov/devices/10885403063350</t>
  </si>
  <si>
    <t>SMALL OSTEOTOMES OVERALL LENGTH 7-1/4IN (18.5CM). CURVED. BLADE 7MM WIDE</t>
  </si>
  <si>
    <t>OSTEOTOME, SURGICAL, SMALL, 7.25 IN, 7 MM, CURVED, BLADE, NON STERILE, LATEX</t>
  </si>
  <si>
    <t>OSTEOTOME SURGICAL SMALL 7.25 IN 7 MM CURVED BLADE NON STERILE LATEX</t>
  </si>
  <si>
    <t>OSTEOTOME, SURG, SM, 7.25 IN, 7 MM, CRV, BLADE, NS, LTX</t>
  </si>
  <si>
    <t>7 MM</t>
  </si>
  <si>
    <t>CURVED, BLADE</t>
  </si>
  <si>
    <t>https://www.bd.com/en-us/products-and-solutions/products/product-page.OS1059-007#overview, https://accessgudid.nlm.nih.gov/devices/10885403063367</t>
  </si>
  <si>
    <t>SMALL OSTEOTOMES OVERALL LENGTH 7-1/4IN (18.5CM). STRAIGHT. BLADE 6MM WIDE</t>
  </si>
  <si>
    <t>OSTEOTOME, SURGICAL, SMALL, 7.25 IN, 6 MM, STRAIGHT, BLADE, NON STERILE, LATEX</t>
  </si>
  <si>
    <t>OSTEOTOME SURGICAL SMALL 7.25 IN 6 MM STRAIGHT BLADE NON STERILE LATEX</t>
  </si>
  <si>
    <t>OSTEOTOME, SURG, SM, 7.25 IN, 6 MM, STR, BLADE, NS, LTX</t>
  </si>
  <si>
    <t>6 MM</t>
  </si>
  <si>
    <t>https://www.bd.com/en-us/products-and-solutions/products/product-page.OS1059-008#overview, https://accessgudid.nlm.nih.gov/devices/10885403063374</t>
  </si>
  <si>
    <t xml:space="preserve">SMALL OSTEOTOMES OVERALL LENGTH 7-1/4IN (18.5CM). STRAIGHT. BLADE 4MM WIDE </t>
  </si>
  <si>
    <t>OSTEOTOME, SURGICAL, SMALL, 7.25 IN, 4 MM, STRAIGHT, BLADE, NON STERILE, LATEX</t>
  </si>
  <si>
    <t>OSTEOTOME SURGICAL SMALL 7.25 IN 4 MM STRAIGHT BLADE NON STERILE LATEX</t>
  </si>
  <si>
    <t>OSTEOTOME, SURG, SM, 7.25 IN, 4 MM, STR, BLADE, NS, LTX</t>
  </si>
  <si>
    <t>4 MM</t>
  </si>
  <si>
    <t>https://www.bd.com/en-us/products-and-solutions/products/product-page.OS1059-009, https://accessgudid.nlm.nih.gov/devices/10885403063381</t>
  </si>
  <si>
    <t>LAMBOTTE OSTEOTOMES CURVED. OVERALL LENGTH 9IN (23CM). BLADE 1-1/4IN (32MM) WIDE</t>
  </si>
  <si>
    <t>OSTEOTOME, SURGICAL, LAMBOTTE, 9 IN, 32 MM, CURVED, BLADE, NON STERILE, LATEX</t>
  </si>
  <si>
    <t>OSTEOTOME SURGICAL LAMBOTTE 9 IN 32 MM CURVED BLADE NON STERILE LATEX</t>
  </si>
  <si>
    <t>OSTEOTOME, SURG, LAMBOTTE, 9 IN, 32 MM, CRV, BLADE, NS, LTX</t>
  </si>
  <si>
    <t>LAMBOTTE</t>
  </si>
  <si>
    <t>9 IN</t>
  </si>
  <si>
    <t>32 MM</t>
  </si>
  <si>
    <t>https://www.bd.com/en-us/products-and-solutions/products/product-page.os1061-032#overview, https://accessgudid.nlm.nih.gov/devices/10885403101243</t>
  </si>
  <si>
    <t xml:space="preserve">LAMBOTTE OSTEOTOMES CURVED. OVERALL LENGTH 9IN (23CM). BLADE 1-1/2IN (38MM) WIDE </t>
  </si>
  <si>
    <t>OSTEOTOME, SURGICAL, LAMBOTTE, 9 IN, 38 MM, CURVED, BLADE, SATIN FINISH, STAINLESS STEEL, NON STERILE, LATEX</t>
  </si>
  <si>
    <t>OSTEOTOME SURGICAL LAMBOTTE 9 IN 38 MM CURVED BLADE SATIN FINISH STAINLESS STEEL NON STERILE LATEX</t>
  </si>
  <si>
    <t>OSTEOTOME, SURG, LAMBOTTE, 9 IN, 38 MM, CRV, BLADE, SATIN FINISH, SS, NS, LTX</t>
  </si>
  <si>
    <t>OSTEOTOME, SURG, LAMBOTTE, 9 IN, 38 MM, CRV, BLADE, SATIN FINISH, SS</t>
  </si>
  <si>
    <t>38 MM</t>
  </si>
  <si>
    <t>CURVED, BLADE, SATIN FINISH</t>
  </si>
  <si>
    <t>STAINLESS STEEL</t>
  </si>
  <si>
    <t>https://www.bd.com/en-us/products-and-solutions/products/product-page.OS1061-038#overview, https://accessgudid.nlm.nih.gov/devices/10885403101250</t>
  </si>
  <si>
    <t>LAMBOTTE MINI OSTEOTOMES STRAIGHT. OVERALL LENGTH 5IN (12.7CM). BLADE 19MM WIDE</t>
  </si>
  <si>
    <t>OSTEOTOME, SURGICAL, LAMBOTTE, MINI, 5 IN, 19 MM, STRAIGHT, BLADE, SATIN FINISH, STAINLESS STEEL, NON STERILE, LATEX</t>
  </si>
  <si>
    <t>OSTEOTOME SURGICAL LAMBOTTE MINI 5 IN 19 MM STRAIGHT BLADE SATIN FINISH STAINLESS STEEL NON STERILE LATEX</t>
  </si>
  <si>
    <t>OSTEOTOME, SURG, LAMBOTTE, MINI, 5 IN, 19 MM, STR, BLADE, SATIN FINISH, SS, NS, LTX</t>
  </si>
  <si>
    <t>OSTEOTOME, SURG, LAMBOTTE, MINI, 5 IN, 19 MM, STR, BLADE, SATIN</t>
  </si>
  <si>
    <t>MINI</t>
  </si>
  <si>
    <t>5 IN</t>
  </si>
  <si>
    <t>19 MM</t>
  </si>
  <si>
    <t>STRAIGHT, BLADE, SATIN FINISH</t>
  </si>
  <si>
    <t>https://www.bd.com/en-us/products-and-solutions/products/product-page.OS1062-019, https://accessgudid.nlm.nih.gov/devices/10885403102134</t>
  </si>
  <si>
    <t>KEY PERIOSTEAL ELEVATORS 5/8IN (15.8MM) WIDE. OVERALL LENGTH 7-3/4IN (19.7CM)</t>
  </si>
  <si>
    <t>ELEVATOR, SURGICAL, KEY, 7.75 IN, 15.8 MM, PERIOSTEAL, SATIN FINISH, NON STERILE, LATEX</t>
  </si>
  <si>
    <t>ELEVATOR SURGICAL KEY 7.75 IN 15.8 MM PERIOSTEAL SATIN FINISH NON STERILE LATEX</t>
  </si>
  <si>
    <t>ELEVATOR, SURG, KEY, 7.75 IN, 15.8 MM, PERIOST, SATIN FINISH, NS, LTX</t>
  </si>
  <si>
    <t>ELEVATOR, SURG, KEY, 7.75 IN, 15.8 MM, PERIOST, SATIN FINISH, NS</t>
  </si>
  <si>
    <t>ELEVATOR</t>
  </si>
  <si>
    <t>KEY</t>
  </si>
  <si>
    <t>7.75 IN</t>
  </si>
  <si>
    <t>15.8 MM</t>
  </si>
  <si>
    <t>PERIOSTEAL, SATIN FINISH</t>
  </si>
  <si>
    <t>https://www.bd.com/en-us/products-and-solutions/products/product-page.OS1079-005#specifications, https://accessgudid.nlm.nih.gov/devices/10885403102202</t>
  </si>
  <si>
    <t>METATARSAL ELEVATORS OVERALL LENGTH 6-1/2IN (16.5CM). BLADE 11MM WIDE</t>
  </si>
  <si>
    <t>ELEVATOR, SURGICAL, 6.5 IN, 11 MM, METATARSAL, WITH BLADE, NON STERILE, LATEX</t>
  </si>
  <si>
    <t>ELEVATOR SURGICAL 6.5 IN 11 MM METATARSAL WITH BLADE NON STERILE LATEX</t>
  </si>
  <si>
    <t>ELEVATOR, SURG, 6.5 IN, 11 MM, METATRSL, W/ BLADE, NS, LTX</t>
  </si>
  <si>
    <t>6.5 IN</t>
  </si>
  <si>
    <t>11 MM</t>
  </si>
  <si>
    <t>METATARSAL</t>
  </si>
  <si>
    <t>WITH BLADE</t>
  </si>
  <si>
    <t>https://www.bd.com/en-us/products-and-solutions/products/product-page.os1088-011#specifications, https://accessgudid.nlm.nih.gov/devices/10885403102271</t>
  </si>
  <si>
    <t>METATARSAL ELEVATORS OVERALL LENGTH 6-1/2IN (16.5CM). BLADE 13MM WIDE</t>
  </si>
  <si>
    <t>ELEVATOR, SURGICAL, 6.5 IN, 13 MM, METATARSAL, WITH BLADE, NON STERILE, LATEX</t>
  </si>
  <si>
    <t>ELEVATOR SURGICAL 6.5 IN 13 MM METATARSAL WITH BLADE NON STERILE LATEX</t>
  </si>
  <si>
    <t>ELEVATOR, SURG, 6.5 IN, 13 MM, METATRSL, W/ BLADE, NS, LTX</t>
  </si>
  <si>
    <t>13 MM</t>
  </si>
  <si>
    <t>https://www.bd.com/en-us/products-and-solutions/products/product-page.os1088-013#specifications, https://accessgudid.nlm.nih.gov/devices/10885403102288</t>
  </si>
  <si>
    <t>METATARSAL ELEVATORS OVERALL LENGTH 6-1/2IN (16.5CM). BLADE 15MM WIDE</t>
  </si>
  <si>
    <t>ELEVATOR, SURGICAL, 6.5 IN, 15 MM, METATARSAL, WITH BLADE, NON STERILE, LATEX</t>
  </si>
  <si>
    <t>ELEVATOR SURGICAL 6.5 IN 15 MM METATARSAL WITH BLADE NON STERILE LATEX</t>
  </si>
  <si>
    <t>ELEVATOR, SURG, 6.5 IN, 15 MM, METATRSL, W/ BLADE, NS, LTX</t>
  </si>
  <si>
    <t>15 MM</t>
  </si>
  <si>
    <t>https://www.bd.com/en-us/products-and-solutions/products/product-page.os1088-015#overview, https://accessgudid.nlm.nih.gov/devices/10885403102295</t>
  </si>
  <si>
    <t>METATARSAL ELEVATORS OVERALL LENGTH 6-1/2IN (16.5CM). BLADE 17MM WIDE</t>
  </si>
  <si>
    <t>ELEVATOR, SURGICAL, 6.5 IN, 17 MM, METATARSAL, WITH BLADE, NON STERILE, LATEX</t>
  </si>
  <si>
    <t>ELEVATOR SURGICAL 6.5 IN 17 MM METATARSAL WITH BLADE NON STERILE LATEX</t>
  </si>
  <si>
    <t>ELEVATOR, SURG, 6.5 IN, 17 MM, METATRSL, W/ BLADE, NS, LTX</t>
  </si>
  <si>
    <t>17 MM</t>
  </si>
  <si>
    <t>https://www.bd.com/en-us/products-and-solutions/products/product-page.OS1088-017#overview, https://accessgudid.nlm.nih.gov/devices/10885403102301</t>
  </si>
  <si>
    <t>PERIOSTEAL ELEVATOR PHENOLIC HANDLE. SLIGHT CURVE. STRAIGHT EDGE. BLADE 6MM. OVERALL LENGTH 7-1/4IN (18.4CM)</t>
  </si>
  <si>
    <t>ELEVATOR, SURGICAL, 7.25 IN, 6 MM, PERIOSTEAL, WITH BLADE, PHENOLIC HANDLE, SLIGHT CURVE, STRAIGHT EDGE, NON STERILE, LATEX</t>
  </si>
  <si>
    <t>ELEVATOR SURGICAL 7.25 IN 6 MM PERIOSTEAL WITH BLADE PHENOLIC HANDLE SLIGHT CURVE STRAIGHT EDGE NON STERILE LATEX</t>
  </si>
  <si>
    <t>ELEVATOR, SURG, 7.25 IN, 6 MM, PERIOST, W/ BLADE, PHENOLIC HNDL, SLGHT CRV, STR EDGE, NS, LTX</t>
  </si>
  <si>
    <t>ELEVATOR, SURG, 7.25 IN, 6 MM, PERIOST, SLGHT CRV, STR EDGE, NS, LTX</t>
  </si>
  <si>
    <t>PERIOSTEAL</t>
  </si>
  <si>
    <t>WITH BLADE, PHENOLIC HANDLE, SLIGHT CURVE, STRAIGHT EDGE</t>
  </si>
  <si>
    <t>https://www.bd.com/en-us/products-and-solutions/products/product-page.OS1090-002#overview, https://accessgudid.nlm.nih.gov/devices/10885403102325</t>
  </si>
  <si>
    <t>PERIOSTEAL ELEVATOR PHENOLIC HANDLE. SLIGHT CURVE. ROUND EDGE. BLADE 6MM. OVERALL LENGTH 7-1/4IN (18.4CM)</t>
  </si>
  <si>
    <t>ELEVATOR, SURGICAL, 7.25 IN, 6 MM, PERIOSTEAL, WITH BLADE, PHENOLIC HANDLE, SLIGHT CURVE, ROUND EDGE, NON STERILE, LATEX</t>
  </si>
  <si>
    <t>ELEVATOR SURGICAL 7.25 IN 6 MM PERIOSTEAL WITH BLADE PHENOLIC HANDLE SLIGHT CURVE ROUND EDGE NON STERILE LATEX</t>
  </si>
  <si>
    <t>ELEVATOR, SURG, 7.25 IN, 6 MM, PERIOST, W/ BLADE, PHENOLIC HNDL, SLGHT CRV, RND EDGE, NS, LTX</t>
  </si>
  <si>
    <t>ELEVATOR, SURG, 7.25 IN, 6 MM, PERIOST, SLGHT CRV, RND EDGE, NS, LTX</t>
  </si>
  <si>
    <t>WITH BLADE, PHENOLIC HANDLE, SLIGHT CURVE, ROUND EDGE</t>
  </si>
  <si>
    <t>https://www.bd.com/en-us/products-and-solutions/products/product-page.OS1090-004#overview, https://accessgudid.nlm.nih.gov/devices/10885403102349</t>
  </si>
  <si>
    <t>PERIOSTEAL ELEVATOR STRAIGHT. PHENOLIC HANDLE. ROUND EDGE. BLADE 14MM. OVERALL LENGTH 7-3/4IN (19.7CM)</t>
  </si>
  <si>
    <t>ELEVATOR, SURGICAL, 7.75 IN, 14 MM, PERIOSTEAL, WITH BLADE, STRAIGHT, PHENOLIC HANDLE. ROUND EDGE, NON STERILE, LATEX</t>
  </si>
  <si>
    <t>ELEVATOR SURGICAL 7.75 IN 14 MM PERIOSTEAL WITH BLADE STRAIGHT PHENOLIC HANDLE. ROUND EDGE NON STERILE LATEX</t>
  </si>
  <si>
    <t>ELEVATOR, SURG, 7.75 IN, 14 MM, PERIOST, W/ BLADE, STR, PHENOLIC HANDLE. RND EDGE, NS, LTX</t>
  </si>
  <si>
    <t>ELEVATOR, SURG, 7.75 IN, 14 MM, PERIOST, W/ BLADE, STR, HANDLE</t>
  </si>
  <si>
    <t>14 MM</t>
  </si>
  <si>
    <t>WITH BLADE, STRAIGHT, PHENOLIC HANDLE. ROUND EDGE</t>
  </si>
  <si>
    <t>https://www.bd.com/en-us/products-and-solutions/products/product-page.OS1090-005, https://accessgudid.nlm.nih.gov/devices/10885403102356</t>
  </si>
  <si>
    <t>PERIOSTEAL ELEVATOR PHENOLIC HANDLE. STRONG CURVE. ROUND EDGE. BLADE 14MM. OVERALL LENGTH 7-3/4IN (19.7CM)</t>
  </si>
  <si>
    <t>ELEVATOR, SURGICAL, 7.75 IN, 14 MM, PERIOSTEAL, PHENOLIC HANDLE, STRONG CURVE, ROUND EDGE, NON STERILE, LATEX</t>
  </si>
  <si>
    <t>ELEVATOR SURGICAL 7.75 IN 14 MM PERIOSTEAL PHENOLIC HANDLE STRONG CURVE ROUND EDGE NON STERILE LATEX</t>
  </si>
  <si>
    <t>ELEVATOR, SURG, 7.75 IN, 14 MM, PERIOST, PHENOLIC HNDL, STR CRV, RND EDGE, NS, LTX</t>
  </si>
  <si>
    <t>ELEVATOR, SURG, 7.75 IN, 14 MM, PERIOST, PHENOLIC HNDL, STR CRV</t>
  </si>
  <si>
    <t>PHENOLIC HANDLE, STRONG CURVE, ROUND EDGE</t>
  </si>
  <si>
    <t>https://www.bd.com/en-us/products-and-solutions/products/product-page.OS1090-006#overview, https://accessgudid.nlm.nih.gov/devices/10885403102363</t>
  </si>
  <si>
    <t>PERIOSTEAL ELEVATOR STRAIGHT. PHENOLIC HANDLE. STRAIGHT EDGE. BLADE 13MM. OVERALL LENGTH 7-1/4IN (18.4CM)</t>
  </si>
  <si>
    <t>ELEVATOR, SURGICAL, 7.25 IN, 13 MM, PERIOSTEAL, STRAIGHT, PHENOLIC HANDLE, STRAIGHT EDGE, NON STERILE, LATEX</t>
  </si>
  <si>
    <t>ELEVATOR SURGICAL 7.25 IN 13 MM PERIOSTEAL STRAIGHT PHENOLIC HANDLE STRAIGHT EDGE NON STERILE LATEX</t>
  </si>
  <si>
    <t>ELEVATOR, SURG, 7.25 IN, 13 MM, PERIOST, STR, PHENOLIC HNDL, STR EDGE, NS, LTX</t>
  </si>
  <si>
    <t>ELEVATOR, SURG, 7.25 IN, 13 MM, PERIOST, STR, PHENOLIC HNDL, EDGE</t>
  </si>
  <si>
    <t>STRAIGHT, PHENOLIC HANDLE, STRAIGHT EDGE</t>
  </si>
  <si>
    <t>https://www.bd.com/en-us/products-and-solutions/products/product-page.OS1090-007#overview, https://accessgudid.nlm.nih.gov/devices/10885403102370</t>
  </si>
  <si>
    <t>PERIOSTEAL ELEVATOR PHENOLIC HANDLE. STRONG CURVE. STRAIGHT EDGE. BLADE 13MM. OVERALL LENGTH 7-1/2IN (19CM)</t>
  </si>
  <si>
    <t>ELEVATOR, SURGICAL, 7.5 IN, 13 MM, PERIOSTEAL, PHENOLIC HANDLE, STRONG CURVE, STRAIGHT EDGE, NON STERILE, LATEX</t>
  </si>
  <si>
    <t>ELEVATOR SURGICAL 7.5 IN 13 MM PERIOSTEAL PHENOLIC HANDLE STRONG CURVE STRAIGHT EDGE NON STERILE LATEX</t>
  </si>
  <si>
    <t>ELEVATOR, SURG, 7.5 IN, 13 MM, PERIOST, PHENOLIC HNDL, STR CRV, STR EDGE, NS, LTX</t>
  </si>
  <si>
    <t>ELEVATOR, SURG, 7.5 IN, 13 MM, PERIOST, PHENOLIC HNDL, STR CRV</t>
  </si>
  <si>
    <t>7.5 IN</t>
  </si>
  <si>
    <t>PHENOLIC HANDLE, STRONG CURVE, STRAIGHT EDGE</t>
  </si>
  <si>
    <t>https://www.bd.com/en-us/products-and-solutions/products/product-page.OS1090-008#specifications, https://accessgudid.nlm.nih.gov/devices/10885403102387</t>
  </si>
  <si>
    <t>PERIOSTEAL ELEVATOR STRAIGHT. PHENOLIC HANDLE. ROUND EDGE. BLADE 20MM. OVERALL LENGTH 7-3/4IN (19.7CM)</t>
  </si>
  <si>
    <t>ELEVATOR, SURGICAL, 7.75 IN, 20 MM, PERIOSTEAL, STRAIGHT, PHENOLIC HANDLE, ROUND EDGE, NON STERILE, LATEX</t>
  </si>
  <si>
    <t>ELEVATOR SURGICAL 7.75 IN 20 MM PERIOSTEAL STRAIGHT PHENOLIC HANDLE ROUND EDGE NON STERILE LATEX</t>
  </si>
  <si>
    <t>ELEVATOR, SURG, 7.75 IN, 20 MM, PERIOST, STR, PHENOLIC HNDL, RND EDGE, NS, LTX</t>
  </si>
  <si>
    <t>ELEVATOR, SURG, 7.75 IN, 20 MM, PERIOST, STR, PHENOLIC HNDL, RND</t>
  </si>
  <si>
    <t>20 MM</t>
  </si>
  <si>
    <t>STRAIGHT, PHENOLIC HANDLE, ROUND EDGE</t>
  </si>
  <si>
    <t>https://www.bd.com/en-us/products-and-solutions/products/product-page.OS1090-009#specifications, https://accessgudid.nlm.nih.gov/devices/10885403102394</t>
  </si>
  <si>
    <t>MCINDOE RONGEUR FORCEPS DOUBLE-ACTION SLIGHTLY CURVED JAWS 5MM WIDE OVERALL LENGTH 6 (15.2CM)</t>
  </si>
  <si>
    <t>RONGEUR, SURGICAL, MCINDOE, 6 IN, 5 MM, FORCEP, SLIGHTLY CURVED DOUBLE ACTION, NON STERILE, LATEX</t>
  </si>
  <si>
    <t>RONGEUR SURGICAL MCINDOE 6 IN 5 MM FORCEP SLIGHTLY CURVED DOUBLE ACTION NON STERILE LATEX</t>
  </si>
  <si>
    <t>RONGEUR, SURG, MCINDOE, 6 IN, 5 MM, FORCEP, SLIGHTLY CRV DBL ACT, NS, LTX</t>
  </si>
  <si>
    <t>RONGEUR, SURG, MCINDOE, 6 IN, 5 MM, FORCEP, SLIGHTLY CRV DBL ACT</t>
  </si>
  <si>
    <t>MCINDOE</t>
  </si>
  <si>
    <t>6 IN</t>
  </si>
  <si>
    <t>FORCEP, SLIGHTLY CURVED DOUBLE ACTION</t>
  </si>
  <si>
    <t>https://accessgudid.nlm.nih.gov/devices/10885403102424, https://accessgudid.nlm.nih.gov/devices/10885403102424</t>
  </si>
  <si>
    <t>BANKART/KOLBEL-TYPE STANDARD ORTHOPEDIC REPAIR SET</t>
  </si>
  <si>
    <t>ORTHOPEDIC SET, BANKART/KOLBEL, STANDARD, 8.25 IN, 55X22 MM, REPAIR, PENETRATING GOUGE, RICHARDSON-TYPE RETRACTOR, BLADE, OVERA, NON STERILE, LATEX</t>
  </si>
  <si>
    <t>ORTHOPEDIC SET BANKART/KOLBEL STANDARD 8.25 IN 55X22 MM REPAIR PENETRATING GOUGE RICHARDSON-TYPE RETRACTOR BLADE OVERA NON STERILE LATEX</t>
  </si>
  <si>
    <t>ORTHOPEDIC SET, BANKART/KOLBEL, STD, 8.25 IN, 55X22 MM, REP, PEN GOUGE, RICHARDSON-TYPE RETRACTOR, BLADE, OVERA, NS, LTX</t>
  </si>
  <si>
    <t>ORTHOPEDIC SET, BANKART/KOLBEL, STD, 8.25 IN, 55X22 MM, PEN GOUGE</t>
  </si>
  <si>
    <t>ORTHOPEDIC SET</t>
  </si>
  <si>
    <t>BANKART/KOLBEL</t>
  </si>
  <si>
    <t>STANDARD</t>
  </si>
  <si>
    <t>8.25 IN</t>
  </si>
  <si>
    <t>55X22 MM</t>
  </si>
  <si>
    <t>REPAIR, PENETRATING GOUGE, RICHARDSON-TYPE RETRACTOR, BLADE, OVERA</t>
  </si>
  <si>
    <t>https://www.bd.com/en-us/products-and-solutions/products/product-page.OS1400#overview, https://accessgudid.nlm.nih.gov/devices/10885403160165</t>
  </si>
  <si>
    <t>MEAD MALLETS HEAD DIAMETER 1IN (26MM). WEIGHT 11OZ (312G). MIRROR FINISH. NYLON REPLACEMENT CAPS ONLY</t>
  </si>
  <si>
    <t>MALLET, SURGICAL, MEAD, 1 IN, 11 OZ, MIRROR FINISH, NYLON REPLACEMENT CAP, WITH HEAD, NON STERILE, LATEX</t>
  </si>
  <si>
    <t>MALLET SURGICAL MEAD 1 IN 11 OZ MIRROR FINISH NYLON REPLACEMENT CAP WITH HEAD NON STERILE LATEX</t>
  </si>
  <si>
    <t>MALLET, SURG, MEAD, 1 IN, 11 OZ, MIRROR FINISH, NYL REPL CAP, W/ HD, NS, LTX</t>
  </si>
  <si>
    <t>MALLET, SURG, MEAD, 1 IN, 11 OZ, MIRROR FINISH, NYL REPL CAP, HD, NS</t>
  </si>
  <si>
    <t>MEAD</t>
  </si>
  <si>
    <t>1 IN</t>
  </si>
  <si>
    <t>11 OZ</t>
  </si>
  <si>
    <t>MIRROR FINISH, NYLON REPLACEMENT CAP, WITH HEAD</t>
  </si>
  <si>
    <t>https://www.bd.com/en-us/products-and-solutions/products/product-page.OS1521#overview, https://accessgudid.nlm.nih.gov/devices/10885403102530</t>
  </si>
  <si>
    <t>BONE TAMPS CROSS-SERRATED TIP. OVERALL LENGTH 6-1/4IN (15.9CM). TIP DIAMETER 6MM</t>
  </si>
  <si>
    <t>TAMPS, BONE, 6.25 IN, 6 MM, CROSS SERRATED TIP, STAINLESS STEEL, NON STERILE, LATEX</t>
  </si>
  <si>
    <t>TAMPS BONE 6.25 IN 6 MM CROSS SERRATED TIP STAINLESS STEEL NON STERILE LATEX</t>
  </si>
  <si>
    <t>TAMPS, BNE, 6.25 IN, 6 MM, CROSS SERRATED TIP, SS, NS, LTX</t>
  </si>
  <si>
    <t>TAMPS</t>
  </si>
  <si>
    <t>BONE</t>
  </si>
  <si>
    <t>6.25 IN</t>
  </si>
  <si>
    <t>CROSS SERRATED TIP</t>
  </si>
  <si>
    <t>https://www.bd.com/en-us/products-and-solutions/products/product-page.OS1610-006#overview, https://accessgudid.nlm.nih.gov/devices/10885403102615</t>
  </si>
  <si>
    <t>BONE IMPACTORS WITH REPLACEABLE NYLON CAPS. HEAD DIAMETER 20MM. ALUMINUM. OVERALL LENGTH 6-1/2IN (16.5CM)</t>
  </si>
  <si>
    <t>IMPACTOR, SURGICAL, 6.5 IN, 20 MM, BONE, REPLACEABLE CAP, NYLON, ALUMINUM, NON STERILE, LATEX</t>
  </si>
  <si>
    <t>IMPACTOR SURGICAL 6.5 IN 20 MM BONE REPLACEABLE CAP NYLON ALUMINUM NON STERILE LATEX</t>
  </si>
  <si>
    <t>IMPACTOR, SURG, 6.5 IN, 20 MM, BNE, REPLACEABLE CAP, NYL, ALUM, NS, LTX</t>
  </si>
  <si>
    <t>IMPACTOR, SURG, 6.5 IN, 20 MM, BNE, REPLACEABLE CAP, NYL, ALUM, NS</t>
  </si>
  <si>
    <t>IMPACTOR</t>
  </si>
  <si>
    <t>REPLACEABLE CAP</t>
  </si>
  <si>
    <t>NYLON, ALUMINUM</t>
  </si>
  <si>
    <t>https://www.bd.com/en-us/products-and-solutions/products/product-page.OS1612#overview, https://accessgudid.nlm.nih.gov/devices/10885403102646</t>
  </si>
  <si>
    <t>BONE IMPACTORS WITH REPLACEABLE NYLON CAPS. HEAD DIAMETER 20MM. ALUMINUM. NYLON REPLACEMENT CAPS FOR BONE IMPACTOR OS1612</t>
  </si>
  <si>
    <t>IMPACTOR, SURGICAL, 6.5 IN, 20 MM, BONE, REPLACEABLE CAP, FOR BONE IMPACTOR OS1612, NYLON, ALUMINUM, NON STERILE, LATEX</t>
  </si>
  <si>
    <t>IMPACTOR SURGICAL 6.5 IN 20 MM BONE REPLACEABLE CAP FOR BONE IMPACTOR OS1612 NYLON ALUMINUM NON STERILE LATEX</t>
  </si>
  <si>
    <t>IMPACTOR, SURG, 6.5 IN, 20 MM, BNE, REPLACEABLE CAP, FOR BNE IMPCT OS1612, NYL, ALUM, NS, LTX</t>
  </si>
  <si>
    <t>IMPACTOR, SURG, 6.5 IN, 20 MM, BNE, REPLACEABLE CAP, FOR BNE IMPCT</t>
  </si>
  <si>
    <t>REPLACEABLE CAP, FOR BONE IMPACTOR OS1612</t>
  </si>
  <si>
    <t>https://www.bd.com/en-us/products-and-solutions/products/product-page.os1612-001#overview, https://accessgudid.nlm.nih.gov/devices/10885403102653</t>
  </si>
  <si>
    <t>RICHARDSON-TYPE RETRACTOR BLADE 55MM X 22 MM OVERALL LENGTH 9-1/2 (24CM)</t>
  </si>
  <si>
    <t>BLADE, RETRACTOR, RICHARDSON, 9.5 IN, 55X22 MM, NON STERILE, LATEX</t>
  </si>
  <si>
    <t>BLADE RETRACTOR RICHARDSON 9.5 IN 55X22 MM NON STERILE LATEX</t>
  </si>
  <si>
    <t>BLADE, RETRACTOR, RICHARDSON, 9.5 IN, 55X22 MM, NS, LTX</t>
  </si>
  <si>
    <t>BLADE, RETRACTOR, RICHARDSON, 9.5 IN, 55X22 MM</t>
  </si>
  <si>
    <t>BLADE</t>
  </si>
  <si>
    <t>RETRACTOR</t>
  </si>
  <si>
    <t>RICHARDSON</t>
  </si>
  <si>
    <t>https://accessgudid.nlm.nih.gov/devices/10885403102677, https://accessgudid.nlm.nih.gov/devices/10885403102677</t>
  </si>
  <si>
    <t>HILL-FERGUSON RECTAL RETRACTORS MIRROR AND SATIN FINISH. BLADE 2-1/2IN X 15/16IN (6.4CM X 2.4CM) WIDE</t>
  </si>
  <si>
    <t>RETRACTOR, SURGICAL, HILL-FERGUSON, 2-1/2X15/16 IN, RECTAL, MIRROR AND SATIN FINISH, NON STERILE, LATEX</t>
  </si>
  <si>
    <t>RETRACTOR SURGICAL HILL-FERGUSON 2-1/2X15/16 IN RECTAL MIRROR AND SATIN FINISH NON STERILE LATEX</t>
  </si>
  <si>
    <t>RETRACTOR, SURG, HILL-FERGUSON, 2-1/2X15/16 IN, RECTAL, MIRROR &amp; SATIN FINISH, NS, LTX</t>
  </si>
  <si>
    <t>RETRACTOR, SURG, HILL-FERGUSON, 2-1/2X15/16 IN, RECTAL</t>
  </si>
  <si>
    <t>HILL-FERGUSON</t>
  </si>
  <si>
    <t>2-1/2X15/16 IN</t>
  </si>
  <si>
    <t>RECTAL</t>
  </si>
  <si>
    <t>MIRROR AND SATIN FINISH</t>
  </si>
  <si>
    <t>https://www.bd.com/en-us/products-and-solutions/products/product-page.su181#specifications, https://accessgudid.nlm.nih.gov/devices/10885403130359</t>
  </si>
  <si>
    <t>LINCOLN DISSECTING SCISSORS BLADE LENGTH 30MM. STRAIGHT. OVERALL LENGTH 7IN (17.8CM)</t>
  </si>
  <si>
    <t>SCISSOR, SURGICAL, LINCOLN, 7 IN, 30 MM, DISSECTING, STRAIGHT, SATIN FINISH, STAINLESS STEEL, NON STERILE, LATEX</t>
  </si>
  <si>
    <t>SCISSOR SURGICAL LINCOLN 7 IN 30 MM DISSECTING STRAIGHT SATIN FINISH STAINLESS STEEL NON STERILE LATEX</t>
  </si>
  <si>
    <t>SCISSOR, SURG, LINCOLN, 7 IN, 30 MM, DISECT, STR, SATIN FINISH, SS, NS, LTX</t>
  </si>
  <si>
    <t>SCISSOR, SURG, LINCOLN, 7 IN, 30 MM, DISECT, STR, SATIN FINISH, SS</t>
  </si>
  <si>
    <t>SCISSOR</t>
  </si>
  <si>
    <t>LINCOLN</t>
  </si>
  <si>
    <t>30 MM</t>
  </si>
  <si>
    <t>DISSECTING, STRAIGHT, SATIN FINISH</t>
  </si>
  <si>
    <t>https://www.bd.com/en-us/products-and-solutions/products/product-page.SU1890#specifications, https://accessgudid.nlm.nih.gov/devices/10885403188435</t>
  </si>
  <si>
    <t>LINCOLN DISSECTING SCISSORS BLADE LENGTH 30MM. CURVED. OVERALL LENGTH 7IN (17.8CM)</t>
  </si>
  <si>
    <t>SCISSOR, SURGICAL, LINCOLN, 7 IN, 30 MM, DISSECTING, CURVED, SATIN FINISH, STAINLESS STEEL, NON STERILE, LATEX</t>
  </si>
  <si>
    <t>SCISSOR SURGICAL LINCOLN 7 IN 30 MM DISSECTING CURVED SATIN FINISH STAINLESS STEEL NON STERILE LATEX</t>
  </si>
  <si>
    <t>SCISSOR, SURG, LINCOLN, 7 IN, 30 MM, DISECT, CRV, SATIN FINISH, SS, NS, LTX</t>
  </si>
  <si>
    <t>SCISSOR, SURG, LINCOLN, 7 IN, 30 MM, DISECT, CRV, SATIN FINISH, SS</t>
  </si>
  <si>
    <t>DISSECTING, CURVED, SATIN FINISH</t>
  </si>
  <si>
    <t>https://www.bd.com/en-us/products-and-solutions/products/product-page.su1895#specifications, https://accessgudid.nlm.nih.gov/devices/10885403188442</t>
  </si>
  <si>
    <t>LINCOLN DISSECTING SCISSORS BLADE LENGTH 27MM. CURVED. OVERALL LENGTH 7IN (17.8CM)</t>
  </si>
  <si>
    <t>SCISSOR, SURGICAL, LINCOLN, 7 IN, 27 MM, DISSECTING, CURVED, SATIN FINISH, STAINLESS STEEL, NON STERILE, LATEX</t>
  </si>
  <si>
    <t>SCISSOR SURGICAL LINCOLN 7 IN 27 MM DISSECTING CURVED SATIN FINISH STAINLESS STEEL NON STERILE LATEX</t>
  </si>
  <si>
    <t>SCISSOR, SURG, LINCOLN, 7 IN, 27 MM, DISECT, CRV, SATIN FINISH, SS, NS, LTX</t>
  </si>
  <si>
    <t>SCISSOR, SURG, LINCOLN, 7 IN, 27 MM, DISECT, CRV, SATIN FINISH, SS</t>
  </si>
  <si>
    <t>27 MM</t>
  </si>
  <si>
    <t>https://www.bd.com/en-us/products-and-solutions/products/product-page.SU1897#specifications, https://accessgudid.nlm.nih.gov/devices/10885403188459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</si>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</sst>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 applyBorder="1" applyAlignment="1">
      <alignment horizontal="left" vertical="center" indent="1"/>
    </xf>
    <xf numFmtId="0" fontId="6" fillId="0" borderId="1" xfId="0" applyNumberFormat="1" applyFont="1"/>
    <xf numFmtId="0" fontId="6" fillId="0" borderId="1" xfId="0" applyNumberFormat="1" applyFont="1" applyAlignment="1">
      <alignment horizontal="left"/>
    </xf>
    <xf numFmtId="0" fontId="6" fillId="0" borderId="1" xfId="0" applyFont="1" applyAlignment="1">
      <alignment horizontal="left" vertical="center" indent="1"/>
    </xf>
    <xf numFmtId="0" fontId="6" fillId="0" borderId="1" xfId="0" applyFont="1" applyBorder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applyNumberFormat="1" applyFont="1" applyFill="1" applyBorder="1" applyAlignment="1">
      <alignment horizontal="left"/>
    </xf>
    <xf numFmtId="0" fontId="6" fillId="0" borderId="1" xfId="0" applyFont="1"/>
    <xf numFmtId="0" fontId="6" fillId="0" borderId="1" xfId="0" applyFont="1" applyFill="1" applyBorder="1" applyAlignment="1">
      <alignment horizontal="left"/>
    </xf>
    <xf numFmtId="0" fontId="3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3"/>
  <sheetViews>
    <sheetView tabSelected="1" topLeftCell="I1" workbookViewId="0">
      <selection activeCell="V1" sqref="V1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1.7109375" style="1" customWidth="1"/>
    <col min="32" max="32" width="21.85546875" style="1" customWidth="1"/>
    <col min="33" max="33" width="10.140625" style="1" customWidth="1"/>
    <col min="34" max="34" width="19" style="1" customWidth="1"/>
    <col min="35" max="35" width="45.5703125" style="1" customWidth="1"/>
    <col min="36" max="36" width="44.8554687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251</v>
      </c>
      <c r="B1" s="2" t="s">
        <v>66</v>
      </c>
      <c r="C1" s="2" t="s">
        <v>279</v>
      </c>
      <c r="D1" s="2" t="s">
        <v>141</v>
      </c>
      <c r="E1" s="2" t="s">
        <v>195</v>
      </c>
      <c r="F1" s="2" t="s">
        <v>263</v>
      </c>
      <c r="G1" s="2" t="s">
        <v>43</v>
      </c>
      <c r="H1" s="2" t="s">
        <v>179</v>
      </c>
      <c r="I1" s="2" t="s">
        <v>108</v>
      </c>
      <c r="J1" s="2" t="s">
        <v>211</v>
      </c>
      <c r="K1" s="2" t="s">
        <v>80</v>
      </c>
      <c r="L1" s="2" t="s">
        <v>287</v>
      </c>
      <c r="M1" s="2" t="s">
        <v>261</v>
      </c>
      <c r="N1" s="2" t="s">
        <v>283</v>
      </c>
      <c r="O1" s="2" t="s">
        <v>79</v>
      </c>
      <c r="P1" s="2" t="s">
        <v>112</v>
      </c>
      <c r="Q1" s="2" t="s">
        <v>277</v>
      </c>
      <c r="R1" s="2" t="s">
        <v>208</v>
      </c>
      <c r="S1" s="2" t="s">
        <v>87</v>
      </c>
      <c r="T1" s="2" t="s">
        <v>237</v>
      </c>
      <c r="U1" s="3" t="s">
        <v>21</v>
      </c>
      <c r="V1" s="3" t="s">
        <v>199</v>
      </c>
      <c r="W1" s="4" t="s">
        <v>207</v>
      </c>
      <c r="X1" s="5" t="s">
        <v>202</v>
      </c>
      <c r="Y1" s="6" t="s">
        <v>75</v>
      </c>
      <c r="Z1" s="4" t="s">
        <v>31</v>
      </c>
      <c r="AA1" s="5" t="s">
        <v>95</v>
      </c>
      <c r="AB1" s="6" t="s">
        <v>167</v>
      </c>
      <c r="AC1" s="2" t="s">
        <v>216</v>
      </c>
      <c r="AD1" s="2" t="s">
        <v>272</v>
      </c>
      <c r="AE1" s="7" t="s">
        <v>128</v>
      </c>
      <c r="AF1" s="2" t="s">
        <v>152</v>
      </c>
      <c r="AG1" s="5" t="s">
        <v>177</v>
      </c>
      <c r="AH1" s="5" t="s">
        <v>209</v>
      </c>
      <c r="AI1" s="5" t="s">
        <v>68</v>
      </c>
      <c r="AJ1" s="5" t="s">
        <v>161</v>
      </c>
      <c r="AK1" s="5" t="s">
        <v>226</v>
      </c>
      <c r="AL1" s="5" t="s">
        <v>170</v>
      </c>
      <c r="AM1" s="5" t="s">
        <v>2</v>
      </c>
      <c r="AN1" s="5" t="s">
        <v>213</v>
      </c>
      <c r="AO1" s="6" t="s">
        <v>258</v>
      </c>
      <c r="AP1" s="2" t="s">
        <v>232</v>
      </c>
      <c r="AQ1" s="2" t="s">
        <v>105</v>
      </c>
      <c r="AR1" s="8" t="s">
        <v>114</v>
      </c>
      <c r="AS1" s="6" t="s">
        <v>117</v>
      </c>
      <c r="AT1" s="6" t="s">
        <v>274</v>
      </c>
      <c r="AU1" s="9" t="s">
        <v>113</v>
      </c>
      <c r="AV1" s="9" t="s">
        <v>53</v>
      </c>
      <c r="AW1" s="10" t="s">
        <v>85</v>
      </c>
      <c r="AX1" s="8" t="s">
        <v>77</v>
      </c>
      <c r="AY1" s="8" t="s">
        <v>28</v>
      </c>
      <c r="AZ1" s="8" t="s">
        <v>82</v>
      </c>
      <c r="BA1" s="8" t="s">
        <v>0</v>
      </c>
      <c r="BB1" s="8" t="s">
        <v>164</v>
      </c>
      <c r="BC1" s="8" t="s">
        <v>51</v>
      </c>
      <c r="BD1" s="8" t="s">
        <v>149</v>
      </c>
      <c r="BE1" s="8" t="s">
        <v>180</v>
      </c>
      <c r="BF1" s="8" t="s">
        <v>171</v>
      </c>
      <c r="BG1" s="8" t="s">
        <v>276</v>
      </c>
      <c r="BH1" s="8" t="s">
        <v>150</v>
      </c>
      <c r="BI1" s="8" t="s">
        <v>223</v>
      </c>
      <c r="BJ1" s="8" t="s">
        <v>181</v>
      </c>
      <c r="BK1" s="8" t="s">
        <v>187</v>
      </c>
      <c r="BL1" s="8" t="s">
        <v>30</v>
      </c>
      <c r="BM1" s="8" t="s">
        <v>147</v>
      </c>
      <c r="BN1" s="8" t="s">
        <v>221</v>
      </c>
      <c r="BO1" s="8" t="s">
        <v>247</v>
      </c>
      <c r="BP1" s="8" t="s">
        <v>185</v>
      </c>
      <c r="BQ1" s="6" t="s">
        <v>109</v>
      </c>
      <c r="BR1" s="6" t="s">
        <v>218</v>
      </c>
      <c r="BS1" s="8" t="s">
        <v>243</v>
      </c>
      <c r="BT1" s="8" t="s">
        <v>148</v>
      </c>
      <c r="BU1" s="8" t="s">
        <v>281</v>
      </c>
      <c r="BV1" s="8" t="s">
        <v>93</v>
      </c>
      <c r="BW1" s="8" t="s">
        <v>235</v>
      </c>
      <c r="BX1" s="8" t="s">
        <v>127</v>
      </c>
      <c r="BY1" s="8" t="s">
        <v>192</v>
      </c>
      <c r="BZ1" s="8" t="s">
        <v>225</v>
      </c>
      <c r="CA1" s="11" t="s">
        <v>129</v>
      </c>
      <c r="CB1" s="11" t="s">
        <v>50</v>
      </c>
      <c r="CC1" s="11" t="s">
        <v>14</v>
      </c>
      <c r="CD1" s="11" t="s">
        <v>8</v>
      </c>
      <c r="CE1" s="11" t="s">
        <v>267</v>
      </c>
      <c r="CF1" s="11" t="s">
        <v>190</v>
      </c>
      <c r="CG1" s="11" t="s">
        <v>86</v>
      </c>
      <c r="CH1" s="11" t="s">
        <v>62</v>
      </c>
      <c r="CI1" s="11" t="s">
        <v>100</v>
      </c>
      <c r="CJ1" s="11" t="s">
        <v>94</v>
      </c>
      <c r="CK1" s="11" t="s">
        <v>107</v>
      </c>
      <c r="CL1" s="11" t="s">
        <v>165</v>
      </c>
      <c r="CM1" s="11" t="s">
        <v>194</v>
      </c>
      <c r="CN1" s="11" t="s">
        <v>265</v>
      </c>
      <c r="CO1" s="11" t="s">
        <v>10</v>
      </c>
      <c r="CP1" s="11" t="s">
        <v>284</v>
      </c>
      <c r="CQ1" s="11" t="s">
        <v>255</v>
      </c>
      <c r="CR1" s="11" t="s">
        <v>106</v>
      </c>
      <c r="CS1" s="11" t="s">
        <v>58</v>
      </c>
      <c r="CT1" s="5" t="s">
        <v>97</v>
      </c>
      <c r="CU1" s="5" t="s">
        <v>15</v>
      </c>
      <c r="CV1" s="5" t="s">
        <v>23</v>
      </c>
      <c r="CW1" s="5" t="s">
        <v>278</v>
      </c>
      <c r="CX1" s="12" t="s">
        <v>240</v>
      </c>
      <c r="CY1" s="13" t="s">
        <v>20</v>
      </c>
      <c r="CZ1" s="12" t="s">
        <v>103</v>
      </c>
      <c r="DA1" s="14" t="s">
        <v>160</v>
      </c>
      <c r="DB1" s="14" t="s">
        <v>158</v>
      </c>
      <c r="DC1" s="14" t="s">
        <v>262</v>
      </c>
      <c r="DD1" s="14" t="s">
        <v>54</v>
      </c>
      <c r="DE1" s="14" t="s">
        <v>248</v>
      </c>
      <c r="DF1" s="1" t="s">
        <v>61</v>
      </c>
      <c r="DG1" s="1" t="s">
        <v>168</v>
      </c>
    </row>
    <row r="2" spans="1:111" ht="12" customHeight="1" x14ac:dyDescent="0.25">
      <c r="A2" t="s">
        <v>219</v>
      </c>
      <c r="B2" s="15" t="s">
        <v>101</v>
      </c>
      <c r="C2"/>
      <c r="D2" t="s">
        <v>271</v>
      </c>
      <c r="E2" t="s">
        <v>682</v>
      </c>
      <c r="F2" t="s">
        <v>271</v>
      </c>
      <c r="G2" t="s">
        <v>682</v>
      </c>
      <c r="H2" s="16" t="s">
        <v>178</v>
      </c>
      <c r="I2"/>
      <c r="J2"/>
      <c r="K2"/>
      <c r="L2"/>
      <c r="M2"/>
      <c r="N2"/>
      <c r="O2"/>
      <c r="P2"/>
      <c r="Q2"/>
      <c r="R2"/>
      <c r="S2" t="s">
        <v>204</v>
      </c>
      <c r="T2"/>
      <c r="U2">
        <v>498</v>
      </c>
      <c r="V2" s="17">
        <v>2372</v>
      </c>
      <c r="W2" t="s">
        <v>49</v>
      </c>
      <c r="X2" t="s">
        <v>244</v>
      </c>
      <c r="Y2" t="s">
        <v>289</v>
      </c>
      <c r="Z2" t="s">
        <v>84</v>
      </c>
      <c r="AA2" t="s">
        <v>84</v>
      </c>
      <c r="AB2" t="s">
        <v>290</v>
      </c>
      <c r="AC2" t="s">
        <v>239</v>
      </c>
      <c r="AD2" t="s">
        <v>84</v>
      </c>
      <c r="AE2" t="s">
        <v>84</v>
      </c>
      <c r="AF2" t="s">
        <v>206</v>
      </c>
      <c r="AG2" s="17"/>
      <c r="AH2"/>
      <c r="AI2" s="17"/>
      <c r="AJ2" s="17" t="s">
        <v>111</v>
      </c>
      <c r="AK2"/>
      <c r="AL2">
        <v>743</v>
      </c>
      <c r="AM2" t="s">
        <v>222</v>
      </c>
      <c r="AN2"/>
      <c r="AO2" s="18" t="s">
        <v>320</v>
      </c>
      <c r="AP2"/>
      <c r="AQ2"/>
      <c r="AR2" s="19" t="s">
        <v>333</v>
      </c>
      <c r="AS2" s="20" t="s">
        <v>334</v>
      </c>
      <c r="AT2" s="20" t="s">
        <v>335</v>
      </c>
      <c r="AU2" s="20" t="s">
        <v>336</v>
      </c>
      <c r="AV2" s="20" t="s">
        <v>336</v>
      </c>
      <c r="AW2" s="21">
        <f t="shared" ref="AW2:AW43" si="0">LEN(SUBSTITUTE(AV2,", ",","))</f>
        <v>49</v>
      </c>
      <c r="AX2" s="20" t="s">
        <v>337</v>
      </c>
      <c r="AY2" s="22" t="s">
        <v>338</v>
      </c>
      <c r="AZ2" s="22" t="s">
        <v>339</v>
      </c>
      <c r="BA2" s="23"/>
      <c r="BB2" s="23"/>
      <c r="BC2" s="20" t="s">
        <v>340</v>
      </c>
      <c r="BD2" s="23"/>
      <c r="BE2" s="23"/>
      <c r="BF2" s="23"/>
      <c r="BG2" s="23"/>
      <c r="BH2" s="20" t="s">
        <v>341</v>
      </c>
      <c r="BI2" s="23"/>
      <c r="BJ2" s="23"/>
      <c r="BK2" s="23"/>
      <c r="BL2" s="20" t="s">
        <v>342</v>
      </c>
      <c r="BM2" s="23"/>
      <c r="BN2" s="20" t="s">
        <v>343</v>
      </c>
      <c r="BO2" s="23"/>
      <c r="BP2" s="23"/>
      <c r="BQ2" t="s">
        <v>344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681</v>
      </c>
      <c r="DG2" s="1" t="s">
        <v>681</v>
      </c>
    </row>
    <row r="3" spans="1:111" ht="12" customHeight="1" x14ac:dyDescent="0.25">
      <c r="A3" t="s">
        <v>219</v>
      </c>
      <c r="B3" s="15" t="s">
        <v>101</v>
      </c>
      <c r="C3"/>
      <c r="D3" t="s">
        <v>271</v>
      </c>
      <c r="E3" t="s">
        <v>682</v>
      </c>
      <c r="F3" t="s">
        <v>271</v>
      </c>
      <c r="G3" t="s">
        <v>682</v>
      </c>
      <c r="H3" s="16" t="s">
        <v>178</v>
      </c>
      <c r="I3"/>
      <c r="J3"/>
      <c r="K3"/>
      <c r="L3"/>
      <c r="M3"/>
      <c r="N3"/>
      <c r="O3"/>
      <c r="P3"/>
      <c r="Q3"/>
      <c r="R3"/>
      <c r="S3" t="s">
        <v>204</v>
      </c>
      <c r="T3"/>
      <c r="U3">
        <v>1917</v>
      </c>
      <c r="V3" s="17">
        <v>2373</v>
      </c>
      <c r="W3" t="s">
        <v>49</v>
      </c>
      <c r="X3" t="s">
        <v>244</v>
      </c>
      <c r="Y3" t="s">
        <v>289</v>
      </c>
      <c r="Z3" t="s">
        <v>123</v>
      </c>
      <c r="AA3" t="s">
        <v>123</v>
      </c>
      <c r="AB3" t="s">
        <v>291</v>
      </c>
      <c r="AC3" t="s">
        <v>239</v>
      </c>
      <c r="AD3" t="s">
        <v>123</v>
      </c>
      <c r="AE3" t="s">
        <v>123</v>
      </c>
      <c r="AF3" t="s">
        <v>174</v>
      </c>
      <c r="AG3" s="17"/>
      <c r="AH3"/>
      <c r="AI3" s="17"/>
      <c r="AJ3" s="17" t="s">
        <v>130</v>
      </c>
      <c r="AK3"/>
      <c r="AL3">
        <v>743</v>
      </c>
      <c r="AM3" t="s">
        <v>33</v>
      </c>
      <c r="AN3"/>
      <c r="AO3" s="18" t="s">
        <v>321</v>
      </c>
      <c r="AP3"/>
      <c r="AQ3"/>
      <c r="AR3" s="19" t="s">
        <v>345</v>
      </c>
      <c r="AS3" s="20" t="s">
        <v>346</v>
      </c>
      <c r="AT3" s="20" t="s">
        <v>347</v>
      </c>
      <c r="AU3" s="20" t="s">
        <v>348</v>
      </c>
      <c r="AV3" s="20" t="s">
        <v>349</v>
      </c>
      <c r="AW3" s="21">
        <f t="shared" si="0"/>
        <v>57</v>
      </c>
      <c r="AX3" s="20" t="s">
        <v>350</v>
      </c>
      <c r="AY3" s="24" t="s">
        <v>351</v>
      </c>
      <c r="AZ3" s="24" t="s">
        <v>352</v>
      </c>
      <c r="BA3" s="23"/>
      <c r="BB3" s="23"/>
      <c r="BC3" s="20" t="s">
        <v>353</v>
      </c>
      <c r="BD3" s="20" t="s">
        <v>354</v>
      </c>
      <c r="BE3" s="23"/>
      <c r="BF3" s="23"/>
      <c r="BG3" s="23"/>
      <c r="BH3" s="20" t="s">
        <v>355</v>
      </c>
      <c r="BI3" s="23"/>
      <c r="BJ3" s="23"/>
      <c r="BK3" s="23"/>
      <c r="BL3" s="20" t="s">
        <v>342</v>
      </c>
      <c r="BM3" s="23"/>
      <c r="BN3" s="20" t="s">
        <v>343</v>
      </c>
      <c r="BO3" s="23"/>
      <c r="BP3" s="23"/>
      <c r="BQ3" t="s">
        <v>356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681</v>
      </c>
      <c r="DG3" s="1" t="s">
        <v>681</v>
      </c>
    </row>
    <row r="4" spans="1:111" ht="12" customHeight="1" x14ac:dyDescent="0.25">
      <c r="A4" t="s">
        <v>219</v>
      </c>
      <c r="B4" s="15" t="s">
        <v>101</v>
      </c>
      <c r="C4"/>
      <c r="D4" t="s">
        <v>271</v>
      </c>
      <c r="E4" t="s">
        <v>682</v>
      </c>
      <c r="F4" t="s">
        <v>271</v>
      </c>
      <c r="G4" t="s">
        <v>682</v>
      </c>
      <c r="H4" s="16" t="s">
        <v>178</v>
      </c>
      <c r="I4"/>
      <c r="J4"/>
      <c r="K4"/>
      <c r="L4"/>
      <c r="M4"/>
      <c r="N4"/>
      <c r="O4"/>
      <c r="P4"/>
      <c r="Q4"/>
      <c r="R4"/>
      <c r="S4" t="s">
        <v>204</v>
      </c>
      <c r="T4"/>
      <c r="U4">
        <v>242</v>
      </c>
      <c r="V4" s="17">
        <v>2475</v>
      </c>
      <c r="W4" t="s">
        <v>49</v>
      </c>
      <c r="X4" t="s">
        <v>244</v>
      </c>
      <c r="Y4" t="s">
        <v>289</v>
      </c>
      <c r="Z4" t="s">
        <v>183</v>
      </c>
      <c r="AA4" t="s">
        <v>183</v>
      </c>
      <c r="AB4" t="s">
        <v>183</v>
      </c>
      <c r="AC4" t="s">
        <v>239</v>
      </c>
      <c r="AD4" t="s">
        <v>183</v>
      </c>
      <c r="AE4" t="s">
        <v>183</v>
      </c>
      <c r="AF4" t="s">
        <v>119</v>
      </c>
      <c r="AG4" s="17"/>
      <c r="AH4"/>
      <c r="AI4" s="17"/>
      <c r="AJ4" s="17" t="s">
        <v>81</v>
      </c>
      <c r="AK4"/>
      <c r="AL4">
        <v>743</v>
      </c>
      <c r="AM4" t="s">
        <v>212</v>
      </c>
      <c r="AN4"/>
      <c r="AO4" s="18" t="s">
        <v>322</v>
      </c>
      <c r="AP4"/>
      <c r="AQ4"/>
      <c r="AR4" s="25" t="s">
        <v>357</v>
      </c>
      <c r="AS4" s="23" t="s">
        <v>358</v>
      </c>
      <c r="AT4" s="23" t="s">
        <v>359</v>
      </c>
      <c r="AU4" s="23" t="s">
        <v>360</v>
      </c>
      <c r="AV4" s="23" t="s">
        <v>360</v>
      </c>
      <c r="AW4" s="21">
        <f t="shared" si="0"/>
        <v>41</v>
      </c>
      <c r="AX4" s="23" t="s">
        <v>361</v>
      </c>
      <c r="AY4" s="26" t="s">
        <v>338</v>
      </c>
      <c r="AZ4" s="26" t="s">
        <v>362</v>
      </c>
      <c r="BA4" s="23"/>
      <c r="BB4" s="23"/>
      <c r="BC4" s="20" t="s">
        <v>363</v>
      </c>
      <c r="BD4" s="23"/>
      <c r="BE4" s="23"/>
      <c r="BF4" s="23"/>
      <c r="BG4" s="23"/>
      <c r="BH4" s="23"/>
      <c r="BI4" s="23"/>
      <c r="BJ4" s="23"/>
      <c r="BK4" s="23"/>
      <c r="BL4" s="20" t="s">
        <v>342</v>
      </c>
      <c r="BM4" s="23"/>
      <c r="BN4" s="20" t="s">
        <v>343</v>
      </c>
      <c r="BO4" s="23"/>
      <c r="BP4" s="23"/>
      <c r="BQ4" t="s">
        <v>364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681</v>
      </c>
      <c r="DG4" s="1" t="s">
        <v>681</v>
      </c>
    </row>
    <row r="5" spans="1:111" ht="12" customHeight="1" x14ac:dyDescent="0.25">
      <c r="A5" t="s">
        <v>219</v>
      </c>
      <c r="B5" s="15" t="s">
        <v>101</v>
      </c>
      <c r="C5"/>
      <c r="D5" t="s">
        <v>271</v>
      </c>
      <c r="E5" t="s">
        <v>682</v>
      </c>
      <c r="F5" t="s">
        <v>271</v>
      </c>
      <c r="G5" t="s">
        <v>682</v>
      </c>
      <c r="H5" s="16" t="s">
        <v>178</v>
      </c>
      <c r="I5"/>
      <c r="J5"/>
      <c r="K5"/>
      <c r="L5"/>
      <c r="M5"/>
      <c r="N5"/>
      <c r="O5"/>
      <c r="P5"/>
      <c r="Q5"/>
      <c r="R5"/>
      <c r="S5" t="s">
        <v>204</v>
      </c>
      <c r="T5"/>
      <c r="U5">
        <v>1381</v>
      </c>
      <c r="V5" s="17">
        <v>2510</v>
      </c>
      <c r="W5" t="s">
        <v>49</v>
      </c>
      <c r="X5" t="s">
        <v>244</v>
      </c>
      <c r="Y5" t="s">
        <v>289</v>
      </c>
      <c r="Z5" t="s">
        <v>45</v>
      </c>
      <c r="AA5" t="s">
        <v>45</v>
      </c>
      <c r="AB5" t="s">
        <v>45</v>
      </c>
      <c r="AC5" t="s">
        <v>239</v>
      </c>
      <c r="AD5" t="s">
        <v>45</v>
      </c>
      <c r="AE5" t="s">
        <v>45</v>
      </c>
      <c r="AF5" t="s">
        <v>250</v>
      </c>
      <c r="AG5" s="17"/>
      <c r="AH5"/>
      <c r="AI5" s="17"/>
      <c r="AJ5" s="17" t="s">
        <v>173</v>
      </c>
      <c r="AK5"/>
      <c r="AL5">
        <v>743</v>
      </c>
      <c r="AM5" t="s">
        <v>91</v>
      </c>
      <c r="AN5"/>
      <c r="AO5" s="18" t="s">
        <v>321</v>
      </c>
      <c r="AP5"/>
      <c r="AQ5"/>
      <c r="AR5" s="19" t="s">
        <v>365</v>
      </c>
      <c r="AS5" s="20" t="s">
        <v>366</v>
      </c>
      <c r="AT5" s="20" t="s">
        <v>367</v>
      </c>
      <c r="AU5" s="20" t="s">
        <v>368</v>
      </c>
      <c r="AV5" s="20" t="s">
        <v>369</v>
      </c>
      <c r="AW5" s="21">
        <f t="shared" si="0"/>
        <v>60</v>
      </c>
      <c r="AX5" s="20" t="s">
        <v>350</v>
      </c>
      <c r="AY5" s="24" t="s">
        <v>351</v>
      </c>
      <c r="AZ5" s="24" t="s">
        <v>370</v>
      </c>
      <c r="BA5" s="23"/>
      <c r="BB5" s="23"/>
      <c r="BC5" s="20" t="s">
        <v>371</v>
      </c>
      <c r="BD5" s="20" t="s">
        <v>372</v>
      </c>
      <c r="BE5" s="23"/>
      <c r="BF5" s="23"/>
      <c r="BG5" s="23"/>
      <c r="BH5" s="20" t="s">
        <v>373</v>
      </c>
      <c r="BI5" s="23"/>
      <c r="BJ5" s="23"/>
      <c r="BK5" s="23"/>
      <c r="BL5" s="20" t="s">
        <v>342</v>
      </c>
      <c r="BM5" s="23"/>
      <c r="BN5" s="20" t="s">
        <v>343</v>
      </c>
      <c r="BO5" s="23"/>
      <c r="BP5" s="23"/>
      <c r="BQ5" t="s">
        <v>374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681</v>
      </c>
      <c r="DG5" s="1" t="s">
        <v>681</v>
      </c>
    </row>
    <row r="6" spans="1:111" ht="12" customHeight="1" x14ac:dyDescent="0.25">
      <c r="A6" t="s">
        <v>219</v>
      </c>
      <c r="B6" s="15" t="s">
        <v>101</v>
      </c>
      <c r="C6"/>
      <c r="D6" t="s">
        <v>271</v>
      </c>
      <c r="E6" t="s">
        <v>682</v>
      </c>
      <c r="F6" t="s">
        <v>271</v>
      </c>
      <c r="G6" t="s">
        <v>682</v>
      </c>
      <c r="H6" s="16" t="s">
        <v>178</v>
      </c>
      <c r="I6"/>
      <c r="J6"/>
      <c r="K6"/>
      <c r="L6"/>
      <c r="M6"/>
      <c r="N6"/>
      <c r="O6"/>
      <c r="P6"/>
      <c r="Q6"/>
      <c r="R6"/>
      <c r="S6" t="s">
        <v>204</v>
      </c>
      <c r="T6"/>
      <c r="U6">
        <v>1382</v>
      </c>
      <c r="V6" s="17">
        <v>2511</v>
      </c>
      <c r="W6" t="s">
        <v>49</v>
      </c>
      <c r="X6" t="s">
        <v>244</v>
      </c>
      <c r="Y6" t="s">
        <v>289</v>
      </c>
      <c r="Z6" t="s">
        <v>4</v>
      </c>
      <c r="AA6" t="s">
        <v>4</v>
      </c>
      <c r="AB6" t="s">
        <v>4</v>
      </c>
      <c r="AC6" t="s">
        <v>239</v>
      </c>
      <c r="AD6" t="s">
        <v>4</v>
      </c>
      <c r="AE6" t="s">
        <v>4</v>
      </c>
      <c r="AF6" t="s">
        <v>110</v>
      </c>
      <c r="AG6" s="17">
        <v>42291614</v>
      </c>
      <c r="AH6"/>
      <c r="AI6" s="17" t="s">
        <v>266</v>
      </c>
      <c r="AJ6" s="17" t="s">
        <v>256</v>
      </c>
      <c r="AK6"/>
      <c r="AL6">
        <v>743</v>
      </c>
      <c r="AM6" t="s">
        <v>7</v>
      </c>
      <c r="AN6"/>
      <c r="AO6" s="18" t="s">
        <v>323</v>
      </c>
      <c r="AP6"/>
      <c r="AQ6"/>
      <c r="AR6" s="19" t="s">
        <v>375</v>
      </c>
      <c r="AS6" s="20" t="s">
        <v>376</v>
      </c>
      <c r="AT6" s="20" t="s">
        <v>377</v>
      </c>
      <c r="AU6" s="20" t="s">
        <v>378</v>
      </c>
      <c r="AV6" s="20" t="s">
        <v>379</v>
      </c>
      <c r="AW6" s="21">
        <f t="shared" si="0"/>
        <v>58</v>
      </c>
      <c r="AX6" s="20" t="s">
        <v>380</v>
      </c>
      <c r="AY6" s="24" t="s">
        <v>338</v>
      </c>
      <c r="AZ6" s="24" t="s">
        <v>381</v>
      </c>
      <c r="BA6" s="23"/>
      <c r="BB6" s="23"/>
      <c r="BC6" s="20" t="s">
        <v>382</v>
      </c>
      <c r="BD6" s="20" t="s">
        <v>383</v>
      </c>
      <c r="BE6" s="23"/>
      <c r="BF6" s="23"/>
      <c r="BG6" s="23"/>
      <c r="BH6" s="20" t="s">
        <v>384</v>
      </c>
      <c r="BI6" s="23"/>
      <c r="BJ6" s="23"/>
      <c r="BK6" s="23"/>
      <c r="BL6" s="20" t="s">
        <v>342</v>
      </c>
      <c r="BM6" s="23"/>
      <c r="BN6" s="20" t="s">
        <v>343</v>
      </c>
      <c r="BO6" s="23"/>
      <c r="BP6" s="23"/>
      <c r="BQ6" t="s">
        <v>385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681</v>
      </c>
      <c r="DG6" s="1" t="s">
        <v>681</v>
      </c>
    </row>
    <row r="7" spans="1:111" ht="12" customHeight="1" x14ac:dyDescent="0.25">
      <c r="A7" t="s">
        <v>219</v>
      </c>
      <c r="B7" s="15" t="s">
        <v>101</v>
      </c>
      <c r="C7"/>
      <c r="D7" t="s">
        <v>271</v>
      </c>
      <c r="E7" t="s">
        <v>682</v>
      </c>
      <c r="F7" t="s">
        <v>271</v>
      </c>
      <c r="G7" t="s">
        <v>682</v>
      </c>
      <c r="H7" s="16" t="s">
        <v>178</v>
      </c>
      <c r="I7"/>
      <c r="J7"/>
      <c r="K7"/>
      <c r="L7"/>
      <c r="M7"/>
      <c r="N7"/>
      <c r="O7"/>
      <c r="P7"/>
      <c r="Q7"/>
      <c r="R7"/>
      <c r="S7" t="s">
        <v>204</v>
      </c>
      <c r="T7"/>
      <c r="U7">
        <v>2811</v>
      </c>
      <c r="V7" s="17">
        <v>2512</v>
      </c>
      <c r="W7" t="s">
        <v>49</v>
      </c>
      <c r="X7" t="s">
        <v>244</v>
      </c>
      <c r="Y7" t="s">
        <v>289</v>
      </c>
      <c r="Z7" t="s">
        <v>13</v>
      </c>
      <c r="AA7" t="s">
        <v>13</v>
      </c>
      <c r="AB7" t="s">
        <v>292</v>
      </c>
      <c r="AC7" t="s">
        <v>239</v>
      </c>
      <c r="AD7" t="s">
        <v>13</v>
      </c>
      <c r="AE7" t="s">
        <v>13</v>
      </c>
      <c r="AF7" t="s">
        <v>234</v>
      </c>
      <c r="AG7" s="17"/>
      <c r="AH7"/>
      <c r="AI7" s="17"/>
      <c r="AJ7" s="17" t="s">
        <v>257</v>
      </c>
      <c r="AK7"/>
      <c r="AL7">
        <v>743</v>
      </c>
      <c r="AM7" t="s">
        <v>145</v>
      </c>
      <c r="AN7"/>
      <c r="AO7" s="18" t="s">
        <v>324</v>
      </c>
      <c r="AP7"/>
      <c r="AQ7"/>
      <c r="AR7" s="27" t="s">
        <v>386</v>
      </c>
      <c r="AS7" s="22" t="s">
        <v>387</v>
      </c>
      <c r="AT7" s="22" t="s">
        <v>388</v>
      </c>
      <c r="AU7" s="22" t="s">
        <v>389</v>
      </c>
      <c r="AV7" s="22" t="s">
        <v>390</v>
      </c>
      <c r="AW7" s="21">
        <f t="shared" si="0"/>
        <v>60</v>
      </c>
      <c r="AX7" s="22" t="s">
        <v>391</v>
      </c>
      <c r="AY7" s="22" t="s">
        <v>338</v>
      </c>
      <c r="AZ7" s="20" t="s">
        <v>392</v>
      </c>
      <c r="BA7" s="23"/>
      <c r="BB7" s="23"/>
      <c r="BC7" s="20" t="s">
        <v>393</v>
      </c>
      <c r="BD7" s="20" t="s">
        <v>394</v>
      </c>
      <c r="BE7" s="23"/>
      <c r="BF7" s="23"/>
      <c r="BG7" s="23"/>
      <c r="BH7" s="20" t="s">
        <v>395</v>
      </c>
      <c r="BI7" s="23"/>
      <c r="BJ7" s="23"/>
      <c r="BK7" s="23"/>
      <c r="BL7" s="20" t="s">
        <v>342</v>
      </c>
      <c r="BM7" s="23"/>
      <c r="BN7" s="20" t="s">
        <v>343</v>
      </c>
      <c r="BO7" s="23"/>
      <c r="BP7" s="23"/>
      <c r="BQ7" t="s">
        <v>396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681</v>
      </c>
      <c r="DG7" s="1" t="s">
        <v>681</v>
      </c>
    </row>
    <row r="8" spans="1:111" ht="12" customHeight="1" x14ac:dyDescent="0.25">
      <c r="A8" t="s">
        <v>219</v>
      </c>
      <c r="B8" s="15" t="s">
        <v>101</v>
      </c>
      <c r="C8"/>
      <c r="D8" t="s">
        <v>271</v>
      </c>
      <c r="E8" t="s">
        <v>682</v>
      </c>
      <c r="F8" t="s">
        <v>271</v>
      </c>
      <c r="G8" t="s">
        <v>682</v>
      </c>
      <c r="H8" s="16" t="s">
        <v>178</v>
      </c>
      <c r="I8"/>
      <c r="J8"/>
      <c r="K8"/>
      <c r="L8"/>
      <c r="M8"/>
      <c r="N8"/>
      <c r="O8"/>
      <c r="P8"/>
      <c r="Q8"/>
      <c r="R8"/>
      <c r="S8" t="s">
        <v>204</v>
      </c>
      <c r="T8"/>
      <c r="U8">
        <v>2115</v>
      </c>
      <c r="V8" s="17">
        <v>2513</v>
      </c>
      <c r="W8" t="s">
        <v>49</v>
      </c>
      <c r="X8" t="s">
        <v>244</v>
      </c>
      <c r="Y8" t="s">
        <v>289</v>
      </c>
      <c r="Z8" t="s">
        <v>125</v>
      </c>
      <c r="AA8" t="s">
        <v>125</v>
      </c>
      <c r="AB8" t="s">
        <v>293</v>
      </c>
      <c r="AC8" t="s">
        <v>239</v>
      </c>
      <c r="AD8" t="s">
        <v>125</v>
      </c>
      <c r="AE8" t="s">
        <v>125</v>
      </c>
      <c r="AF8" t="s">
        <v>59</v>
      </c>
      <c r="AG8" s="17"/>
      <c r="AH8"/>
      <c r="AI8" s="17"/>
      <c r="AJ8" s="17" t="s">
        <v>215</v>
      </c>
      <c r="AK8"/>
      <c r="AL8">
        <v>743</v>
      </c>
      <c r="AM8" t="s">
        <v>22</v>
      </c>
      <c r="AN8"/>
      <c r="AO8" s="18" t="s">
        <v>325</v>
      </c>
      <c r="AP8"/>
      <c r="AQ8"/>
      <c r="AR8" s="25" t="s">
        <v>397</v>
      </c>
      <c r="AS8" s="22" t="s">
        <v>398</v>
      </c>
      <c r="AT8" s="22" t="s">
        <v>399</v>
      </c>
      <c r="AU8" s="22" t="s">
        <v>400</v>
      </c>
      <c r="AV8" s="22" t="s">
        <v>400</v>
      </c>
      <c r="AW8" s="21">
        <f t="shared" si="0"/>
        <v>31</v>
      </c>
      <c r="AX8" s="22" t="s">
        <v>401</v>
      </c>
      <c r="AY8" s="22" t="s">
        <v>338</v>
      </c>
      <c r="AZ8" s="23"/>
      <c r="BA8" s="23"/>
      <c r="BB8" s="23"/>
      <c r="BC8" s="20" t="s">
        <v>402</v>
      </c>
      <c r="BD8" s="20" t="s">
        <v>403</v>
      </c>
      <c r="BE8" s="23"/>
      <c r="BF8" s="23"/>
      <c r="BG8" s="23"/>
      <c r="BH8" s="23"/>
      <c r="BI8" s="23"/>
      <c r="BJ8" s="23"/>
      <c r="BK8" s="23"/>
      <c r="BL8" s="20" t="s">
        <v>342</v>
      </c>
      <c r="BM8" s="23"/>
      <c r="BN8" s="20" t="s">
        <v>343</v>
      </c>
      <c r="BO8" s="23"/>
      <c r="BP8" s="23"/>
      <c r="BQ8" t="s">
        <v>404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681</v>
      </c>
      <c r="DG8" s="1" t="s">
        <v>681</v>
      </c>
    </row>
    <row r="9" spans="1:111" ht="12" customHeight="1" x14ac:dyDescent="0.25">
      <c r="A9" t="s">
        <v>219</v>
      </c>
      <c r="B9" s="15" t="s">
        <v>101</v>
      </c>
      <c r="C9"/>
      <c r="D9" t="s">
        <v>271</v>
      </c>
      <c r="E9" t="s">
        <v>682</v>
      </c>
      <c r="F9" t="s">
        <v>271</v>
      </c>
      <c r="G9" t="s">
        <v>682</v>
      </c>
      <c r="H9" s="16" t="s">
        <v>178</v>
      </c>
      <c r="I9"/>
      <c r="J9"/>
      <c r="K9"/>
      <c r="L9"/>
      <c r="M9"/>
      <c r="N9"/>
      <c r="O9"/>
      <c r="P9"/>
      <c r="Q9"/>
      <c r="R9"/>
      <c r="S9" t="s">
        <v>204</v>
      </c>
      <c r="T9"/>
      <c r="U9">
        <v>2486</v>
      </c>
      <c r="V9" s="17">
        <v>2514</v>
      </c>
      <c r="W9" t="s">
        <v>49</v>
      </c>
      <c r="X9" t="s">
        <v>244</v>
      </c>
      <c r="Y9" t="s">
        <v>289</v>
      </c>
      <c r="Z9" t="s">
        <v>268</v>
      </c>
      <c r="AA9" t="s">
        <v>268</v>
      </c>
      <c r="AB9" t="s">
        <v>268</v>
      </c>
      <c r="AC9" t="s">
        <v>239</v>
      </c>
      <c r="AD9" t="s">
        <v>268</v>
      </c>
      <c r="AE9" t="s">
        <v>268</v>
      </c>
      <c r="AF9" t="s">
        <v>259</v>
      </c>
      <c r="AG9" s="17"/>
      <c r="AH9"/>
      <c r="AI9" s="17"/>
      <c r="AJ9" s="17" t="s">
        <v>41</v>
      </c>
      <c r="AK9"/>
      <c r="AL9">
        <v>743</v>
      </c>
      <c r="AM9" t="s">
        <v>39</v>
      </c>
      <c r="AN9"/>
      <c r="AO9" s="18" t="s">
        <v>326</v>
      </c>
      <c r="AP9"/>
      <c r="AQ9"/>
      <c r="AR9" s="19" t="s">
        <v>405</v>
      </c>
      <c r="AS9" s="20" t="s">
        <v>406</v>
      </c>
      <c r="AT9" s="20" t="s">
        <v>407</v>
      </c>
      <c r="AU9" s="20" t="s">
        <v>408</v>
      </c>
      <c r="AV9" s="20" t="s">
        <v>408</v>
      </c>
      <c r="AW9" s="21">
        <f t="shared" si="0"/>
        <v>60</v>
      </c>
      <c r="AX9" s="20" t="s">
        <v>409</v>
      </c>
      <c r="AY9" s="22" t="s">
        <v>338</v>
      </c>
      <c r="AZ9" s="23"/>
      <c r="BA9" s="20" t="s">
        <v>410</v>
      </c>
      <c r="BB9" s="23"/>
      <c r="BC9" s="20" t="s">
        <v>411</v>
      </c>
      <c r="BD9" s="23"/>
      <c r="BE9" s="23"/>
      <c r="BF9" s="23"/>
      <c r="BG9" s="23"/>
      <c r="BH9" s="20" t="s">
        <v>412</v>
      </c>
      <c r="BI9" s="23"/>
      <c r="BJ9" s="23"/>
      <c r="BK9" s="23"/>
      <c r="BL9" s="20" t="s">
        <v>342</v>
      </c>
      <c r="BM9" s="23"/>
      <c r="BN9" s="20" t="s">
        <v>343</v>
      </c>
      <c r="BO9" s="23"/>
      <c r="BP9" s="23"/>
      <c r="BQ9" t="s">
        <v>413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681</v>
      </c>
      <c r="DG9" s="1" t="s">
        <v>681</v>
      </c>
    </row>
    <row r="10" spans="1:111" ht="12" customHeight="1" x14ac:dyDescent="0.25">
      <c r="A10" t="s">
        <v>219</v>
      </c>
      <c r="B10" s="15" t="s">
        <v>101</v>
      </c>
      <c r="C10"/>
      <c r="D10" t="s">
        <v>271</v>
      </c>
      <c r="E10" t="s">
        <v>682</v>
      </c>
      <c r="F10" t="s">
        <v>271</v>
      </c>
      <c r="G10" t="s">
        <v>682</v>
      </c>
      <c r="H10" s="16" t="s">
        <v>178</v>
      </c>
      <c r="I10"/>
      <c r="J10"/>
      <c r="K10"/>
      <c r="L10"/>
      <c r="M10"/>
      <c r="N10"/>
      <c r="O10"/>
      <c r="P10"/>
      <c r="Q10"/>
      <c r="R10"/>
      <c r="S10" t="s">
        <v>204</v>
      </c>
      <c r="T10"/>
      <c r="U10">
        <v>2488</v>
      </c>
      <c r="V10" s="17">
        <v>2515</v>
      </c>
      <c r="W10" t="s">
        <v>49</v>
      </c>
      <c r="X10" t="s">
        <v>244</v>
      </c>
      <c r="Y10" t="s">
        <v>289</v>
      </c>
      <c r="Z10" t="s">
        <v>135</v>
      </c>
      <c r="AA10" t="s">
        <v>135</v>
      </c>
      <c r="AB10" t="s">
        <v>294</v>
      </c>
      <c r="AC10" t="s">
        <v>239</v>
      </c>
      <c r="AD10" t="s">
        <v>135</v>
      </c>
      <c r="AE10" t="s">
        <v>135</v>
      </c>
      <c r="AF10" t="s">
        <v>227</v>
      </c>
      <c r="AG10" s="17"/>
      <c r="AH10"/>
      <c r="AI10" s="17"/>
      <c r="AJ10" s="17" t="s">
        <v>189</v>
      </c>
      <c r="AK10"/>
      <c r="AL10">
        <v>743</v>
      </c>
      <c r="AM10" t="s">
        <v>264</v>
      </c>
      <c r="AN10"/>
      <c r="AO10" s="18" t="s">
        <v>326</v>
      </c>
      <c r="AP10"/>
      <c r="AQ10"/>
      <c r="AR10" s="19" t="s">
        <v>414</v>
      </c>
      <c r="AS10" s="20" t="s">
        <v>415</v>
      </c>
      <c r="AT10" s="20" t="s">
        <v>416</v>
      </c>
      <c r="AU10" s="20" t="s">
        <v>417</v>
      </c>
      <c r="AV10" s="20" t="s">
        <v>417</v>
      </c>
      <c r="AW10" s="21">
        <f t="shared" si="0"/>
        <v>48</v>
      </c>
      <c r="AX10" s="20" t="s">
        <v>409</v>
      </c>
      <c r="AY10" s="22" t="s">
        <v>338</v>
      </c>
      <c r="AZ10" s="23"/>
      <c r="BA10" s="20" t="s">
        <v>410</v>
      </c>
      <c r="BB10" s="23"/>
      <c r="BC10" s="20" t="s">
        <v>411</v>
      </c>
      <c r="BD10" s="20" t="s">
        <v>418</v>
      </c>
      <c r="BE10" s="23"/>
      <c r="BF10" s="23"/>
      <c r="BG10" s="23"/>
      <c r="BH10" s="20" t="s">
        <v>419</v>
      </c>
      <c r="BI10" s="23"/>
      <c r="BJ10" s="23"/>
      <c r="BK10" s="23"/>
      <c r="BL10" s="20" t="s">
        <v>342</v>
      </c>
      <c r="BM10" s="23"/>
      <c r="BN10" s="20" t="s">
        <v>343</v>
      </c>
      <c r="BO10" s="23"/>
      <c r="BP10" s="23"/>
      <c r="BQ10" t="s">
        <v>420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681</v>
      </c>
      <c r="DG10" s="1" t="s">
        <v>681</v>
      </c>
    </row>
    <row r="11" spans="1:111" ht="12" customHeight="1" x14ac:dyDescent="0.25">
      <c r="A11" t="s">
        <v>219</v>
      </c>
      <c r="B11" s="15" t="s">
        <v>101</v>
      </c>
      <c r="C11"/>
      <c r="D11" t="s">
        <v>271</v>
      </c>
      <c r="E11" t="s">
        <v>682</v>
      </c>
      <c r="F11" t="s">
        <v>271</v>
      </c>
      <c r="G11" t="s">
        <v>682</v>
      </c>
      <c r="H11" s="16" t="s">
        <v>178</v>
      </c>
      <c r="I11"/>
      <c r="J11"/>
      <c r="K11"/>
      <c r="L11"/>
      <c r="M11"/>
      <c r="N11"/>
      <c r="O11"/>
      <c r="P11"/>
      <c r="Q11"/>
      <c r="R11"/>
      <c r="S11" t="s">
        <v>204</v>
      </c>
      <c r="T11"/>
      <c r="U11">
        <v>2487</v>
      </c>
      <c r="V11" s="17">
        <v>2516</v>
      </c>
      <c r="W11" t="s">
        <v>49</v>
      </c>
      <c r="X11" t="s">
        <v>244</v>
      </c>
      <c r="Y11" t="s">
        <v>289</v>
      </c>
      <c r="Z11" t="s">
        <v>124</v>
      </c>
      <c r="AA11" t="s">
        <v>124</v>
      </c>
      <c r="AB11" t="s">
        <v>295</v>
      </c>
      <c r="AC11" t="s">
        <v>239</v>
      </c>
      <c r="AD11" t="s">
        <v>124</v>
      </c>
      <c r="AE11" t="s">
        <v>124</v>
      </c>
      <c r="AF11" t="s">
        <v>5</v>
      </c>
      <c r="AG11" s="17"/>
      <c r="AH11"/>
      <c r="AI11" s="17"/>
      <c r="AJ11" s="17" t="s">
        <v>186</v>
      </c>
      <c r="AK11"/>
      <c r="AL11">
        <v>743</v>
      </c>
      <c r="AM11" t="s">
        <v>34</v>
      </c>
      <c r="AN11"/>
      <c r="AO11" s="18" t="s">
        <v>326</v>
      </c>
      <c r="AP11"/>
      <c r="AQ11"/>
      <c r="AR11" s="19" t="s">
        <v>421</v>
      </c>
      <c r="AS11" s="20" t="s">
        <v>422</v>
      </c>
      <c r="AT11" s="20" t="s">
        <v>423</v>
      </c>
      <c r="AU11" s="20" t="s">
        <v>424</v>
      </c>
      <c r="AV11" s="20" t="s">
        <v>424</v>
      </c>
      <c r="AW11" s="21">
        <f t="shared" si="0"/>
        <v>48</v>
      </c>
      <c r="AX11" s="20" t="s">
        <v>409</v>
      </c>
      <c r="AY11" s="22" t="s">
        <v>338</v>
      </c>
      <c r="AZ11" s="23"/>
      <c r="BA11" s="20" t="s">
        <v>410</v>
      </c>
      <c r="BB11" s="23"/>
      <c r="BC11" s="20" t="s">
        <v>411</v>
      </c>
      <c r="BD11" s="20" t="s">
        <v>425</v>
      </c>
      <c r="BE11" s="23"/>
      <c r="BF11" s="23"/>
      <c r="BG11" s="23"/>
      <c r="BH11" s="20" t="s">
        <v>419</v>
      </c>
      <c r="BI11" s="23"/>
      <c r="BJ11" s="23"/>
      <c r="BK11" s="23"/>
      <c r="BL11" s="20" t="s">
        <v>342</v>
      </c>
      <c r="BM11" s="23"/>
      <c r="BN11" s="20" t="s">
        <v>343</v>
      </c>
      <c r="BO11" s="23"/>
      <c r="BP11" s="23"/>
      <c r="BQ11" t="s">
        <v>426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681</v>
      </c>
      <c r="DG11" s="1" t="s">
        <v>681</v>
      </c>
    </row>
    <row r="12" spans="1:111" ht="12" customHeight="1" x14ac:dyDescent="0.25">
      <c r="A12" t="s">
        <v>219</v>
      </c>
      <c r="B12" s="15" t="s">
        <v>101</v>
      </c>
      <c r="C12"/>
      <c r="D12" t="s">
        <v>271</v>
      </c>
      <c r="E12" t="s">
        <v>682</v>
      </c>
      <c r="F12" t="s">
        <v>271</v>
      </c>
      <c r="G12" t="s">
        <v>682</v>
      </c>
      <c r="H12" s="16" t="s">
        <v>178</v>
      </c>
      <c r="I12"/>
      <c r="J12"/>
      <c r="K12"/>
      <c r="L12"/>
      <c r="M12"/>
      <c r="N12"/>
      <c r="O12"/>
      <c r="P12"/>
      <c r="Q12"/>
      <c r="R12"/>
      <c r="S12" t="s">
        <v>204</v>
      </c>
      <c r="T12"/>
      <c r="U12">
        <v>2490</v>
      </c>
      <c r="V12" s="17">
        <v>2517</v>
      </c>
      <c r="W12" t="s">
        <v>49</v>
      </c>
      <c r="X12" t="s">
        <v>244</v>
      </c>
      <c r="Y12" t="s">
        <v>289</v>
      </c>
      <c r="Z12" t="s">
        <v>163</v>
      </c>
      <c r="AA12" t="s">
        <v>163</v>
      </c>
      <c r="AB12" t="s">
        <v>296</v>
      </c>
      <c r="AC12" t="s">
        <v>239</v>
      </c>
      <c r="AD12" t="s">
        <v>163</v>
      </c>
      <c r="AE12" t="s">
        <v>163</v>
      </c>
      <c r="AF12" t="s">
        <v>3</v>
      </c>
      <c r="AG12" s="17"/>
      <c r="AH12"/>
      <c r="AI12" s="17"/>
      <c r="AJ12" s="17" t="s">
        <v>270</v>
      </c>
      <c r="AK12"/>
      <c r="AL12">
        <v>743</v>
      </c>
      <c r="AM12" t="s">
        <v>233</v>
      </c>
      <c r="AN12"/>
      <c r="AO12" s="18" t="s">
        <v>326</v>
      </c>
      <c r="AP12"/>
      <c r="AQ12"/>
      <c r="AR12" s="19" t="s">
        <v>427</v>
      </c>
      <c r="AS12" s="20" t="s">
        <v>428</v>
      </c>
      <c r="AT12" s="20" t="s">
        <v>429</v>
      </c>
      <c r="AU12" s="20" t="s">
        <v>430</v>
      </c>
      <c r="AV12" s="20" t="s">
        <v>430</v>
      </c>
      <c r="AW12" s="21">
        <f t="shared" si="0"/>
        <v>48</v>
      </c>
      <c r="AX12" s="20" t="s">
        <v>409</v>
      </c>
      <c r="AY12" s="22" t="s">
        <v>338</v>
      </c>
      <c r="AZ12" s="23"/>
      <c r="BA12" s="20" t="s">
        <v>410</v>
      </c>
      <c r="BB12" s="23"/>
      <c r="BC12" s="20" t="s">
        <v>411</v>
      </c>
      <c r="BD12" s="20" t="s">
        <v>431</v>
      </c>
      <c r="BE12" s="23"/>
      <c r="BF12" s="23"/>
      <c r="BG12" s="23"/>
      <c r="BH12" s="20" t="s">
        <v>419</v>
      </c>
      <c r="BI12" s="23"/>
      <c r="BJ12" s="23"/>
      <c r="BK12" s="23"/>
      <c r="BL12" s="20" t="s">
        <v>342</v>
      </c>
      <c r="BM12" s="23"/>
      <c r="BN12" s="20" t="s">
        <v>343</v>
      </c>
      <c r="BO12" s="23"/>
      <c r="BP12" s="23"/>
      <c r="BQ12" t="s">
        <v>432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681</v>
      </c>
      <c r="DG12" s="1" t="s">
        <v>681</v>
      </c>
    </row>
    <row r="13" spans="1:111" ht="12" customHeight="1" x14ac:dyDescent="0.25">
      <c r="A13" t="s">
        <v>219</v>
      </c>
      <c r="B13" s="15" t="s">
        <v>101</v>
      </c>
      <c r="C13"/>
      <c r="D13" t="s">
        <v>271</v>
      </c>
      <c r="E13" t="s">
        <v>682</v>
      </c>
      <c r="F13" t="s">
        <v>271</v>
      </c>
      <c r="G13" t="s">
        <v>682</v>
      </c>
      <c r="H13" s="16" t="s">
        <v>178</v>
      </c>
      <c r="I13"/>
      <c r="J13"/>
      <c r="K13"/>
      <c r="L13"/>
      <c r="M13"/>
      <c r="N13"/>
      <c r="O13"/>
      <c r="P13"/>
      <c r="Q13"/>
      <c r="R13"/>
      <c r="S13" t="s">
        <v>204</v>
      </c>
      <c r="T13"/>
      <c r="U13">
        <v>2489</v>
      </c>
      <c r="V13" s="17">
        <v>2518</v>
      </c>
      <c r="W13" t="s">
        <v>49</v>
      </c>
      <c r="X13" t="s">
        <v>244</v>
      </c>
      <c r="Y13" t="s">
        <v>289</v>
      </c>
      <c r="Z13" t="s">
        <v>151</v>
      </c>
      <c r="AA13" t="s">
        <v>151</v>
      </c>
      <c r="AB13" t="s">
        <v>297</v>
      </c>
      <c r="AC13" t="s">
        <v>239</v>
      </c>
      <c r="AD13" t="s">
        <v>151</v>
      </c>
      <c r="AE13" t="s">
        <v>151</v>
      </c>
      <c r="AF13" t="s">
        <v>156</v>
      </c>
      <c r="AG13" s="17"/>
      <c r="AH13"/>
      <c r="AI13" s="17"/>
      <c r="AJ13" s="17" t="s">
        <v>246</v>
      </c>
      <c r="AK13"/>
      <c r="AL13">
        <v>743</v>
      </c>
      <c r="AM13" t="s">
        <v>153</v>
      </c>
      <c r="AN13"/>
      <c r="AO13" s="18" t="s">
        <v>326</v>
      </c>
      <c r="AP13"/>
      <c r="AQ13"/>
      <c r="AR13" s="19" t="s">
        <v>433</v>
      </c>
      <c r="AS13" s="20" t="s">
        <v>434</v>
      </c>
      <c r="AT13" s="20" t="s">
        <v>435</v>
      </c>
      <c r="AU13" s="20" t="s">
        <v>436</v>
      </c>
      <c r="AV13" s="20" t="s">
        <v>436</v>
      </c>
      <c r="AW13" s="21">
        <f t="shared" si="0"/>
        <v>48</v>
      </c>
      <c r="AX13" s="20" t="s">
        <v>409</v>
      </c>
      <c r="AY13" s="22" t="s">
        <v>338</v>
      </c>
      <c r="AZ13" s="23"/>
      <c r="BA13" s="20" t="s">
        <v>410</v>
      </c>
      <c r="BB13" s="23"/>
      <c r="BC13" s="20" t="s">
        <v>411</v>
      </c>
      <c r="BD13" s="20" t="s">
        <v>437</v>
      </c>
      <c r="BE13" s="23"/>
      <c r="BF13" s="23"/>
      <c r="BG13" s="23"/>
      <c r="BH13" s="20" t="s">
        <v>419</v>
      </c>
      <c r="BI13" s="23"/>
      <c r="BJ13" s="23"/>
      <c r="BK13" s="23"/>
      <c r="BL13" s="20" t="s">
        <v>342</v>
      </c>
      <c r="BM13" s="23"/>
      <c r="BN13" s="20" t="s">
        <v>343</v>
      </c>
      <c r="BO13" s="23"/>
      <c r="BP13" s="23"/>
      <c r="BQ13" t="s">
        <v>438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681</v>
      </c>
      <c r="DG13" s="1" t="s">
        <v>681</v>
      </c>
    </row>
    <row r="14" spans="1:111" ht="12" customHeight="1" x14ac:dyDescent="0.25">
      <c r="A14" t="s">
        <v>219</v>
      </c>
      <c r="B14" s="15" t="s">
        <v>101</v>
      </c>
      <c r="C14"/>
      <c r="D14" t="s">
        <v>271</v>
      </c>
      <c r="E14" t="s">
        <v>682</v>
      </c>
      <c r="F14" t="s">
        <v>271</v>
      </c>
      <c r="G14" t="s">
        <v>682</v>
      </c>
      <c r="H14" s="16" t="s">
        <v>178</v>
      </c>
      <c r="I14"/>
      <c r="J14"/>
      <c r="K14"/>
      <c r="L14"/>
      <c r="M14"/>
      <c r="N14"/>
      <c r="O14"/>
      <c r="P14"/>
      <c r="Q14"/>
      <c r="R14"/>
      <c r="S14" t="s">
        <v>204</v>
      </c>
      <c r="T14"/>
      <c r="U14">
        <v>2493</v>
      </c>
      <c r="V14" s="17">
        <v>2519</v>
      </c>
      <c r="W14" t="s">
        <v>49</v>
      </c>
      <c r="X14" t="s">
        <v>244</v>
      </c>
      <c r="Y14" t="s">
        <v>289</v>
      </c>
      <c r="Z14" t="s">
        <v>136</v>
      </c>
      <c r="AA14" t="s">
        <v>136</v>
      </c>
      <c r="AB14" t="s">
        <v>298</v>
      </c>
      <c r="AC14" t="s">
        <v>239</v>
      </c>
      <c r="AD14" t="s">
        <v>136</v>
      </c>
      <c r="AE14" t="s">
        <v>136</v>
      </c>
      <c r="AF14" t="s">
        <v>155</v>
      </c>
      <c r="AG14" s="17"/>
      <c r="AH14"/>
      <c r="AI14" s="17"/>
      <c r="AJ14" s="17" t="s">
        <v>12</v>
      </c>
      <c r="AK14"/>
      <c r="AL14">
        <v>743</v>
      </c>
      <c r="AM14" t="s">
        <v>197</v>
      </c>
      <c r="AN14"/>
      <c r="AO14" s="18" t="s">
        <v>326</v>
      </c>
      <c r="AP14"/>
      <c r="AQ14"/>
      <c r="AR14" s="19" t="s">
        <v>439</v>
      </c>
      <c r="AS14" s="20" t="s">
        <v>440</v>
      </c>
      <c r="AT14" s="20" t="s">
        <v>441</v>
      </c>
      <c r="AU14" s="20" t="s">
        <v>442</v>
      </c>
      <c r="AV14" s="20" t="s">
        <v>442</v>
      </c>
      <c r="AW14" s="21">
        <f t="shared" si="0"/>
        <v>47</v>
      </c>
      <c r="AX14" s="20" t="s">
        <v>409</v>
      </c>
      <c r="AY14" s="22" t="s">
        <v>338</v>
      </c>
      <c r="AZ14" s="23"/>
      <c r="BA14" s="20" t="s">
        <v>410</v>
      </c>
      <c r="BB14" s="23"/>
      <c r="BC14" s="20" t="s">
        <v>411</v>
      </c>
      <c r="BD14" s="20" t="s">
        <v>443</v>
      </c>
      <c r="BE14" s="23"/>
      <c r="BF14" s="23"/>
      <c r="BG14" s="23"/>
      <c r="BH14" s="20" t="s">
        <v>419</v>
      </c>
      <c r="BI14" s="23"/>
      <c r="BJ14" s="23"/>
      <c r="BK14" s="23"/>
      <c r="BL14" s="20" t="s">
        <v>342</v>
      </c>
      <c r="BM14" s="23"/>
      <c r="BN14" s="20" t="s">
        <v>343</v>
      </c>
      <c r="BO14" s="23"/>
      <c r="BP14" s="23"/>
      <c r="BQ14" t="s">
        <v>444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681</v>
      </c>
      <c r="DG14" s="1" t="s">
        <v>681</v>
      </c>
    </row>
    <row r="15" spans="1:111" ht="12" customHeight="1" x14ac:dyDescent="0.25">
      <c r="A15" t="s">
        <v>219</v>
      </c>
      <c r="B15" s="15" t="s">
        <v>101</v>
      </c>
      <c r="C15"/>
      <c r="D15" t="s">
        <v>271</v>
      </c>
      <c r="E15" t="s">
        <v>682</v>
      </c>
      <c r="F15" t="s">
        <v>271</v>
      </c>
      <c r="G15" t="s">
        <v>682</v>
      </c>
      <c r="H15" s="16" t="s">
        <v>178</v>
      </c>
      <c r="I15"/>
      <c r="J15"/>
      <c r="K15"/>
      <c r="L15"/>
      <c r="M15"/>
      <c r="N15"/>
      <c r="O15"/>
      <c r="P15"/>
      <c r="Q15"/>
      <c r="R15"/>
      <c r="S15" t="s">
        <v>204</v>
      </c>
      <c r="T15"/>
      <c r="U15">
        <v>2485</v>
      </c>
      <c r="V15" s="17">
        <v>2520</v>
      </c>
      <c r="W15" t="s">
        <v>49</v>
      </c>
      <c r="X15" t="s">
        <v>244</v>
      </c>
      <c r="Y15" t="s">
        <v>289</v>
      </c>
      <c r="Z15" t="s">
        <v>230</v>
      </c>
      <c r="AA15" t="s">
        <v>230</v>
      </c>
      <c r="AB15" t="s">
        <v>299</v>
      </c>
      <c r="AC15" t="s">
        <v>239</v>
      </c>
      <c r="AD15" t="s">
        <v>230</v>
      </c>
      <c r="AE15" t="s">
        <v>230</v>
      </c>
      <c r="AF15" t="s">
        <v>104</v>
      </c>
      <c r="AG15" s="17"/>
      <c r="AH15"/>
      <c r="AI15" s="17"/>
      <c r="AJ15" s="17" t="s">
        <v>144</v>
      </c>
      <c r="AK15"/>
      <c r="AL15">
        <v>743</v>
      </c>
      <c r="AM15" t="s">
        <v>89</v>
      </c>
      <c r="AN15"/>
      <c r="AO15" s="18" t="s">
        <v>326</v>
      </c>
      <c r="AP15"/>
      <c r="AQ15"/>
      <c r="AR15" s="19" t="s">
        <v>445</v>
      </c>
      <c r="AS15" s="20" t="s">
        <v>446</v>
      </c>
      <c r="AT15" s="20" t="s">
        <v>447</v>
      </c>
      <c r="AU15" s="20" t="s">
        <v>448</v>
      </c>
      <c r="AV15" s="20" t="s">
        <v>448</v>
      </c>
      <c r="AW15" s="21">
        <f t="shared" si="0"/>
        <v>47</v>
      </c>
      <c r="AX15" s="20" t="s">
        <v>409</v>
      </c>
      <c r="AY15" s="22" t="s">
        <v>338</v>
      </c>
      <c r="AZ15" s="23"/>
      <c r="BA15" s="20" t="s">
        <v>410</v>
      </c>
      <c r="BB15" s="23"/>
      <c r="BC15" s="20" t="s">
        <v>411</v>
      </c>
      <c r="BD15" s="20" t="s">
        <v>449</v>
      </c>
      <c r="BE15" s="23"/>
      <c r="BF15" s="23"/>
      <c r="BG15" s="23"/>
      <c r="BH15" s="20" t="s">
        <v>450</v>
      </c>
      <c r="BI15" s="23"/>
      <c r="BJ15" s="23"/>
      <c r="BK15" s="23"/>
      <c r="BL15" s="20" t="s">
        <v>342</v>
      </c>
      <c r="BM15" s="23"/>
      <c r="BN15" s="20" t="s">
        <v>343</v>
      </c>
      <c r="BO15" s="23"/>
      <c r="BP15" s="23"/>
      <c r="BQ15" t="s">
        <v>451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681</v>
      </c>
      <c r="DG15" s="1" t="s">
        <v>681</v>
      </c>
    </row>
    <row r="16" spans="1:111" ht="12" customHeight="1" x14ac:dyDescent="0.25">
      <c r="A16" t="s">
        <v>219</v>
      </c>
      <c r="B16" s="15" t="s">
        <v>101</v>
      </c>
      <c r="C16"/>
      <c r="D16" t="s">
        <v>271</v>
      </c>
      <c r="E16" t="s">
        <v>682</v>
      </c>
      <c r="F16" t="s">
        <v>271</v>
      </c>
      <c r="G16" t="s">
        <v>682</v>
      </c>
      <c r="H16" s="16" t="s">
        <v>178</v>
      </c>
      <c r="I16"/>
      <c r="J16"/>
      <c r="K16"/>
      <c r="L16"/>
      <c r="M16"/>
      <c r="N16"/>
      <c r="O16"/>
      <c r="P16"/>
      <c r="Q16"/>
      <c r="R16"/>
      <c r="S16" t="s">
        <v>204</v>
      </c>
      <c r="T16"/>
      <c r="U16">
        <v>2492</v>
      </c>
      <c r="V16" s="17">
        <v>2521</v>
      </c>
      <c r="W16" t="s">
        <v>49</v>
      </c>
      <c r="X16" t="s">
        <v>244</v>
      </c>
      <c r="Y16" t="s">
        <v>289</v>
      </c>
      <c r="Z16" t="s">
        <v>137</v>
      </c>
      <c r="AA16" t="s">
        <v>137</v>
      </c>
      <c r="AB16" t="s">
        <v>300</v>
      </c>
      <c r="AC16" t="s">
        <v>239</v>
      </c>
      <c r="AD16" t="s">
        <v>137</v>
      </c>
      <c r="AE16" t="s">
        <v>137</v>
      </c>
      <c r="AF16" t="s">
        <v>200</v>
      </c>
      <c r="AG16" s="17"/>
      <c r="AH16"/>
      <c r="AI16" s="17"/>
      <c r="AJ16" s="17" t="s">
        <v>217</v>
      </c>
      <c r="AK16"/>
      <c r="AL16">
        <v>743</v>
      </c>
      <c r="AM16" t="s">
        <v>96</v>
      </c>
      <c r="AN16"/>
      <c r="AO16" s="18" t="s">
        <v>326</v>
      </c>
      <c r="AP16"/>
      <c r="AQ16"/>
      <c r="AR16" s="19" t="s">
        <v>452</v>
      </c>
      <c r="AS16" s="20" t="s">
        <v>453</v>
      </c>
      <c r="AT16" s="20" t="s">
        <v>454</v>
      </c>
      <c r="AU16" s="20" t="s">
        <v>455</v>
      </c>
      <c r="AV16" s="20" t="s">
        <v>455</v>
      </c>
      <c r="AW16" s="21">
        <f t="shared" si="0"/>
        <v>47</v>
      </c>
      <c r="AX16" s="20" t="s">
        <v>409</v>
      </c>
      <c r="AY16" s="22" t="s">
        <v>338</v>
      </c>
      <c r="AZ16" s="23"/>
      <c r="BA16" s="20" t="s">
        <v>410</v>
      </c>
      <c r="BB16" s="23"/>
      <c r="BC16" s="20" t="s">
        <v>411</v>
      </c>
      <c r="BD16" s="20" t="s">
        <v>456</v>
      </c>
      <c r="BE16" s="23"/>
      <c r="BF16" s="23"/>
      <c r="BG16" s="23"/>
      <c r="BH16" s="20" t="s">
        <v>419</v>
      </c>
      <c r="BI16" s="23"/>
      <c r="BJ16" s="23"/>
      <c r="BK16" s="23"/>
      <c r="BL16" s="20" t="s">
        <v>342</v>
      </c>
      <c r="BM16" s="23"/>
      <c r="BN16" s="20" t="s">
        <v>343</v>
      </c>
      <c r="BO16" s="23"/>
      <c r="BP16" s="23"/>
      <c r="BQ16" t="s">
        <v>457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681</v>
      </c>
      <c r="DG16" s="1" t="s">
        <v>681</v>
      </c>
    </row>
    <row r="17" spans="1:111" ht="12" customHeight="1" x14ac:dyDescent="0.25">
      <c r="A17" t="s">
        <v>219</v>
      </c>
      <c r="B17" s="15" t="s">
        <v>101</v>
      </c>
      <c r="C17"/>
      <c r="D17" t="s">
        <v>271</v>
      </c>
      <c r="E17" t="s">
        <v>682</v>
      </c>
      <c r="F17" t="s">
        <v>271</v>
      </c>
      <c r="G17" t="s">
        <v>682</v>
      </c>
      <c r="H17" s="16" t="s">
        <v>178</v>
      </c>
      <c r="I17"/>
      <c r="J17"/>
      <c r="K17"/>
      <c r="L17"/>
      <c r="M17"/>
      <c r="N17"/>
      <c r="O17"/>
      <c r="P17"/>
      <c r="Q17"/>
      <c r="R17"/>
      <c r="S17" t="s">
        <v>204</v>
      </c>
      <c r="T17"/>
      <c r="U17">
        <v>2491</v>
      </c>
      <c r="V17" s="17">
        <v>2522</v>
      </c>
      <c r="W17" t="s">
        <v>49</v>
      </c>
      <c r="X17" t="s">
        <v>244</v>
      </c>
      <c r="Y17" t="s">
        <v>289</v>
      </c>
      <c r="Z17" t="s">
        <v>214</v>
      </c>
      <c r="AA17" t="s">
        <v>214</v>
      </c>
      <c r="AB17" t="s">
        <v>301</v>
      </c>
      <c r="AC17" t="s">
        <v>239</v>
      </c>
      <c r="AD17" t="s">
        <v>214</v>
      </c>
      <c r="AE17" t="s">
        <v>214</v>
      </c>
      <c r="AF17" t="s">
        <v>166</v>
      </c>
      <c r="AG17" s="17"/>
      <c r="AH17"/>
      <c r="AI17" s="17"/>
      <c r="AJ17" s="17" t="s">
        <v>131</v>
      </c>
      <c r="AK17"/>
      <c r="AL17">
        <v>743</v>
      </c>
      <c r="AM17" t="s">
        <v>78</v>
      </c>
      <c r="AN17"/>
      <c r="AO17" s="18" t="s">
        <v>326</v>
      </c>
      <c r="AP17"/>
      <c r="AQ17"/>
      <c r="AR17" s="19" t="s">
        <v>458</v>
      </c>
      <c r="AS17" s="20" t="s">
        <v>459</v>
      </c>
      <c r="AT17" s="20" t="s">
        <v>460</v>
      </c>
      <c r="AU17" s="20" t="s">
        <v>461</v>
      </c>
      <c r="AV17" s="20" t="s">
        <v>461</v>
      </c>
      <c r="AW17" s="21">
        <f t="shared" si="0"/>
        <v>47</v>
      </c>
      <c r="AX17" s="20" t="s">
        <v>409</v>
      </c>
      <c r="AY17" s="22" t="s">
        <v>338</v>
      </c>
      <c r="AZ17" s="23"/>
      <c r="BA17" s="20" t="s">
        <v>410</v>
      </c>
      <c r="BB17" s="23"/>
      <c r="BC17" s="20" t="s">
        <v>411</v>
      </c>
      <c r="BD17" s="20" t="s">
        <v>462</v>
      </c>
      <c r="BE17" s="23"/>
      <c r="BF17" s="23"/>
      <c r="BG17" s="23"/>
      <c r="BH17" s="20" t="s">
        <v>419</v>
      </c>
      <c r="BI17" s="23"/>
      <c r="BJ17" s="23"/>
      <c r="BK17" s="23"/>
      <c r="BL17" s="20" t="s">
        <v>342</v>
      </c>
      <c r="BM17" s="23"/>
      <c r="BN17" s="20" t="s">
        <v>343</v>
      </c>
      <c r="BO17" s="23"/>
      <c r="BP17" s="23"/>
      <c r="BQ17" t="s">
        <v>463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681</v>
      </c>
      <c r="DG17" s="1" t="s">
        <v>681</v>
      </c>
    </row>
    <row r="18" spans="1:111" ht="12" customHeight="1" x14ac:dyDescent="0.25">
      <c r="A18" t="s">
        <v>219</v>
      </c>
      <c r="B18" s="15" t="s">
        <v>101</v>
      </c>
      <c r="C18"/>
      <c r="D18" t="s">
        <v>271</v>
      </c>
      <c r="E18" t="s">
        <v>682</v>
      </c>
      <c r="F18" t="s">
        <v>271</v>
      </c>
      <c r="G18" t="s">
        <v>682</v>
      </c>
      <c r="H18" s="16" t="s">
        <v>178</v>
      </c>
      <c r="I18"/>
      <c r="J18"/>
      <c r="K18"/>
      <c r="L18"/>
      <c r="M18"/>
      <c r="N18"/>
      <c r="O18"/>
      <c r="P18"/>
      <c r="Q18"/>
      <c r="R18"/>
      <c r="S18" t="s">
        <v>204</v>
      </c>
      <c r="T18"/>
      <c r="U18">
        <v>1992</v>
      </c>
      <c r="V18" s="17">
        <v>2523</v>
      </c>
      <c r="W18" t="s">
        <v>49</v>
      </c>
      <c r="X18" t="s">
        <v>244</v>
      </c>
      <c r="Y18" t="s">
        <v>289</v>
      </c>
      <c r="Z18" t="s">
        <v>228</v>
      </c>
      <c r="AA18" t="s">
        <v>228</v>
      </c>
      <c r="AB18" t="s">
        <v>302</v>
      </c>
      <c r="AC18" t="s">
        <v>239</v>
      </c>
      <c r="AD18" t="s">
        <v>228</v>
      </c>
      <c r="AE18" t="s">
        <v>228</v>
      </c>
      <c r="AF18" t="s">
        <v>42</v>
      </c>
      <c r="AG18" s="17"/>
      <c r="AH18"/>
      <c r="AI18" s="17"/>
      <c r="AJ18" s="17" t="s">
        <v>52</v>
      </c>
      <c r="AK18"/>
      <c r="AL18">
        <v>743</v>
      </c>
      <c r="AM18" t="s">
        <v>37</v>
      </c>
      <c r="AN18"/>
      <c r="AO18" s="18" t="s">
        <v>326</v>
      </c>
      <c r="AP18"/>
      <c r="AQ18"/>
      <c r="AR18" s="19" t="s">
        <v>464</v>
      </c>
      <c r="AS18" s="20" t="s">
        <v>465</v>
      </c>
      <c r="AT18" s="20" t="s">
        <v>466</v>
      </c>
      <c r="AU18" s="20" t="s">
        <v>467</v>
      </c>
      <c r="AV18" s="20" t="s">
        <v>467</v>
      </c>
      <c r="AW18" s="21">
        <f t="shared" si="0"/>
        <v>51</v>
      </c>
      <c r="AX18" s="20" t="s">
        <v>409</v>
      </c>
      <c r="AY18" s="22" t="s">
        <v>338</v>
      </c>
      <c r="AZ18" s="20" t="s">
        <v>468</v>
      </c>
      <c r="BA18" s="23"/>
      <c r="BB18" s="23"/>
      <c r="BC18" s="20" t="s">
        <v>469</v>
      </c>
      <c r="BD18" s="20" t="s">
        <v>470</v>
      </c>
      <c r="BE18" s="23"/>
      <c r="BF18" s="23"/>
      <c r="BG18" s="23"/>
      <c r="BH18" s="20" t="s">
        <v>450</v>
      </c>
      <c r="BI18" s="23"/>
      <c r="BJ18" s="23"/>
      <c r="BK18" s="23"/>
      <c r="BL18" s="20" t="s">
        <v>342</v>
      </c>
      <c r="BM18" s="23"/>
      <c r="BN18" s="20" t="s">
        <v>343</v>
      </c>
      <c r="BO18" s="23"/>
      <c r="BP18" s="23"/>
      <c r="BQ18" t="s">
        <v>471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681</v>
      </c>
      <c r="DG18" s="1" t="s">
        <v>681</v>
      </c>
    </row>
    <row r="19" spans="1:111" ht="12" customHeight="1" x14ac:dyDescent="0.25">
      <c r="A19" t="s">
        <v>219</v>
      </c>
      <c r="B19" s="15" t="s">
        <v>101</v>
      </c>
      <c r="C19"/>
      <c r="D19" t="s">
        <v>271</v>
      </c>
      <c r="E19" t="s">
        <v>682</v>
      </c>
      <c r="F19" t="s">
        <v>271</v>
      </c>
      <c r="G19" t="s">
        <v>682</v>
      </c>
      <c r="H19" s="16" t="s">
        <v>178</v>
      </c>
      <c r="I19"/>
      <c r="J19"/>
      <c r="K19"/>
      <c r="L19"/>
      <c r="M19"/>
      <c r="N19"/>
      <c r="O19"/>
      <c r="P19"/>
      <c r="Q19"/>
      <c r="R19"/>
      <c r="S19" t="s">
        <v>204</v>
      </c>
      <c r="T19"/>
      <c r="U19">
        <v>1991</v>
      </c>
      <c r="V19" s="17">
        <v>2524</v>
      </c>
      <c r="W19" t="s">
        <v>49</v>
      </c>
      <c r="X19" t="s">
        <v>244</v>
      </c>
      <c r="Y19" t="s">
        <v>289</v>
      </c>
      <c r="Z19" t="s">
        <v>157</v>
      </c>
      <c r="AA19" t="s">
        <v>157</v>
      </c>
      <c r="AB19" t="s">
        <v>303</v>
      </c>
      <c r="AC19" t="s">
        <v>239</v>
      </c>
      <c r="AD19" t="s">
        <v>157</v>
      </c>
      <c r="AE19" t="s">
        <v>157</v>
      </c>
      <c r="AF19" t="s">
        <v>44</v>
      </c>
      <c r="AG19" s="17"/>
      <c r="AH19"/>
      <c r="AI19" s="17"/>
      <c r="AJ19" s="17" t="s">
        <v>176</v>
      </c>
      <c r="AK19"/>
      <c r="AL19">
        <v>743</v>
      </c>
      <c r="AM19" t="s">
        <v>245</v>
      </c>
      <c r="AN19"/>
      <c r="AO19" s="18" t="s">
        <v>326</v>
      </c>
      <c r="AP19"/>
      <c r="AQ19"/>
      <c r="AR19" s="19" t="s">
        <v>472</v>
      </c>
      <c r="AS19" s="20" t="s">
        <v>473</v>
      </c>
      <c r="AT19" s="20" t="s">
        <v>474</v>
      </c>
      <c r="AU19" s="20" t="s">
        <v>475</v>
      </c>
      <c r="AV19" s="20" t="s">
        <v>476</v>
      </c>
      <c r="AW19" s="21">
        <f t="shared" si="0"/>
        <v>60</v>
      </c>
      <c r="AX19" s="20" t="s">
        <v>409</v>
      </c>
      <c r="AY19" s="22" t="s">
        <v>338</v>
      </c>
      <c r="AZ19" s="20" t="s">
        <v>468</v>
      </c>
      <c r="BA19" s="23"/>
      <c r="BB19" s="23"/>
      <c r="BC19" s="20" t="s">
        <v>469</v>
      </c>
      <c r="BD19" s="20" t="s">
        <v>477</v>
      </c>
      <c r="BE19" s="23"/>
      <c r="BF19" s="23"/>
      <c r="BG19" s="23"/>
      <c r="BH19" s="20" t="s">
        <v>478</v>
      </c>
      <c r="BI19" s="20" t="s">
        <v>479</v>
      </c>
      <c r="BJ19" s="23"/>
      <c r="BK19" s="23"/>
      <c r="BL19" s="20" t="s">
        <v>342</v>
      </c>
      <c r="BM19" s="23"/>
      <c r="BN19" s="20" t="s">
        <v>343</v>
      </c>
      <c r="BO19" s="23"/>
      <c r="BP19" s="23"/>
      <c r="BQ19" t="s">
        <v>480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681</v>
      </c>
      <c r="DG19" s="1" t="s">
        <v>681</v>
      </c>
    </row>
    <row r="20" spans="1:111" ht="12" customHeight="1" x14ac:dyDescent="0.25">
      <c r="A20" t="s">
        <v>219</v>
      </c>
      <c r="B20" s="15" t="s">
        <v>101</v>
      </c>
      <c r="C20"/>
      <c r="D20" t="s">
        <v>271</v>
      </c>
      <c r="E20" t="s">
        <v>682</v>
      </c>
      <c r="F20" t="s">
        <v>271</v>
      </c>
      <c r="G20" t="s">
        <v>682</v>
      </c>
      <c r="H20" s="16" t="s">
        <v>178</v>
      </c>
      <c r="I20"/>
      <c r="J20"/>
      <c r="K20"/>
      <c r="L20"/>
      <c r="M20"/>
      <c r="N20"/>
      <c r="O20"/>
      <c r="P20"/>
      <c r="Q20"/>
      <c r="R20"/>
      <c r="S20" t="s">
        <v>204</v>
      </c>
      <c r="T20"/>
      <c r="U20">
        <v>1990</v>
      </c>
      <c r="V20" s="17">
        <v>2525</v>
      </c>
      <c r="W20" t="s">
        <v>49</v>
      </c>
      <c r="X20" t="s">
        <v>244</v>
      </c>
      <c r="Y20" t="s">
        <v>289</v>
      </c>
      <c r="Z20" t="s">
        <v>26</v>
      </c>
      <c r="AA20" t="s">
        <v>26</v>
      </c>
      <c r="AB20" t="s">
        <v>304</v>
      </c>
      <c r="AC20" t="s">
        <v>239</v>
      </c>
      <c r="AD20" t="s">
        <v>26</v>
      </c>
      <c r="AE20" t="s">
        <v>26</v>
      </c>
      <c r="AF20" t="s">
        <v>184</v>
      </c>
      <c r="AG20" s="17"/>
      <c r="AH20"/>
      <c r="AI20" s="17"/>
      <c r="AJ20" s="17" t="s">
        <v>138</v>
      </c>
      <c r="AK20"/>
      <c r="AL20">
        <v>743</v>
      </c>
      <c r="AM20" t="s">
        <v>126</v>
      </c>
      <c r="AN20"/>
      <c r="AO20" s="18" t="s">
        <v>326</v>
      </c>
      <c r="AP20"/>
      <c r="AQ20"/>
      <c r="AR20" s="19" t="s">
        <v>481</v>
      </c>
      <c r="AS20" s="20" t="s">
        <v>482</v>
      </c>
      <c r="AT20" s="20" t="s">
        <v>483</v>
      </c>
      <c r="AU20" s="20" t="s">
        <v>484</v>
      </c>
      <c r="AV20" s="20" t="s">
        <v>485</v>
      </c>
      <c r="AW20" s="21">
        <f t="shared" si="0"/>
        <v>55</v>
      </c>
      <c r="AX20" s="20" t="s">
        <v>409</v>
      </c>
      <c r="AY20" s="22" t="s">
        <v>338</v>
      </c>
      <c r="AZ20" s="20" t="s">
        <v>468</v>
      </c>
      <c r="BA20" s="20" t="s">
        <v>486</v>
      </c>
      <c r="BB20" s="23"/>
      <c r="BC20" s="20" t="s">
        <v>487</v>
      </c>
      <c r="BD20" s="20" t="s">
        <v>488</v>
      </c>
      <c r="BE20" s="23"/>
      <c r="BF20" s="23"/>
      <c r="BG20" s="23"/>
      <c r="BH20" s="20" t="s">
        <v>489</v>
      </c>
      <c r="BI20" s="20" t="s">
        <v>479</v>
      </c>
      <c r="BJ20" s="23"/>
      <c r="BK20" s="23"/>
      <c r="BL20" s="20" t="s">
        <v>342</v>
      </c>
      <c r="BM20" s="23"/>
      <c r="BN20" s="20" t="s">
        <v>343</v>
      </c>
      <c r="BO20" s="23"/>
      <c r="BP20" s="23"/>
      <c r="BQ20" t="s">
        <v>490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681</v>
      </c>
      <c r="DG20" s="1" t="s">
        <v>681</v>
      </c>
    </row>
    <row r="21" spans="1:111" ht="12" customHeight="1" x14ac:dyDescent="0.25">
      <c r="A21" t="s">
        <v>219</v>
      </c>
      <c r="B21" s="15" t="s">
        <v>101</v>
      </c>
      <c r="C21"/>
      <c r="D21" t="s">
        <v>271</v>
      </c>
      <c r="E21" t="s">
        <v>682</v>
      </c>
      <c r="F21" t="s">
        <v>271</v>
      </c>
      <c r="G21" t="s">
        <v>682</v>
      </c>
      <c r="H21" s="16" t="s">
        <v>178</v>
      </c>
      <c r="I21"/>
      <c r="J21"/>
      <c r="K21"/>
      <c r="L21"/>
      <c r="M21"/>
      <c r="N21"/>
      <c r="O21"/>
      <c r="P21"/>
      <c r="Q21"/>
      <c r="R21"/>
      <c r="S21" t="s">
        <v>204</v>
      </c>
      <c r="T21"/>
      <c r="U21">
        <v>1913</v>
      </c>
      <c r="V21" s="17">
        <v>2526</v>
      </c>
      <c r="W21" t="s">
        <v>49</v>
      </c>
      <c r="X21" t="s">
        <v>244</v>
      </c>
      <c r="Y21" t="s">
        <v>289</v>
      </c>
      <c r="Z21" t="s">
        <v>182</v>
      </c>
      <c r="AA21" t="s">
        <v>182</v>
      </c>
      <c r="AB21" t="s">
        <v>305</v>
      </c>
      <c r="AC21" t="s">
        <v>239</v>
      </c>
      <c r="AD21" t="s">
        <v>182</v>
      </c>
      <c r="AE21" t="s">
        <v>182</v>
      </c>
      <c r="AF21" t="s">
        <v>56</v>
      </c>
      <c r="AG21" s="17"/>
      <c r="AH21"/>
      <c r="AI21" s="17"/>
      <c r="AJ21" s="17" t="s">
        <v>98</v>
      </c>
      <c r="AK21"/>
      <c r="AL21">
        <v>743</v>
      </c>
      <c r="AM21" t="s">
        <v>142</v>
      </c>
      <c r="AN21"/>
      <c r="AO21" s="18" t="s">
        <v>327</v>
      </c>
      <c r="AP21"/>
      <c r="AQ21"/>
      <c r="AR21" s="19" t="s">
        <v>491</v>
      </c>
      <c r="AS21" s="23" t="s">
        <v>492</v>
      </c>
      <c r="AT21" s="23" t="s">
        <v>493</v>
      </c>
      <c r="AU21" s="23" t="s">
        <v>494</v>
      </c>
      <c r="AV21" s="23" t="s">
        <v>495</v>
      </c>
      <c r="AW21" s="21">
        <f t="shared" si="0"/>
        <v>57</v>
      </c>
      <c r="AX21" s="23" t="s">
        <v>496</v>
      </c>
      <c r="AY21" s="22" t="s">
        <v>338</v>
      </c>
      <c r="AZ21" s="20" t="s">
        <v>497</v>
      </c>
      <c r="BA21" s="23"/>
      <c r="BB21" s="23"/>
      <c r="BC21" s="20" t="s">
        <v>498</v>
      </c>
      <c r="BD21" s="20" t="s">
        <v>499</v>
      </c>
      <c r="BE21" s="23"/>
      <c r="BF21" s="23"/>
      <c r="BG21" s="23"/>
      <c r="BH21" s="20" t="s">
        <v>500</v>
      </c>
      <c r="BI21" s="23"/>
      <c r="BJ21" s="23"/>
      <c r="BK21" s="23"/>
      <c r="BL21" s="20" t="s">
        <v>342</v>
      </c>
      <c r="BM21" s="23"/>
      <c r="BN21" s="20" t="s">
        <v>343</v>
      </c>
      <c r="BO21" s="23"/>
      <c r="BP21" s="23"/>
      <c r="BQ21" t="s">
        <v>501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681</v>
      </c>
      <c r="DG21" s="1" t="s">
        <v>681</v>
      </c>
    </row>
    <row r="22" spans="1:111" ht="12" customHeight="1" x14ac:dyDescent="0.25">
      <c r="A22" t="s">
        <v>219</v>
      </c>
      <c r="B22" s="15" t="s">
        <v>101</v>
      </c>
      <c r="C22"/>
      <c r="D22" t="s">
        <v>271</v>
      </c>
      <c r="E22" t="s">
        <v>682</v>
      </c>
      <c r="F22" t="s">
        <v>271</v>
      </c>
      <c r="G22" t="s">
        <v>682</v>
      </c>
      <c r="H22" s="16" t="s">
        <v>178</v>
      </c>
      <c r="I22"/>
      <c r="J22"/>
      <c r="K22"/>
      <c r="L22"/>
      <c r="M22"/>
      <c r="N22"/>
      <c r="O22"/>
      <c r="P22"/>
      <c r="Q22"/>
      <c r="R22"/>
      <c r="S22" t="s">
        <v>204</v>
      </c>
      <c r="T22"/>
      <c r="U22">
        <v>2244</v>
      </c>
      <c r="V22" s="17">
        <v>2527</v>
      </c>
      <c r="W22" t="s">
        <v>49</v>
      </c>
      <c r="X22" t="s">
        <v>244</v>
      </c>
      <c r="Y22" t="s">
        <v>289</v>
      </c>
      <c r="Z22" t="s">
        <v>65</v>
      </c>
      <c r="AA22" t="s">
        <v>65</v>
      </c>
      <c r="AB22" t="s">
        <v>306</v>
      </c>
      <c r="AC22" t="s">
        <v>239</v>
      </c>
      <c r="AD22" t="s">
        <v>65</v>
      </c>
      <c r="AE22" t="s">
        <v>65</v>
      </c>
      <c r="AF22" t="s">
        <v>6</v>
      </c>
      <c r="AG22" s="17"/>
      <c r="AH22"/>
      <c r="AI22" s="17"/>
      <c r="AJ22" s="17" t="s">
        <v>162</v>
      </c>
      <c r="AK22"/>
      <c r="AL22">
        <v>743</v>
      </c>
      <c r="AM22" t="s">
        <v>169</v>
      </c>
      <c r="AN22"/>
      <c r="AO22" s="18" t="s">
        <v>327</v>
      </c>
      <c r="AP22"/>
      <c r="AQ22"/>
      <c r="AR22" s="19" t="s">
        <v>502</v>
      </c>
      <c r="AS22" s="23" t="s">
        <v>503</v>
      </c>
      <c r="AT22" s="23" t="s">
        <v>504</v>
      </c>
      <c r="AU22" s="23" t="s">
        <v>505</v>
      </c>
      <c r="AV22" s="23" t="s">
        <v>505</v>
      </c>
      <c r="AW22" s="21">
        <f t="shared" si="0"/>
        <v>51</v>
      </c>
      <c r="AX22" s="23" t="s">
        <v>496</v>
      </c>
      <c r="AY22" s="22" t="s">
        <v>338</v>
      </c>
      <c r="AZ22" s="23"/>
      <c r="BA22" s="23"/>
      <c r="BB22" s="23"/>
      <c r="BC22" s="20" t="s">
        <v>506</v>
      </c>
      <c r="BD22" s="20" t="s">
        <v>507</v>
      </c>
      <c r="BE22" s="23"/>
      <c r="BF22" s="23"/>
      <c r="BG22" s="20" t="s">
        <v>508</v>
      </c>
      <c r="BH22" s="20" t="s">
        <v>509</v>
      </c>
      <c r="BI22" s="23"/>
      <c r="BJ22" s="23"/>
      <c r="BK22" s="23"/>
      <c r="BL22" s="20" t="s">
        <v>342</v>
      </c>
      <c r="BM22" s="23"/>
      <c r="BN22" s="20" t="s">
        <v>343</v>
      </c>
      <c r="BO22" s="23"/>
      <c r="BP22" s="23"/>
      <c r="BQ22" t="s">
        <v>510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681</v>
      </c>
      <c r="DG22" s="1" t="s">
        <v>681</v>
      </c>
    </row>
    <row r="23" spans="1:111" ht="12" customHeight="1" x14ac:dyDescent="0.25">
      <c r="A23" t="s">
        <v>219</v>
      </c>
      <c r="B23" s="15" t="s">
        <v>101</v>
      </c>
      <c r="C23"/>
      <c r="D23" t="s">
        <v>271</v>
      </c>
      <c r="E23" t="s">
        <v>682</v>
      </c>
      <c r="F23" t="s">
        <v>271</v>
      </c>
      <c r="G23" t="s">
        <v>682</v>
      </c>
      <c r="H23" s="16" t="s">
        <v>178</v>
      </c>
      <c r="I23"/>
      <c r="J23"/>
      <c r="K23"/>
      <c r="L23"/>
      <c r="M23"/>
      <c r="N23"/>
      <c r="O23"/>
      <c r="P23"/>
      <c r="Q23"/>
      <c r="R23"/>
      <c r="S23" t="s">
        <v>204</v>
      </c>
      <c r="T23"/>
      <c r="U23">
        <v>2245</v>
      </c>
      <c r="V23" s="17">
        <v>2528</v>
      </c>
      <c r="W23" t="s">
        <v>49</v>
      </c>
      <c r="X23" t="s">
        <v>244</v>
      </c>
      <c r="Y23" t="s">
        <v>289</v>
      </c>
      <c r="Z23" t="s">
        <v>35</v>
      </c>
      <c r="AA23" t="s">
        <v>35</v>
      </c>
      <c r="AB23" t="s">
        <v>307</v>
      </c>
      <c r="AC23" t="s">
        <v>239</v>
      </c>
      <c r="AD23" t="s">
        <v>35</v>
      </c>
      <c r="AE23" t="s">
        <v>35</v>
      </c>
      <c r="AF23" t="s">
        <v>220</v>
      </c>
      <c r="AG23" s="17"/>
      <c r="AH23"/>
      <c r="AI23" s="17"/>
      <c r="AJ23" s="17" t="s">
        <v>229</v>
      </c>
      <c r="AK23"/>
      <c r="AL23">
        <v>743</v>
      </c>
      <c r="AM23" t="s">
        <v>224</v>
      </c>
      <c r="AN23"/>
      <c r="AO23" s="18" t="s">
        <v>327</v>
      </c>
      <c r="AP23"/>
      <c r="AQ23"/>
      <c r="AR23" s="19" t="s">
        <v>511</v>
      </c>
      <c r="AS23" s="23" t="s">
        <v>512</v>
      </c>
      <c r="AT23" s="23" t="s">
        <v>513</v>
      </c>
      <c r="AU23" s="23" t="s">
        <v>514</v>
      </c>
      <c r="AV23" s="23" t="s">
        <v>514</v>
      </c>
      <c r="AW23" s="21">
        <f t="shared" si="0"/>
        <v>51</v>
      </c>
      <c r="AX23" s="23" t="s">
        <v>496</v>
      </c>
      <c r="AY23" s="22" t="s">
        <v>338</v>
      </c>
      <c r="AZ23" s="23"/>
      <c r="BA23" s="23"/>
      <c r="BB23" s="23"/>
      <c r="BC23" s="20" t="s">
        <v>506</v>
      </c>
      <c r="BD23" s="20" t="s">
        <v>515</v>
      </c>
      <c r="BE23" s="23"/>
      <c r="BF23" s="23"/>
      <c r="BG23" s="20" t="s">
        <v>508</v>
      </c>
      <c r="BH23" s="20" t="s">
        <v>509</v>
      </c>
      <c r="BI23" s="23"/>
      <c r="BJ23" s="23"/>
      <c r="BK23" s="23"/>
      <c r="BL23" s="20" t="s">
        <v>342</v>
      </c>
      <c r="BM23" s="23"/>
      <c r="BN23" s="20" t="s">
        <v>343</v>
      </c>
      <c r="BO23" s="23"/>
      <c r="BP23" s="23"/>
      <c r="BQ23" t="s">
        <v>516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681</v>
      </c>
      <c r="DG23" s="1" t="s">
        <v>681</v>
      </c>
    </row>
    <row r="24" spans="1:111" ht="12" customHeight="1" x14ac:dyDescent="0.25">
      <c r="A24" t="s">
        <v>219</v>
      </c>
      <c r="B24" s="15" t="s">
        <v>101</v>
      </c>
      <c r="C24"/>
      <c r="D24" t="s">
        <v>271</v>
      </c>
      <c r="E24" t="s">
        <v>682</v>
      </c>
      <c r="F24" t="s">
        <v>271</v>
      </c>
      <c r="G24" t="s">
        <v>682</v>
      </c>
      <c r="H24" s="16" t="s">
        <v>178</v>
      </c>
      <c r="I24"/>
      <c r="J24"/>
      <c r="K24"/>
      <c r="L24"/>
      <c r="M24"/>
      <c r="N24"/>
      <c r="O24"/>
      <c r="P24"/>
      <c r="Q24"/>
      <c r="R24"/>
      <c r="S24" t="s">
        <v>204</v>
      </c>
      <c r="T24"/>
      <c r="U24">
        <v>2246</v>
      </c>
      <c r="V24" s="17">
        <v>2529</v>
      </c>
      <c r="W24" t="s">
        <v>49</v>
      </c>
      <c r="X24" t="s">
        <v>244</v>
      </c>
      <c r="Y24" t="s">
        <v>289</v>
      </c>
      <c r="Z24" t="s">
        <v>63</v>
      </c>
      <c r="AA24" t="s">
        <v>63</v>
      </c>
      <c r="AB24" t="s">
        <v>308</v>
      </c>
      <c r="AC24" t="s">
        <v>239</v>
      </c>
      <c r="AD24" t="s">
        <v>63</v>
      </c>
      <c r="AE24" t="s">
        <v>63</v>
      </c>
      <c r="AF24" t="s">
        <v>47</v>
      </c>
      <c r="AG24" s="17">
        <v>42292702</v>
      </c>
      <c r="AH24"/>
      <c r="AI24" s="17" t="s">
        <v>193</v>
      </c>
      <c r="AJ24" s="17" t="s">
        <v>154</v>
      </c>
      <c r="AK24"/>
      <c r="AL24">
        <v>743</v>
      </c>
      <c r="AM24" t="s">
        <v>90</v>
      </c>
      <c r="AN24"/>
      <c r="AO24" s="18" t="s">
        <v>327</v>
      </c>
      <c r="AP24"/>
      <c r="AQ24"/>
      <c r="AR24" s="19" t="s">
        <v>517</v>
      </c>
      <c r="AS24" s="23" t="s">
        <v>518</v>
      </c>
      <c r="AT24" s="23" t="s">
        <v>519</v>
      </c>
      <c r="AU24" s="23" t="s">
        <v>520</v>
      </c>
      <c r="AV24" s="23" t="s">
        <v>520</v>
      </c>
      <c r="AW24" s="21">
        <f t="shared" si="0"/>
        <v>51</v>
      </c>
      <c r="AX24" s="23" t="s">
        <v>496</v>
      </c>
      <c r="AY24" s="22" t="s">
        <v>338</v>
      </c>
      <c r="AZ24" s="23"/>
      <c r="BA24" s="23"/>
      <c r="BB24" s="23"/>
      <c r="BC24" s="20" t="s">
        <v>506</v>
      </c>
      <c r="BD24" s="20" t="s">
        <v>521</v>
      </c>
      <c r="BE24" s="23"/>
      <c r="BF24" s="23"/>
      <c r="BG24" s="20" t="s">
        <v>508</v>
      </c>
      <c r="BH24" s="20" t="s">
        <v>509</v>
      </c>
      <c r="BI24" s="23"/>
      <c r="BJ24" s="23"/>
      <c r="BK24" s="23"/>
      <c r="BL24" s="20" t="s">
        <v>342</v>
      </c>
      <c r="BM24" s="23"/>
      <c r="BN24" s="20" t="s">
        <v>343</v>
      </c>
      <c r="BO24" s="23"/>
      <c r="BP24" s="23"/>
      <c r="BQ24" t="s">
        <v>522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681</v>
      </c>
      <c r="DG24" s="1" t="s">
        <v>681</v>
      </c>
    </row>
    <row r="25" spans="1:111" ht="12" customHeight="1" x14ac:dyDescent="0.25">
      <c r="A25" t="s">
        <v>219</v>
      </c>
      <c r="B25" s="15" t="s">
        <v>101</v>
      </c>
      <c r="C25"/>
      <c r="D25" t="s">
        <v>271</v>
      </c>
      <c r="E25" t="s">
        <v>682</v>
      </c>
      <c r="F25" t="s">
        <v>271</v>
      </c>
      <c r="G25" t="s">
        <v>682</v>
      </c>
      <c r="H25" s="16" t="s">
        <v>178</v>
      </c>
      <c r="I25"/>
      <c r="J25"/>
      <c r="K25"/>
      <c r="L25"/>
      <c r="M25"/>
      <c r="N25"/>
      <c r="O25"/>
      <c r="P25"/>
      <c r="Q25"/>
      <c r="R25"/>
      <c r="S25" t="s">
        <v>204</v>
      </c>
      <c r="T25"/>
      <c r="U25">
        <v>2247</v>
      </c>
      <c r="V25" s="17">
        <v>2530</v>
      </c>
      <c r="W25" t="s">
        <v>49</v>
      </c>
      <c r="X25" t="s">
        <v>244</v>
      </c>
      <c r="Y25" t="s">
        <v>289</v>
      </c>
      <c r="Z25" t="s">
        <v>64</v>
      </c>
      <c r="AA25" t="s">
        <v>64</v>
      </c>
      <c r="AB25" t="s">
        <v>309</v>
      </c>
      <c r="AC25" t="s">
        <v>239</v>
      </c>
      <c r="AD25" t="s">
        <v>64</v>
      </c>
      <c r="AE25" t="s">
        <v>64</v>
      </c>
      <c r="AF25" t="s">
        <v>280</v>
      </c>
      <c r="AG25" s="17"/>
      <c r="AH25"/>
      <c r="AI25" s="17"/>
      <c r="AJ25" s="17" t="s">
        <v>175</v>
      </c>
      <c r="AK25"/>
      <c r="AL25">
        <v>743</v>
      </c>
      <c r="AM25" t="s">
        <v>70</v>
      </c>
      <c r="AN25"/>
      <c r="AO25" s="18" t="s">
        <v>327</v>
      </c>
      <c r="AP25"/>
      <c r="AQ25"/>
      <c r="AR25" s="19" t="s">
        <v>523</v>
      </c>
      <c r="AS25" s="23" t="s">
        <v>524</v>
      </c>
      <c r="AT25" s="23" t="s">
        <v>525</v>
      </c>
      <c r="AU25" s="23" t="s">
        <v>526</v>
      </c>
      <c r="AV25" s="23" t="s">
        <v>526</v>
      </c>
      <c r="AW25" s="21">
        <f t="shared" si="0"/>
        <v>51</v>
      </c>
      <c r="AX25" s="23" t="s">
        <v>496</v>
      </c>
      <c r="AY25" s="22" t="s">
        <v>338</v>
      </c>
      <c r="AZ25" s="23"/>
      <c r="BA25" s="23"/>
      <c r="BB25" s="23"/>
      <c r="BC25" s="20" t="s">
        <v>506</v>
      </c>
      <c r="BD25" s="20" t="s">
        <v>527</v>
      </c>
      <c r="BE25" s="23"/>
      <c r="BF25" s="23"/>
      <c r="BG25" s="20" t="s">
        <v>508</v>
      </c>
      <c r="BH25" s="20" t="s">
        <v>509</v>
      </c>
      <c r="BI25" s="23"/>
      <c r="BJ25" s="23"/>
      <c r="BK25" s="23"/>
      <c r="BL25" s="20" t="s">
        <v>342</v>
      </c>
      <c r="BM25" s="23"/>
      <c r="BN25" s="20" t="s">
        <v>343</v>
      </c>
      <c r="BO25" s="23"/>
      <c r="BP25" s="23"/>
      <c r="BQ25" t="s">
        <v>528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681</v>
      </c>
      <c r="DG25" s="1" t="s">
        <v>681</v>
      </c>
    </row>
    <row r="26" spans="1:111" ht="12" customHeight="1" x14ac:dyDescent="0.25">
      <c r="A26" t="s">
        <v>219</v>
      </c>
      <c r="B26" s="15" t="s">
        <v>101</v>
      </c>
      <c r="C26"/>
      <c r="D26" t="s">
        <v>271</v>
      </c>
      <c r="E26" t="s">
        <v>682</v>
      </c>
      <c r="F26" t="s">
        <v>271</v>
      </c>
      <c r="G26" t="s">
        <v>682</v>
      </c>
      <c r="H26" s="16" t="s">
        <v>178</v>
      </c>
      <c r="I26"/>
      <c r="J26"/>
      <c r="K26"/>
      <c r="L26"/>
      <c r="M26"/>
      <c r="N26"/>
      <c r="O26"/>
      <c r="P26"/>
      <c r="Q26"/>
      <c r="R26"/>
      <c r="S26" t="s">
        <v>204</v>
      </c>
      <c r="T26"/>
      <c r="U26">
        <v>2575</v>
      </c>
      <c r="V26" s="17">
        <v>2531</v>
      </c>
      <c r="W26" t="s">
        <v>49</v>
      </c>
      <c r="X26" t="s">
        <v>244</v>
      </c>
      <c r="Y26" t="s">
        <v>289</v>
      </c>
      <c r="Z26" t="s">
        <v>74</v>
      </c>
      <c r="AA26" t="s">
        <v>74</v>
      </c>
      <c r="AB26" t="s">
        <v>310</v>
      </c>
      <c r="AC26" t="s">
        <v>239</v>
      </c>
      <c r="AD26" t="s">
        <v>74</v>
      </c>
      <c r="AE26" t="s">
        <v>74</v>
      </c>
      <c r="AF26" t="s">
        <v>19</v>
      </c>
      <c r="AG26" s="17"/>
      <c r="AH26"/>
      <c r="AI26" s="17"/>
      <c r="AJ26" s="17" t="s">
        <v>120</v>
      </c>
      <c r="AK26"/>
      <c r="AL26">
        <v>743</v>
      </c>
      <c r="AM26" t="s">
        <v>92</v>
      </c>
      <c r="AN26"/>
      <c r="AO26" s="18" t="s">
        <v>327</v>
      </c>
      <c r="AP26"/>
      <c r="AQ26"/>
      <c r="AR26" s="19" t="s">
        <v>529</v>
      </c>
      <c r="AS26" s="23" t="s">
        <v>530</v>
      </c>
      <c r="AT26" s="23" t="s">
        <v>531</v>
      </c>
      <c r="AU26" s="23" t="s">
        <v>532</v>
      </c>
      <c r="AV26" s="23" t="s">
        <v>533</v>
      </c>
      <c r="AW26" s="21">
        <f t="shared" si="0"/>
        <v>60</v>
      </c>
      <c r="AX26" s="23" t="s">
        <v>496</v>
      </c>
      <c r="AY26" s="22" t="s">
        <v>338</v>
      </c>
      <c r="AZ26" s="23"/>
      <c r="BA26" s="23"/>
      <c r="BB26" s="23"/>
      <c r="BC26" s="20" t="s">
        <v>411</v>
      </c>
      <c r="BD26" s="20" t="s">
        <v>456</v>
      </c>
      <c r="BE26" s="23"/>
      <c r="BF26" s="23"/>
      <c r="BG26" s="20" t="s">
        <v>534</v>
      </c>
      <c r="BH26" s="20" t="s">
        <v>535</v>
      </c>
      <c r="BI26" s="23"/>
      <c r="BJ26" s="23"/>
      <c r="BK26" s="23"/>
      <c r="BL26" s="20" t="s">
        <v>342</v>
      </c>
      <c r="BM26" s="23"/>
      <c r="BN26" s="20" t="s">
        <v>343</v>
      </c>
      <c r="BO26" s="23"/>
      <c r="BP26" s="23"/>
      <c r="BQ26" t="s">
        <v>536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681</v>
      </c>
      <c r="DG26" s="1" t="s">
        <v>681</v>
      </c>
    </row>
    <row r="27" spans="1:111" ht="12" customHeight="1" x14ac:dyDescent="0.25">
      <c r="A27" t="s">
        <v>219</v>
      </c>
      <c r="B27" s="15" t="s">
        <v>101</v>
      </c>
      <c r="C27"/>
      <c r="D27" t="s">
        <v>271</v>
      </c>
      <c r="E27" t="s">
        <v>682</v>
      </c>
      <c r="F27" t="s">
        <v>271</v>
      </c>
      <c r="G27" t="s">
        <v>682</v>
      </c>
      <c r="H27" s="16" t="s">
        <v>178</v>
      </c>
      <c r="I27"/>
      <c r="J27"/>
      <c r="K27"/>
      <c r="L27"/>
      <c r="M27"/>
      <c r="N27"/>
      <c r="O27"/>
      <c r="P27"/>
      <c r="Q27"/>
      <c r="R27"/>
      <c r="S27" t="s">
        <v>204</v>
      </c>
      <c r="T27"/>
      <c r="U27">
        <v>2574</v>
      </c>
      <c r="V27" s="17">
        <v>2532</v>
      </c>
      <c r="W27" t="s">
        <v>49</v>
      </c>
      <c r="X27" t="s">
        <v>244</v>
      </c>
      <c r="Y27" t="s">
        <v>289</v>
      </c>
      <c r="Z27" t="s">
        <v>72</v>
      </c>
      <c r="AA27" t="s">
        <v>72</v>
      </c>
      <c r="AB27" t="s">
        <v>311</v>
      </c>
      <c r="AC27" t="s">
        <v>239</v>
      </c>
      <c r="AD27" t="s">
        <v>72</v>
      </c>
      <c r="AE27" t="s">
        <v>72</v>
      </c>
      <c r="AF27" t="s">
        <v>188</v>
      </c>
      <c r="AG27" s="17"/>
      <c r="AH27"/>
      <c r="AI27" s="17"/>
      <c r="AJ27" s="17" t="s">
        <v>269</v>
      </c>
      <c r="AK27"/>
      <c r="AL27">
        <v>743</v>
      </c>
      <c r="AM27" t="s">
        <v>285</v>
      </c>
      <c r="AN27"/>
      <c r="AO27" s="18" t="s">
        <v>327</v>
      </c>
      <c r="AP27"/>
      <c r="AQ27"/>
      <c r="AR27" s="19" t="s">
        <v>537</v>
      </c>
      <c r="AS27" s="23" t="s">
        <v>538</v>
      </c>
      <c r="AT27" s="23" t="s">
        <v>539</v>
      </c>
      <c r="AU27" s="23" t="s">
        <v>540</v>
      </c>
      <c r="AV27" s="23" t="s">
        <v>541</v>
      </c>
      <c r="AW27" s="21">
        <f t="shared" si="0"/>
        <v>60</v>
      </c>
      <c r="AX27" s="23" t="s">
        <v>496</v>
      </c>
      <c r="AY27" s="22" t="s">
        <v>338</v>
      </c>
      <c r="AZ27" s="23"/>
      <c r="BA27" s="23"/>
      <c r="BB27" s="23"/>
      <c r="BC27" s="20" t="s">
        <v>411</v>
      </c>
      <c r="BD27" s="20" t="s">
        <v>456</v>
      </c>
      <c r="BE27" s="23"/>
      <c r="BF27" s="23"/>
      <c r="BG27" s="20" t="s">
        <v>534</v>
      </c>
      <c r="BH27" s="20" t="s">
        <v>542</v>
      </c>
      <c r="BI27" s="23"/>
      <c r="BJ27" s="23"/>
      <c r="BK27" s="23"/>
      <c r="BL27" s="20" t="s">
        <v>342</v>
      </c>
      <c r="BM27" s="23"/>
      <c r="BN27" s="20" t="s">
        <v>343</v>
      </c>
      <c r="BO27" s="23"/>
      <c r="BP27" s="23"/>
      <c r="BQ27" t="s">
        <v>543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681</v>
      </c>
      <c r="DG27" s="1" t="s">
        <v>681</v>
      </c>
    </row>
    <row r="28" spans="1:111" ht="12" customHeight="1" x14ac:dyDescent="0.25">
      <c r="A28" t="s">
        <v>219</v>
      </c>
      <c r="B28" s="15" t="s">
        <v>101</v>
      </c>
      <c r="C28"/>
      <c r="D28" t="s">
        <v>271</v>
      </c>
      <c r="E28" t="s">
        <v>682</v>
      </c>
      <c r="F28" t="s">
        <v>271</v>
      </c>
      <c r="G28" t="s">
        <v>682</v>
      </c>
      <c r="H28" s="16" t="s">
        <v>178</v>
      </c>
      <c r="I28"/>
      <c r="J28"/>
      <c r="K28"/>
      <c r="L28"/>
      <c r="M28"/>
      <c r="N28"/>
      <c r="O28"/>
      <c r="P28"/>
      <c r="Q28"/>
      <c r="R28"/>
      <c r="S28" t="s">
        <v>204</v>
      </c>
      <c r="T28"/>
      <c r="U28">
        <v>2571</v>
      </c>
      <c r="V28" s="17">
        <v>2533</v>
      </c>
      <c r="W28" t="s">
        <v>49</v>
      </c>
      <c r="X28" t="s">
        <v>244</v>
      </c>
      <c r="Y28" t="s">
        <v>289</v>
      </c>
      <c r="Z28" t="s">
        <v>139</v>
      </c>
      <c r="AA28" t="s">
        <v>139</v>
      </c>
      <c r="AB28" t="s">
        <v>312</v>
      </c>
      <c r="AC28" t="s">
        <v>239</v>
      </c>
      <c r="AD28" t="s">
        <v>139</v>
      </c>
      <c r="AE28" t="s">
        <v>139</v>
      </c>
      <c r="AF28" t="s">
        <v>29</v>
      </c>
      <c r="AG28" s="17"/>
      <c r="AH28"/>
      <c r="AI28" s="17"/>
      <c r="AJ28" s="17" t="s">
        <v>210</v>
      </c>
      <c r="AK28"/>
      <c r="AL28">
        <v>743</v>
      </c>
      <c r="AM28" t="s">
        <v>38</v>
      </c>
      <c r="AN28"/>
      <c r="AO28" s="18" t="s">
        <v>327</v>
      </c>
      <c r="AP28"/>
      <c r="AQ28"/>
      <c r="AR28" s="19" t="s">
        <v>544</v>
      </c>
      <c r="AS28" s="23" t="s">
        <v>545</v>
      </c>
      <c r="AT28" s="23" t="s">
        <v>546</v>
      </c>
      <c r="AU28" s="23" t="s">
        <v>547</v>
      </c>
      <c r="AV28" s="23" t="s">
        <v>548</v>
      </c>
      <c r="AW28" s="21">
        <f t="shared" si="0"/>
        <v>55</v>
      </c>
      <c r="AX28" s="23" t="s">
        <v>496</v>
      </c>
      <c r="AY28" s="22" t="s">
        <v>338</v>
      </c>
      <c r="AZ28" s="23"/>
      <c r="BA28" s="23"/>
      <c r="BB28" s="23"/>
      <c r="BC28" s="20" t="s">
        <v>498</v>
      </c>
      <c r="BD28" s="23" t="s">
        <v>549</v>
      </c>
      <c r="BE28" s="23"/>
      <c r="BF28" s="23"/>
      <c r="BG28" s="20" t="s">
        <v>534</v>
      </c>
      <c r="BH28" s="20" t="s">
        <v>550</v>
      </c>
      <c r="BI28" s="23"/>
      <c r="BJ28" s="23"/>
      <c r="BK28" s="23"/>
      <c r="BL28" s="20" t="s">
        <v>342</v>
      </c>
      <c r="BM28" s="23"/>
      <c r="BN28" s="20" t="s">
        <v>343</v>
      </c>
      <c r="BO28" s="23"/>
      <c r="BP28" s="23"/>
      <c r="BQ28" t="s">
        <v>551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681</v>
      </c>
      <c r="DG28" s="1" t="s">
        <v>681</v>
      </c>
    </row>
    <row r="29" spans="1:111" ht="12" customHeight="1" x14ac:dyDescent="0.25">
      <c r="A29" t="s">
        <v>219</v>
      </c>
      <c r="B29" s="15" t="s">
        <v>101</v>
      </c>
      <c r="C29"/>
      <c r="D29" t="s">
        <v>271</v>
      </c>
      <c r="E29" t="s">
        <v>682</v>
      </c>
      <c r="F29" t="s">
        <v>271</v>
      </c>
      <c r="G29" t="s">
        <v>682</v>
      </c>
      <c r="H29" s="16" t="s">
        <v>178</v>
      </c>
      <c r="I29"/>
      <c r="J29"/>
      <c r="K29"/>
      <c r="L29"/>
      <c r="M29"/>
      <c r="N29"/>
      <c r="O29"/>
      <c r="P29"/>
      <c r="Q29"/>
      <c r="R29"/>
      <c r="S29" t="s">
        <v>204</v>
      </c>
      <c r="T29"/>
      <c r="U29">
        <v>2576</v>
      </c>
      <c r="V29" s="17">
        <v>2534</v>
      </c>
      <c r="W29" t="s">
        <v>49</v>
      </c>
      <c r="X29" t="s">
        <v>244</v>
      </c>
      <c r="Y29" t="s">
        <v>289</v>
      </c>
      <c r="Z29" t="s">
        <v>73</v>
      </c>
      <c r="AA29" t="s">
        <v>73</v>
      </c>
      <c r="AB29" t="s">
        <v>313</v>
      </c>
      <c r="AC29" t="s">
        <v>239</v>
      </c>
      <c r="AD29" t="s">
        <v>73</v>
      </c>
      <c r="AE29" t="s">
        <v>73</v>
      </c>
      <c r="AF29" t="s">
        <v>69</v>
      </c>
      <c r="AG29" s="17"/>
      <c r="AH29"/>
      <c r="AI29" s="17"/>
      <c r="AJ29" s="17" t="s">
        <v>1</v>
      </c>
      <c r="AK29"/>
      <c r="AL29">
        <v>743</v>
      </c>
      <c r="AM29" t="s">
        <v>282</v>
      </c>
      <c r="AN29"/>
      <c r="AO29" s="18" t="s">
        <v>327</v>
      </c>
      <c r="AP29"/>
      <c r="AQ29"/>
      <c r="AR29" s="19" t="s">
        <v>552</v>
      </c>
      <c r="AS29" s="23" t="s">
        <v>553</v>
      </c>
      <c r="AT29" s="23" t="s">
        <v>554</v>
      </c>
      <c r="AU29" s="23" t="s">
        <v>555</v>
      </c>
      <c r="AV29" s="23" t="s">
        <v>556</v>
      </c>
      <c r="AW29" s="21">
        <f t="shared" si="0"/>
        <v>57</v>
      </c>
      <c r="AX29" s="23" t="s">
        <v>496</v>
      </c>
      <c r="AY29" s="22" t="s">
        <v>338</v>
      </c>
      <c r="AZ29" s="23"/>
      <c r="BA29" s="23"/>
      <c r="BB29" s="23"/>
      <c r="BC29" s="20" t="s">
        <v>498</v>
      </c>
      <c r="BD29" s="20" t="s">
        <v>549</v>
      </c>
      <c r="BE29" s="23"/>
      <c r="BF29" s="23"/>
      <c r="BG29" s="20" t="s">
        <v>534</v>
      </c>
      <c r="BH29" s="20" t="s">
        <v>557</v>
      </c>
      <c r="BI29" s="23"/>
      <c r="BJ29" s="23"/>
      <c r="BK29" s="23"/>
      <c r="BL29" s="20" t="s">
        <v>342</v>
      </c>
      <c r="BM29" s="23"/>
      <c r="BN29" s="20" t="s">
        <v>343</v>
      </c>
      <c r="BO29" s="23"/>
      <c r="BP29" s="23"/>
      <c r="BQ29" t="s">
        <v>558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681</v>
      </c>
      <c r="DG29" s="1" t="s">
        <v>681</v>
      </c>
    </row>
    <row r="30" spans="1:111" ht="12" customHeight="1" x14ac:dyDescent="0.25">
      <c r="A30" t="s">
        <v>219</v>
      </c>
      <c r="B30" s="15" t="s">
        <v>101</v>
      </c>
      <c r="C30"/>
      <c r="D30" t="s">
        <v>271</v>
      </c>
      <c r="E30" t="s">
        <v>682</v>
      </c>
      <c r="F30" t="s">
        <v>271</v>
      </c>
      <c r="G30" t="s">
        <v>682</v>
      </c>
      <c r="H30" s="16" t="s">
        <v>178</v>
      </c>
      <c r="I30"/>
      <c r="J30"/>
      <c r="K30"/>
      <c r="L30"/>
      <c r="M30"/>
      <c r="N30"/>
      <c r="O30"/>
      <c r="P30"/>
      <c r="Q30"/>
      <c r="R30"/>
      <c r="S30" t="s">
        <v>204</v>
      </c>
      <c r="T30"/>
      <c r="U30">
        <v>2573</v>
      </c>
      <c r="V30" s="17">
        <v>2535</v>
      </c>
      <c r="W30" t="s">
        <v>49</v>
      </c>
      <c r="X30" t="s">
        <v>244</v>
      </c>
      <c r="Y30" t="s">
        <v>289</v>
      </c>
      <c r="Z30" t="s">
        <v>25</v>
      </c>
      <c r="AA30" t="s">
        <v>25</v>
      </c>
      <c r="AB30" t="s">
        <v>314</v>
      </c>
      <c r="AC30" t="s">
        <v>239</v>
      </c>
      <c r="AD30" t="s">
        <v>25</v>
      </c>
      <c r="AE30" t="s">
        <v>25</v>
      </c>
      <c r="AF30" t="s">
        <v>252</v>
      </c>
      <c r="AG30" s="17"/>
      <c r="AH30"/>
      <c r="AI30" s="17"/>
      <c r="AJ30" s="17" t="s">
        <v>60</v>
      </c>
      <c r="AK30"/>
      <c r="AL30">
        <v>743</v>
      </c>
      <c r="AM30" t="s">
        <v>32</v>
      </c>
      <c r="AN30"/>
      <c r="AO30" s="18" t="s">
        <v>327</v>
      </c>
      <c r="AP30"/>
      <c r="AQ30"/>
      <c r="AR30" s="19" t="s">
        <v>559</v>
      </c>
      <c r="AS30" s="23" t="s">
        <v>560</v>
      </c>
      <c r="AT30" s="23" t="s">
        <v>561</v>
      </c>
      <c r="AU30" s="23" t="s">
        <v>562</v>
      </c>
      <c r="AV30" s="23" t="s">
        <v>563</v>
      </c>
      <c r="AW30" s="21">
        <f t="shared" si="0"/>
        <v>58</v>
      </c>
      <c r="AX30" s="23" t="s">
        <v>496</v>
      </c>
      <c r="AY30" s="22" t="s">
        <v>338</v>
      </c>
      <c r="AZ30" s="23"/>
      <c r="BA30" s="23"/>
      <c r="BB30" s="23"/>
      <c r="BC30" s="20" t="s">
        <v>411</v>
      </c>
      <c r="BD30" s="20" t="s">
        <v>515</v>
      </c>
      <c r="BE30" s="23"/>
      <c r="BF30" s="23"/>
      <c r="BG30" s="20" t="s">
        <v>534</v>
      </c>
      <c r="BH30" s="20" t="s">
        <v>564</v>
      </c>
      <c r="BI30" s="23"/>
      <c r="BJ30" s="23"/>
      <c r="BK30" s="23"/>
      <c r="BL30" s="20" t="s">
        <v>342</v>
      </c>
      <c r="BM30" s="23"/>
      <c r="BN30" s="20" t="s">
        <v>343</v>
      </c>
      <c r="BO30" s="23"/>
      <c r="BP30" s="23"/>
      <c r="BQ30" t="s">
        <v>565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681</v>
      </c>
      <c r="DG30" s="1" t="s">
        <v>681</v>
      </c>
    </row>
    <row r="31" spans="1:111" ht="12" customHeight="1" x14ac:dyDescent="0.25">
      <c r="A31" t="s">
        <v>219</v>
      </c>
      <c r="B31" s="15" t="s">
        <v>101</v>
      </c>
      <c r="C31"/>
      <c r="D31" t="s">
        <v>271</v>
      </c>
      <c r="E31" t="s">
        <v>682</v>
      </c>
      <c r="F31" t="s">
        <v>271</v>
      </c>
      <c r="G31" t="s">
        <v>682</v>
      </c>
      <c r="H31" s="16" t="s">
        <v>178</v>
      </c>
      <c r="I31"/>
      <c r="J31"/>
      <c r="K31"/>
      <c r="L31"/>
      <c r="M31"/>
      <c r="N31"/>
      <c r="O31"/>
      <c r="P31"/>
      <c r="Q31"/>
      <c r="R31"/>
      <c r="S31" t="s">
        <v>204</v>
      </c>
      <c r="T31"/>
      <c r="U31">
        <v>2577</v>
      </c>
      <c r="V31" s="17">
        <v>2536</v>
      </c>
      <c r="W31" t="s">
        <v>49</v>
      </c>
      <c r="X31" t="s">
        <v>244</v>
      </c>
      <c r="Y31" t="s">
        <v>289</v>
      </c>
      <c r="Z31" t="s">
        <v>71</v>
      </c>
      <c r="AA31" t="s">
        <v>71</v>
      </c>
      <c r="AB31" t="s">
        <v>315</v>
      </c>
      <c r="AC31" t="s">
        <v>239</v>
      </c>
      <c r="AD31" t="s">
        <v>71</v>
      </c>
      <c r="AE31" t="s">
        <v>71</v>
      </c>
      <c r="AF31" t="s">
        <v>17</v>
      </c>
      <c r="AG31" s="17"/>
      <c r="AH31"/>
      <c r="AI31" s="17"/>
      <c r="AJ31" s="17" t="s">
        <v>132</v>
      </c>
      <c r="AK31"/>
      <c r="AL31">
        <v>743</v>
      </c>
      <c r="AM31" t="s">
        <v>143</v>
      </c>
      <c r="AN31"/>
      <c r="AO31" s="18" t="s">
        <v>327</v>
      </c>
      <c r="AP31"/>
      <c r="AQ31"/>
      <c r="AR31" s="19" t="s">
        <v>566</v>
      </c>
      <c r="AS31" s="23" t="s">
        <v>567</v>
      </c>
      <c r="AT31" s="23" t="s">
        <v>568</v>
      </c>
      <c r="AU31" s="23" t="s">
        <v>569</v>
      </c>
      <c r="AV31" s="23" t="s">
        <v>570</v>
      </c>
      <c r="AW31" s="21">
        <f t="shared" si="0"/>
        <v>56</v>
      </c>
      <c r="AX31" s="23" t="s">
        <v>496</v>
      </c>
      <c r="AY31" s="22" t="s">
        <v>338</v>
      </c>
      <c r="AZ31" s="23"/>
      <c r="BA31" s="23"/>
      <c r="BB31" s="23"/>
      <c r="BC31" s="20" t="s">
        <v>571</v>
      </c>
      <c r="BD31" s="20" t="s">
        <v>515</v>
      </c>
      <c r="BE31" s="23"/>
      <c r="BF31" s="23"/>
      <c r="BG31" s="20" t="s">
        <v>534</v>
      </c>
      <c r="BH31" s="20" t="s">
        <v>572</v>
      </c>
      <c r="BI31" s="23"/>
      <c r="BJ31" s="23"/>
      <c r="BK31" s="23"/>
      <c r="BL31" s="20" t="s">
        <v>342</v>
      </c>
      <c r="BM31" s="23"/>
      <c r="BN31" s="20" t="s">
        <v>343</v>
      </c>
      <c r="BO31" s="23"/>
      <c r="BP31" s="23"/>
      <c r="BQ31" t="s">
        <v>573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681</v>
      </c>
      <c r="DG31" s="1" t="s">
        <v>681</v>
      </c>
    </row>
    <row r="32" spans="1:111" ht="12" customHeight="1" x14ac:dyDescent="0.25">
      <c r="A32" t="s">
        <v>219</v>
      </c>
      <c r="B32" s="15" t="s">
        <v>101</v>
      </c>
      <c r="C32"/>
      <c r="D32" t="s">
        <v>271</v>
      </c>
      <c r="E32" t="s">
        <v>682</v>
      </c>
      <c r="F32" t="s">
        <v>271</v>
      </c>
      <c r="G32" t="s">
        <v>682</v>
      </c>
      <c r="H32" s="16" t="s">
        <v>178</v>
      </c>
      <c r="I32"/>
      <c r="J32"/>
      <c r="K32"/>
      <c r="L32"/>
      <c r="M32"/>
      <c r="N32"/>
      <c r="O32"/>
      <c r="P32"/>
      <c r="Q32"/>
      <c r="R32"/>
      <c r="S32" t="s">
        <v>204</v>
      </c>
      <c r="T32"/>
      <c r="U32">
        <v>2572</v>
      </c>
      <c r="V32" s="17">
        <v>2537</v>
      </c>
      <c r="W32" t="s">
        <v>49</v>
      </c>
      <c r="X32" t="s">
        <v>244</v>
      </c>
      <c r="Y32" t="s">
        <v>289</v>
      </c>
      <c r="Z32" t="s">
        <v>11</v>
      </c>
      <c r="AA32" t="s">
        <v>11</v>
      </c>
      <c r="AB32" t="s">
        <v>316</v>
      </c>
      <c r="AC32" t="s">
        <v>239</v>
      </c>
      <c r="AD32" t="s">
        <v>11</v>
      </c>
      <c r="AE32" t="s">
        <v>11</v>
      </c>
      <c r="AF32" t="s">
        <v>102</v>
      </c>
      <c r="AG32" s="17"/>
      <c r="AH32"/>
      <c r="AI32" s="17"/>
      <c r="AJ32" s="17" t="s">
        <v>273</v>
      </c>
      <c r="AK32"/>
      <c r="AL32">
        <v>743</v>
      </c>
      <c r="AM32" t="s">
        <v>122</v>
      </c>
      <c r="AN32"/>
      <c r="AO32" s="18" t="s">
        <v>327</v>
      </c>
      <c r="AP32"/>
      <c r="AQ32"/>
      <c r="AR32" s="19" t="s">
        <v>574</v>
      </c>
      <c r="AS32" s="23" t="s">
        <v>575</v>
      </c>
      <c r="AT32" s="23" t="s">
        <v>576</v>
      </c>
      <c r="AU32" s="23" t="s">
        <v>577</v>
      </c>
      <c r="AV32" s="23" t="s">
        <v>578</v>
      </c>
      <c r="AW32" s="21">
        <f t="shared" si="0"/>
        <v>57</v>
      </c>
      <c r="AX32" s="23" t="s">
        <v>496</v>
      </c>
      <c r="AY32" s="22" t="s">
        <v>338</v>
      </c>
      <c r="AZ32" s="23"/>
      <c r="BA32" s="23"/>
      <c r="BB32" s="23"/>
      <c r="BC32" s="20" t="s">
        <v>498</v>
      </c>
      <c r="BD32" s="20" t="s">
        <v>579</v>
      </c>
      <c r="BE32" s="23"/>
      <c r="BF32" s="23"/>
      <c r="BG32" s="20" t="s">
        <v>534</v>
      </c>
      <c r="BH32" s="20" t="s">
        <v>580</v>
      </c>
      <c r="BI32" s="23"/>
      <c r="BJ32" s="23"/>
      <c r="BK32" s="23"/>
      <c r="BL32" s="20" t="s">
        <v>342</v>
      </c>
      <c r="BM32" s="23"/>
      <c r="BN32" s="20" t="s">
        <v>343</v>
      </c>
      <c r="BO32" s="23"/>
      <c r="BP32" s="23"/>
      <c r="BQ32" t="s">
        <v>581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681</v>
      </c>
      <c r="DG32" s="1" t="s">
        <v>681</v>
      </c>
    </row>
    <row r="33" spans="1:111" ht="12" customHeight="1" x14ac:dyDescent="0.25">
      <c r="A33" t="s">
        <v>219</v>
      </c>
      <c r="B33" s="15" t="s">
        <v>101</v>
      </c>
      <c r="C33"/>
      <c r="D33" t="s">
        <v>271</v>
      </c>
      <c r="E33" t="s">
        <v>682</v>
      </c>
      <c r="F33" t="s">
        <v>271</v>
      </c>
      <c r="G33" t="s">
        <v>682</v>
      </c>
      <c r="H33" s="16" t="s">
        <v>178</v>
      </c>
      <c r="I33"/>
      <c r="J33"/>
      <c r="K33"/>
      <c r="L33"/>
      <c r="M33"/>
      <c r="N33"/>
      <c r="O33"/>
      <c r="P33"/>
      <c r="Q33"/>
      <c r="R33"/>
      <c r="S33" t="s">
        <v>204</v>
      </c>
      <c r="T33"/>
      <c r="U33">
        <v>2206</v>
      </c>
      <c r="V33" s="17">
        <v>2538</v>
      </c>
      <c r="W33" t="s">
        <v>49</v>
      </c>
      <c r="X33" t="s">
        <v>244</v>
      </c>
      <c r="Y33" t="s">
        <v>289</v>
      </c>
      <c r="Z33" t="s">
        <v>16</v>
      </c>
      <c r="AA33" t="s">
        <v>16</v>
      </c>
      <c r="AB33" t="s">
        <v>317</v>
      </c>
      <c r="AC33" t="s">
        <v>239</v>
      </c>
      <c r="AD33" t="s">
        <v>16</v>
      </c>
      <c r="AE33" t="s">
        <v>16</v>
      </c>
      <c r="AF33" t="s">
        <v>198</v>
      </c>
      <c r="AG33" s="17"/>
      <c r="AH33"/>
      <c r="AI33" s="17"/>
      <c r="AJ33" s="17" t="s">
        <v>172</v>
      </c>
      <c r="AK33"/>
      <c r="AL33">
        <v>743</v>
      </c>
      <c r="AM33" t="s">
        <v>159</v>
      </c>
      <c r="AN33"/>
      <c r="AO33" s="18" t="s">
        <v>324</v>
      </c>
      <c r="AP33"/>
      <c r="AQ33"/>
      <c r="AR33" s="19" t="s">
        <v>582</v>
      </c>
      <c r="AS33" s="20" t="s">
        <v>583</v>
      </c>
      <c r="AT33" s="20" t="s">
        <v>584</v>
      </c>
      <c r="AU33" s="20" t="s">
        <v>585</v>
      </c>
      <c r="AV33" s="20" t="s">
        <v>586</v>
      </c>
      <c r="AW33" s="21">
        <f t="shared" si="0"/>
        <v>58</v>
      </c>
      <c r="AX33" s="20" t="s">
        <v>391</v>
      </c>
      <c r="AY33" s="22" t="s">
        <v>338</v>
      </c>
      <c r="AZ33" s="20" t="s">
        <v>587</v>
      </c>
      <c r="BA33" s="23"/>
      <c r="BB33" s="23"/>
      <c r="BC33" s="20" t="s">
        <v>588</v>
      </c>
      <c r="BD33" s="20" t="s">
        <v>383</v>
      </c>
      <c r="BE33" s="23"/>
      <c r="BF33" s="23"/>
      <c r="BG33" s="23"/>
      <c r="BH33" s="20" t="s">
        <v>589</v>
      </c>
      <c r="BI33" s="23"/>
      <c r="BJ33" s="23"/>
      <c r="BK33" s="23"/>
      <c r="BL33" s="20" t="s">
        <v>342</v>
      </c>
      <c r="BM33" s="23"/>
      <c r="BN33" s="20" t="s">
        <v>343</v>
      </c>
      <c r="BO33" s="23"/>
      <c r="BP33" s="23"/>
      <c r="BQ33" t="s">
        <v>590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681</v>
      </c>
      <c r="DG33" s="1" t="s">
        <v>681</v>
      </c>
    </row>
    <row r="34" spans="1:111" ht="12" customHeight="1" x14ac:dyDescent="0.25">
      <c r="A34" t="s">
        <v>219</v>
      </c>
      <c r="B34" s="15" t="s">
        <v>101</v>
      </c>
      <c r="C34"/>
      <c r="D34" t="s">
        <v>271</v>
      </c>
      <c r="E34" t="s">
        <v>682</v>
      </c>
      <c r="F34" t="s">
        <v>271</v>
      </c>
      <c r="G34" t="s">
        <v>682</v>
      </c>
      <c r="H34" s="16" t="s">
        <v>178</v>
      </c>
      <c r="I34"/>
      <c r="J34"/>
      <c r="K34"/>
      <c r="L34"/>
      <c r="M34"/>
      <c r="N34"/>
      <c r="O34"/>
      <c r="P34"/>
      <c r="Q34"/>
      <c r="R34"/>
      <c r="S34" t="s">
        <v>204</v>
      </c>
      <c r="T34"/>
      <c r="U34">
        <v>191</v>
      </c>
      <c r="V34" s="17">
        <v>2539</v>
      </c>
      <c r="W34" t="s">
        <v>49</v>
      </c>
      <c r="X34" t="s">
        <v>244</v>
      </c>
      <c r="Y34" t="s">
        <v>289</v>
      </c>
      <c r="Z34" t="s">
        <v>116</v>
      </c>
      <c r="AA34" t="s">
        <v>116</v>
      </c>
      <c r="AB34" t="s">
        <v>116</v>
      </c>
      <c r="AC34" t="s">
        <v>239</v>
      </c>
      <c r="AD34" t="s">
        <v>116</v>
      </c>
      <c r="AE34" t="s">
        <v>116</v>
      </c>
      <c r="AF34" t="s">
        <v>118</v>
      </c>
      <c r="AG34" s="17"/>
      <c r="AH34"/>
      <c r="AI34" s="17"/>
      <c r="AJ34" s="17" t="s">
        <v>46</v>
      </c>
      <c r="AK34"/>
      <c r="AL34">
        <v>743</v>
      </c>
      <c r="AM34" t="s">
        <v>67</v>
      </c>
      <c r="AN34"/>
      <c r="AO34" s="18" t="s">
        <v>328</v>
      </c>
      <c r="AP34"/>
      <c r="AQ34"/>
      <c r="AR34" s="19" t="s">
        <v>591</v>
      </c>
      <c r="AS34" s="20" t="s">
        <v>592</v>
      </c>
      <c r="AT34" s="20" t="s">
        <v>593</v>
      </c>
      <c r="AU34" s="20" t="s">
        <v>594</v>
      </c>
      <c r="AV34" s="20" t="s">
        <v>595</v>
      </c>
      <c r="AW34" s="21">
        <f t="shared" si="0"/>
        <v>60</v>
      </c>
      <c r="AX34" s="20" t="s">
        <v>596</v>
      </c>
      <c r="AY34" s="23"/>
      <c r="AZ34" s="20" t="s">
        <v>597</v>
      </c>
      <c r="BA34" s="20" t="s">
        <v>598</v>
      </c>
      <c r="BB34" s="23"/>
      <c r="BC34" s="20" t="s">
        <v>599</v>
      </c>
      <c r="BD34" s="20" t="s">
        <v>600</v>
      </c>
      <c r="BE34" s="23"/>
      <c r="BF34" s="23"/>
      <c r="BG34" s="23"/>
      <c r="BH34" s="20" t="s">
        <v>601</v>
      </c>
      <c r="BI34" s="23"/>
      <c r="BJ34" s="23"/>
      <c r="BK34" s="23"/>
      <c r="BL34" s="20" t="s">
        <v>342</v>
      </c>
      <c r="BM34" s="23"/>
      <c r="BN34" s="20" t="s">
        <v>343</v>
      </c>
      <c r="BO34" s="23"/>
      <c r="BP34" s="23"/>
      <c r="BQ34" t="s">
        <v>602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681</v>
      </c>
      <c r="DG34" s="1" t="s">
        <v>681</v>
      </c>
    </row>
    <row r="35" spans="1:111" ht="12" customHeight="1" x14ac:dyDescent="0.25">
      <c r="A35" t="s">
        <v>219</v>
      </c>
      <c r="B35" s="15" t="s">
        <v>101</v>
      </c>
      <c r="C35"/>
      <c r="D35" t="s">
        <v>271</v>
      </c>
      <c r="E35" t="s">
        <v>682</v>
      </c>
      <c r="F35" t="s">
        <v>271</v>
      </c>
      <c r="G35" t="s">
        <v>682</v>
      </c>
      <c r="H35" s="16" t="s">
        <v>178</v>
      </c>
      <c r="I35"/>
      <c r="J35"/>
      <c r="K35"/>
      <c r="L35"/>
      <c r="M35"/>
      <c r="N35"/>
      <c r="O35"/>
      <c r="P35"/>
      <c r="Q35"/>
      <c r="R35"/>
      <c r="S35" t="s">
        <v>204</v>
      </c>
      <c r="T35"/>
      <c r="U35">
        <v>2414</v>
      </c>
      <c r="V35" s="17">
        <v>2540</v>
      </c>
      <c r="W35" t="s">
        <v>49</v>
      </c>
      <c r="X35" t="s">
        <v>244</v>
      </c>
      <c r="Y35" t="s">
        <v>289</v>
      </c>
      <c r="Z35" t="s">
        <v>133</v>
      </c>
      <c r="AA35" t="s">
        <v>133</v>
      </c>
      <c r="AB35" t="s">
        <v>133</v>
      </c>
      <c r="AC35" t="s">
        <v>239</v>
      </c>
      <c r="AD35" t="s">
        <v>133</v>
      </c>
      <c r="AE35" t="s">
        <v>133</v>
      </c>
      <c r="AF35" t="s">
        <v>76</v>
      </c>
      <c r="AG35" s="17"/>
      <c r="AH35"/>
      <c r="AI35" s="17"/>
      <c r="AJ35" s="17" t="s">
        <v>27</v>
      </c>
      <c r="AK35"/>
      <c r="AL35">
        <v>743</v>
      </c>
      <c r="AM35" t="s">
        <v>9</v>
      </c>
      <c r="AN35"/>
      <c r="AO35" s="18" t="s">
        <v>325</v>
      </c>
      <c r="AP35"/>
      <c r="AQ35"/>
      <c r="AR35" s="19" t="s">
        <v>603</v>
      </c>
      <c r="AS35" s="22" t="s">
        <v>604</v>
      </c>
      <c r="AT35" s="22" t="s">
        <v>605</v>
      </c>
      <c r="AU35" s="22" t="s">
        <v>606</v>
      </c>
      <c r="AV35" s="22" t="s">
        <v>607</v>
      </c>
      <c r="AW35" s="21">
        <f t="shared" si="0"/>
        <v>60</v>
      </c>
      <c r="AX35" s="22" t="s">
        <v>401</v>
      </c>
      <c r="AY35" s="22" t="s">
        <v>338</v>
      </c>
      <c r="AZ35" s="22" t="s">
        <v>608</v>
      </c>
      <c r="BA35" s="23"/>
      <c r="BB35" s="23"/>
      <c r="BC35" s="20" t="s">
        <v>609</v>
      </c>
      <c r="BD35" s="23"/>
      <c r="BE35" s="20" t="s">
        <v>610</v>
      </c>
      <c r="BF35" s="23"/>
      <c r="BG35" s="23"/>
      <c r="BH35" s="20" t="s">
        <v>611</v>
      </c>
      <c r="BI35" s="23"/>
      <c r="BJ35" s="23"/>
      <c r="BK35" s="23"/>
      <c r="BL35" s="20" t="s">
        <v>342</v>
      </c>
      <c r="BM35" s="23"/>
      <c r="BN35" s="20" t="s">
        <v>343</v>
      </c>
      <c r="BO35" s="23"/>
      <c r="BP35" s="23"/>
      <c r="BQ35" t="s">
        <v>612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681</v>
      </c>
      <c r="DG35" s="1" t="s">
        <v>681</v>
      </c>
    </row>
    <row r="36" spans="1:111" ht="12" customHeight="1" x14ac:dyDescent="0.25">
      <c r="A36" t="s">
        <v>219</v>
      </c>
      <c r="B36" s="15" t="s">
        <v>101</v>
      </c>
      <c r="C36"/>
      <c r="D36" t="s">
        <v>271</v>
      </c>
      <c r="E36" t="s">
        <v>682</v>
      </c>
      <c r="F36" t="s">
        <v>271</v>
      </c>
      <c r="G36" t="s">
        <v>682</v>
      </c>
      <c r="H36" s="16" t="s">
        <v>178</v>
      </c>
      <c r="I36"/>
      <c r="J36"/>
      <c r="K36"/>
      <c r="L36"/>
      <c r="M36"/>
      <c r="N36"/>
      <c r="O36"/>
      <c r="P36"/>
      <c r="Q36"/>
      <c r="R36"/>
      <c r="S36" t="s">
        <v>204</v>
      </c>
      <c r="T36"/>
      <c r="U36">
        <v>350</v>
      </c>
      <c r="V36" s="17">
        <v>2541</v>
      </c>
      <c r="W36" t="s">
        <v>49</v>
      </c>
      <c r="X36" t="s">
        <v>244</v>
      </c>
      <c r="Y36" t="s">
        <v>289</v>
      </c>
      <c r="Z36" t="s">
        <v>201</v>
      </c>
      <c r="AA36" t="s">
        <v>201</v>
      </c>
      <c r="AB36" t="s">
        <v>318</v>
      </c>
      <c r="AC36" t="s">
        <v>239</v>
      </c>
      <c r="AD36" t="s">
        <v>201</v>
      </c>
      <c r="AE36" t="s">
        <v>201</v>
      </c>
      <c r="AF36" t="s">
        <v>249</v>
      </c>
      <c r="AG36" s="17"/>
      <c r="AH36"/>
      <c r="AI36" s="17"/>
      <c r="AJ36" s="17" t="s">
        <v>205</v>
      </c>
      <c r="AK36"/>
      <c r="AL36">
        <v>743</v>
      </c>
      <c r="AM36" t="s">
        <v>88</v>
      </c>
      <c r="AN36"/>
      <c r="AO36" s="18" t="s">
        <v>329</v>
      </c>
      <c r="AP36"/>
      <c r="AQ36"/>
      <c r="AR36" s="19" t="s">
        <v>613</v>
      </c>
      <c r="AS36" s="20" t="s">
        <v>614</v>
      </c>
      <c r="AT36" s="20" t="s">
        <v>615</v>
      </c>
      <c r="AU36" s="20" t="s">
        <v>616</v>
      </c>
      <c r="AV36" s="20" t="s">
        <v>616</v>
      </c>
      <c r="AW36" s="21">
        <f t="shared" si="0"/>
        <v>51</v>
      </c>
      <c r="AX36" s="20" t="s">
        <v>617</v>
      </c>
      <c r="AY36" s="22" t="s">
        <v>618</v>
      </c>
      <c r="AZ36" s="23"/>
      <c r="BA36" s="23"/>
      <c r="BB36" s="23"/>
      <c r="BC36" s="20" t="s">
        <v>619</v>
      </c>
      <c r="BD36" s="20" t="s">
        <v>456</v>
      </c>
      <c r="BE36" s="23"/>
      <c r="BF36" s="23"/>
      <c r="BG36" s="23"/>
      <c r="BH36" s="20" t="s">
        <v>620</v>
      </c>
      <c r="BI36" s="20" t="s">
        <v>479</v>
      </c>
      <c r="BJ36" s="23"/>
      <c r="BK36" s="23"/>
      <c r="BL36" s="20" t="s">
        <v>342</v>
      </c>
      <c r="BM36" s="23"/>
      <c r="BN36" s="20" t="s">
        <v>343</v>
      </c>
      <c r="BO36" s="23"/>
      <c r="BP36" s="23"/>
      <c r="BQ36" t="s">
        <v>621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681</v>
      </c>
      <c r="DG36" s="1" t="s">
        <v>681</v>
      </c>
    </row>
    <row r="37" spans="1:111" ht="12" customHeight="1" x14ac:dyDescent="0.25">
      <c r="A37" t="s">
        <v>219</v>
      </c>
      <c r="B37" s="15" t="s">
        <v>101</v>
      </c>
      <c r="C37"/>
      <c r="D37" t="s">
        <v>271</v>
      </c>
      <c r="E37" t="s">
        <v>682</v>
      </c>
      <c r="F37" t="s">
        <v>271</v>
      </c>
      <c r="G37" t="s">
        <v>682</v>
      </c>
      <c r="H37" s="16" t="s">
        <v>178</v>
      </c>
      <c r="I37"/>
      <c r="J37"/>
      <c r="K37"/>
      <c r="L37"/>
      <c r="M37"/>
      <c r="N37"/>
      <c r="O37"/>
      <c r="P37"/>
      <c r="Q37"/>
      <c r="R37"/>
      <c r="S37" t="s">
        <v>204</v>
      </c>
      <c r="T37"/>
      <c r="U37">
        <v>341</v>
      </c>
      <c r="V37" s="17">
        <v>2542</v>
      </c>
      <c r="W37" t="s">
        <v>49</v>
      </c>
      <c r="X37" t="s">
        <v>244</v>
      </c>
      <c r="Y37" t="s">
        <v>289</v>
      </c>
      <c r="Z37" t="s">
        <v>196</v>
      </c>
      <c r="AA37" t="s">
        <v>196</v>
      </c>
      <c r="AB37" t="s">
        <v>196</v>
      </c>
      <c r="AC37" t="s">
        <v>239</v>
      </c>
      <c r="AD37" t="s">
        <v>196</v>
      </c>
      <c r="AE37" t="s">
        <v>196</v>
      </c>
      <c r="AF37" t="s">
        <v>236</v>
      </c>
      <c r="AG37" s="17"/>
      <c r="AH37"/>
      <c r="AI37" s="17"/>
      <c r="AJ37" s="17" t="s">
        <v>115</v>
      </c>
      <c r="AK37"/>
      <c r="AL37">
        <v>743</v>
      </c>
      <c r="AM37" t="s">
        <v>83</v>
      </c>
      <c r="AN37"/>
      <c r="AO37" s="18" t="s">
        <v>330</v>
      </c>
      <c r="AP37"/>
      <c r="AQ37"/>
      <c r="AR37" s="19" t="s">
        <v>622</v>
      </c>
      <c r="AS37" s="20" t="s">
        <v>623</v>
      </c>
      <c r="AT37" s="20" t="s">
        <v>624</v>
      </c>
      <c r="AU37" s="20" t="s">
        <v>625</v>
      </c>
      <c r="AV37" s="20" t="s">
        <v>626</v>
      </c>
      <c r="AW37" s="21">
        <f t="shared" si="0"/>
        <v>58</v>
      </c>
      <c r="AX37" s="20" t="s">
        <v>627</v>
      </c>
      <c r="AY37" s="22" t="s">
        <v>338</v>
      </c>
      <c r="AZ37" s="23"/>
      <c r="BA37" s="23"/>
      <c r="BB37" s="23"/>
      <c r="BC37" s="20" t="s">
        <v>506</v>
      </c>
      <c r="BD37" s="20" t="s">
        <v>579</v>
      </c>
      <c r="BE37" s="23"/>
      <c r="BF37" s="23"/>
      <c r="BG37" s="20" t="s">
        <v>618</v>
      </c>
      <c r="BH37" s="20" t="s">
        <v>628</v>
      </c>
      <c r="BI37" s="20" t="s">
        <v>629</v>
      </c>
      <c r="BJ37" s="23"/>
      <c r="BK37" s="23"/>
      <c r="BL37" s="20" t="s">
        <v>342</v>
      </c>
      <c r="BM37" s="23"/>
      <c r="BN37" s="20" t="s">
        <v>343</v>
      </c>
      <c r="BO37" s="23"/>
      <c r="BP37" s="23"/>
      <c r="BQ37" t="s">
        <v>630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681</v>
      </c>
      <c r="DG37" s="1" t="s">
        <v>681</v>
      </c>
    </row>
    <row r="38" spans="1:111" ht="12" customHeight="1" x14ac:dyDescent="0.25">
      <c r="A38" t="s">
        <v>219</v>
      </c>
      <c r="B38" s="15" t="s">
        <v>101</v>
      </c>
      <c r="C38"/>
      <c r="D38" t="s">
        <v>271</v>
      </c>
      <c r="E38" t="s">
        <v>682</v>
      </c>
      <c r="F38" t="s">
        <v>271</v>
      </c>
      <c r="G38" t="s">
        <v>682</v>
      </c>
      <c r="H38" s="16" t="s">
        <v>178</v>
      </c>
      <c r="I38"/>
      <c r="J38"/>
      <c r="K38"/>
      <c r="L38"/>
      <c r="M38"/>
      <c r="N38"/>
      <c r="O38"/>
      <c r="P38"/>
      <c r="Q38"/>
      <c r="R38"/>
      <c r="S38" t="s">
        <v>204</v>
      </c>
      <c r="T38"/>
      <c r="U38">
        <v>2415</v>
      </c>
      <c r="V38" s="17">
        <v>2543</v>
      </c>
      <c r="W38" t="s">
        <v>49</v>
      </c>
      <c r="X38" t="s">
        <v>244</v>
      </c>
      <c r="Y38" t="s">
        <v>289</v>
      </c>
      <c r="Z38" t="s">
        <v>24</v>
      </c>
      <c r="AA38" t="s">
        <v>24</v>
      </c>
      <c r="AB38" t="s">
        <v>319</v>
      </c>
      <c r="AC38" t="s">
        <v>239</v>
      </c>
      <c r="AD38" t="s">
        <v>24</v>
      </c>
      <c r="AE38" t="s">
        <v>24</v>
      </c>
      <c r="AF38" t="s">
        <v>275</v>
      </c>
      <c r="AG38" s="17"/>
      <c r="AH38"/>
      <c r="AI38" s="17"/>
      <c r="AJ38" s="17" t="s">
        <v>241</v>
      </c>
      <c r="AK38"/>
      <c r="AL38">
        <v>743</v>
      </c>
      <c r="AM38" t="s">
        <v>40</v>
      </c>
      <c r="AN38"/>
      <c r="AO38" s="18" t="s">
        <v>330</v>
      </c>
      <c r="AP38"/>
      <c r="AQ38"/>
      <c r="AR38" s="19" t="s">
        <v>631</v>
      </c>
      <c r="AS38" s="20" t="s">
        <v>632</v>
      </c>
      <c r="AT38" s="20" t="s">
        <v>633</v>
      </c>
      <c r="AU38" s="20" t="s">
        <v>634</v>
      </c>
      <c r="AV38" s="20" t="s">
        <v>635</v>
      </c>
      <c r="AW38" s="21">
        <f t="shared" si="0"/>
        <v>60</v>
      </c>
      <c r="AX38" s="20" t="s">
        <v>627</v>
      </c>
      <c r="AY38" s="22" t="s">
        <v>338</v>
      </c>
      <c r="AZ38" s="23"/>
      <c r="BA38" s="23"/>
      <c r="BB38" s="23"/>
      <c r="BC38" s="20" t="s">
        <v>506</v>
      </c>
      <c r="BD38" s="20" t="s">
        <v>579</v>
      </c>
      <c r="BE38" s="23"/>
      <c r="BF38" s="23"/>
      <c r="BG38" s="20" t="s">
        <v>618</v>
      </c>
      <c r="BH38" s="20" t="s">
        <v>636</v>
      </c>
      <c r="BI38" s="20" t="s">
        <v>629</v>
      </c>
      <c r="BJ38" s="23"/>
      <c r="BK38" s="23"/>
      <c r="BL38" s="20" t="s">
        <v>342</v>
      </c>
      <c r="BM38" s="23"/>
      <c r="BN38" s="20" t="s">
        <v>343</v>
      </c>
      <c r="BO38" s="23"/>
      <c r="BP38" s="23"/>
      <c r="BQ38" t="s">
        <v>637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681</v>
      </c>
      <c r="DG38" s="1" t="s">
        <v>681</v>
      </c>
    </row>
    <row r="39" spans="1:111" ht="12" customHeight="1" x14ac:dyDescent="0.25">
      <c r="A39" t="s">
        <v>219</v>
      </c>
      <c r="B39" s="15" t="s">
        <v>101</v>
      </c>
      <c r="C39"/>
      <c r="D39" t="s">
        <v>271</v>
      </c>
      <c r="E39" t="s">
        <v>682</v>
      </c>
      <c r="F39" t="s">
        <v>271</v>
      </c>
      <c r="G39" t="s">
        <v>682</v>
      </c>
      <c r="H39" s="16" t="s">
        <v>178</v>
      </c>
      <c r="I39"/>
      <c r="J39"/>
      <c r="K39"/>
      <c r="L39"/>
      <c r="M39"/>
      <c r="N39"/>
      <c r="O39"/>
      <c r="P39"/>
      <c r="Q39"/>
      <c r="R39"/>
      <c r="S39" t="s">
        <v>204</v>
      </c>
      <c r="T39"/>
      <c r="U39">
        <v>2756</v>
      </c>
      <c r="V39" s="17">
        <v>2544</v>
      </c>
      <c r="W39" t="s">
        <v>49</v>
      </c>
      <c r="X39" t="s">
        <v>244</v>
      </c>
      <c r="Y39" t="s">
        <v>289</v>
      </c>
      <c r="Z39" t="s">
        <v>253</v>
      </c>
      <c r="AA39" t="s">
        <v>253</v>
      </c>
      <c r="AB39" t="s">
        <v>253</v>
      </c>
      <c r="AC39" t="s">
        <v>239</v>
      </c>
      <c r="AD39" t="s">
        <v>253</v>
      </c>
      <c r="AE39" t="s">
        <v>253</v>
      </c>
      <c r="AF39" t="s">
        <v>146</v>
      </c>
      <c r="AG39" s="17"/>
      <c r="AH39"/>
      <c r="AI39" s="17"/>
      <c r="AJ39" s="17" t="s">
        <v>36</v>
      </c>
      <c r="AK39"/>
      <c r="AL39">
        <v>743</v>
      </c>
      <c r="AM39" t="s">
        <v>55</v>
      </c>
      <c r="AN39"/>
      <c r="AO39" s="18" t="s">
        <v>331</v>
      </c>
      <c r="AP39"/>
      <c r="AQ39"/>
      <c r="AR39" s="25" t="s">
        <v>638</v>
      </c>
      <c r="AS39" s="20" t="s">
        <v>639</v>
      </c>
      <c r="AT39" s="20" t="s">
        <v>640</v>
      </c>
      <c r="AU39" s="20" t="s">
        <v>641</v>
      </c>
      <c r="AV39" s="20" t="s">
        <v>642</v>
      </c>
      <c r="AW39" s="21">
        <f t="shared" si="0"/>
        <v>42</v>
      </c>
      <c r="AX39" s="20" t="s">
        <v>643</v>
      </c>
      <c r="AY39" s="24" t="s">
        <v>644</v>
      </c>
      <c r="AZ39" s="23" t="s">
        <v>645</v>
      </c>
      <c r="BA39" s="23"/>
      <c r="BB39" s="23"/>
      <c r="BC39" s="20" t="s">
        <v>402</v>
      </c>
      <c r="BD39" s="23" t="s">
        <v>600</v>
      </c>
      <c r="BE39" s="23"/>
      <c r="BF39" s="23"/>
      <c r="BG39" s="23"/>
      <c r="BH39" s="23"/>
      <c r="BI39" s="23"/>
      <c r="BJ39" s="23"/>
      <c r="BK39" s="23"/>
      <c r="BL39" s="20" t="s">
        <v>342</v>
      </c>
      <c r="BM39" s="23"/>
      <c r="BN39" s="20" t="s">
        <v>343</v>
      </c>
      <c r="BO39" s="23"/>
      <c r="BP39" s="23"/>
      <c r="BQ39" t="s">
        <v>646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681</v>
      </c>
      <c r="DG39" s="1" t="s">
        <v>681</v>
      </c>
    </row>
    <row r="40" spans="1:111" ht="12" customHeight="1" x14ac:dyDescent="0.25">
      <c r="A40" t="s">
        <v>219</v>
      </c>
      <c r="B40" s="15" t="s">
        <v>101</v>
      </c>
      <c r="C40"/>
      <c r="D40" t="s">
        <v>271</v>
      </c>
      <c r="E40" t="s">
        <v>682</v>
      </c>
      <c r="F40" t="s">
        <v>271</v>
      </c>
      <c r="G40" t="s">
        <v>682</v>
      </c>
      <c r="H40" s="16" t="s">
        <v>178</v>
      </c>
      <c r="I40"/>
      <c r="J40"/>
      <c r="K40"/>
      <c r="L40"/>
      <c r="M40"/>
      <c r="N40"/>
      <c r="O40"/>
      <c r="P40"/>
      <c r="Q40"/>
      <c r="R40"/>
      <c r="S40" t="s">
        <v>204</v>
      </c>
      <c r="T40"/>
      <c r="U40">
        <v>1619</v>
      </c>
      <c r="V40" s="17">
        <v>3401</v>
      </c>
      <c r="W40" t="s">
        <v>49</v>
      </c>
      <c r="X40" t="s">
        <v>244</v>
      </c>
      <c r="Y40" t="s">
        <v>289</v>
      </c>
      <c r="Z40" t="s">
        <v>286</v>
      </c>
      <c r="AA40" t="s">
        <v>286</v>
      </c>
      <c r="AB40" t="s">
        <v>286</v>
      </c>
      <c r="AC40" t="s">
        <v>239</v>
      </c>
      <c r="AD40" t="s">
        <v>286</v>
      </c>
      <c r="AE40" t="s">
        <v>286</v>
      </c>
      <c r="AF40" t="s">
        <v>18</v>
      </c>
      <c r="AG40" s="17"/>
      <c r="AH40"/>
      <c r="AI40" s="17"/>
      <c r="AJ40" s="17" t="s">
        <v>191</v>
      </c>
      <c r="AK40"/>
      <c r="AL40">
        <v>743</v>
      </c>
      <c r="AM40" t="s">
        <v>121</v>
      </c>
      <c r="AN40"/>
      <c r="AO40" s="18" t="s">
        <v>332</v>
      </c>
      <c r="AP40"/>
      <c r="AQ40"/>
      <c r="AR40" s="19" t="s">
        <v>647</v>
      </c>
      <c r="AS40" s="24" t="s">
        <v>648</v>
      </c>
      <c r="AT40" s="24" t="s">
        <v>649</v>
      </c>
      <c r="AU40" s="24" t="s">
        <v>650</v>
      </c>
      <c r="AV40" s="24" t="s">
        <v>651</v>
      </c>
      <c r="AW40" s="21">
        <f t="shared" si="0"/>
        <v>50</v>
      </c>
      <c r="AX40" s="24" t="s">
        <v>644</v>
      </c>
      <c r="AY40" s="22" t="s">
        <v>338</v>
      </c>
      <c r="AZ40" s="20" t="s">
        <v>652</v>
      </c>
      <c r="BA40" s="23"/>
      <c r="BB40" s="23"/>
      <c r="BC40" s="20" t="s">
        <v>653</v>
      </c>
      <c r="BD40" s="23"/>
      <c r="BE40" s="23"/>
      <c r="BF40" s="23"/>
      <c r="BG40" s="20" t="s">
        <v>654</v>
      </c>
      <c r="BH40" s="20" t="s">
        <v>655</v>
      </c>
      <c r="BI40" s="23"/>
      <c r="BJ40" s="23"/>
      <c r="BK40" s="23"/>
      <c r="BL40" s="20" t="s">
        <v>342</v>
      </c>
      <c r="BM40" s="23"/>
      <c r="BN40" s="20" t="s">
        <v>343</v>
      </c>
      <c r="BO40" s="23"/>
      <c r="BP40" s="23"/>
      <c r="BQ40" t="s">
        <v>656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681</v>
      </c>
      <c r="DG40" s="1" t="s">
        <v>681</v>
      </c>
    </row>
    <row r="41" spans="1:111" ht="12" customHeight="1" x14ac:dyDescent="0.25">
      <c r="A41" t="s">
        <v>219</v>
      </c>
      <c r="B41" s="15" t="s">
        <v>101</v>
      </c>
      <c r="C41"/>
      <c r="D41" t="s">
        <v>271</v>
      </c>
      <c r="E41" t="s">
        <v>682</v>
      </c>
      <c r="F41" t="s">
        <v>271</v>
      </c>
      <c r="G41" t="s">
        <v>682</v>
      </c>
      <c r="H41" s="16" t="s">
        <v>178</v>
      </c>
      <c r="I41"/>
      <c r="J41"/>
      <c r="K41"/>
      <c r="L41"/>
      <c r="M41"/>
      <c r="N41"/>
      <c r="O41"/>
      <c r="P41"/>
      <c r="Q41"/>
      <c r="R41"/>
      <c r="S41" t="s">
        <v>204</v>
      </c>
      <c r="T41"/>
      <c r="U41">
        <v>2064</v>
      </c>
      <c r="V41" s="17">
        <v>3405</v>
      </c>
      <c r="W41" t="s">
        <v>49</v>
      </c>
      <c r="X41" t="s">
        <v>244</v>
      </c>
      <c r="Y41" t="s">
        <v>289</v>
      </c>
      <c r="Z41" t="s">
        <v>134</v>
      </c>
      <c r="AA41" t="s">
        <v>134</v>
      </c>
      <c r="AB41" t="s">
        <v>134</v>
      </c>
      <c r="AC41" t="s">
        <v>239</v>
      </c>
      <c r="AD41" t="s">
        <v>134</v>
      </c>
      <c r="AE41" t="s">
        <v>134</v>
      </c>
      <c r="AF41" t="s">
        <v>288</v>
      </c>
      <c r="AG41" s="17">
        <v>42291614</v>
      </c>
      <c r="AH41"/>
      <c r="AI41" s="17" t="s">
        <v>266</v>
      </c>
      <c r="AJ41" s="17" t="s">
        <v>254</v>
      </c>
      <c r="AK41"/>
      <c r="AL41">
        <v>743</v>
      </c>
      <c r="AM41" t="s">
        <v>231</v>
      </c>
      <c r="AN41"/>
      <c r="AO41" s="18" t="s">
        <v>323</v>
      </c>
      <c r="AP41"/>
      <c r="AQ41"/>
      <c r="AR41" s="19" t="s">
        <v>657</v>
      </c>
      <c r="AS41" s="20" t="s">
        <v>658</v>
      </c>
      <c r="AT41" s="20" t="s">
        <v>659</v>
      </c>
      <c r="AU41" s="20" t="s">
        <v>660</v>
      </c>
      <c r="AV41" s="20" t="s">
        <v>661</v>
      </c>
      <c r="AW41" s="21">
        <f t="shared" si="0"/>
        <v>58</v>
      </c>
      <c r="AX41" s="20" t="s">
        <v>662</v>
      </c>
      <c r="AY41" s="22" t="s">
        <v>338</v>
      </c>
      <c r="AZ41" s="20" t="s">
        <v>663</v>
      </c>
      <c r="BA41" s="23"/>
      <c r="BB41" s="23"/>
      <c r="BC41" s="20" t="s">
        <v>393</v>
      </c>
      <c r="BD41" s="20" t="s">
        <v>664</v>
      </c>
      <c r="BE41" s="23"/>
      <c r="BF41" s="23"/>
      <c r="BG41" s="23"/>
      <c r="BH41" s="20" t="s">
        <v>665</v>
      </c>
      <c r="BI41" s="20" t="s">
        <v>479</v>
      </c>
      <c r="BJ41" s="23"/>
      <c r="BK41" s="23"/>
      <c r="BL41" s="20" t="s">
        <v>342</v>
      </c>
      <c r="BM41" s="23"/>
      <c r="BN41" s="20" t="s">
        <v>343</v>
      </c>
      <c r="BO41" s="23"/>
      <c r="BP41" s="23"/>
      <c r="BQ41" t="s">
        <v>666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681</v>
      </c>
      <c r="DG41" s="1" t="s">
        <v>681</v>
      </c>
    </row>
    <row r="42" spans="1:111" ht="12" customHeight="1" x14ac:dyDescent="0.25">
      <c r="A42" t="s">
        <v>219</v>
      </c>
      <c r="B42" s="15" t="s">
        <v>101</v>
      </c>
      <c r="C42"/>
      <c r="D42" t="s">
        <v>271</v>
      </c>
      <c r="E42" t="s">
        <v>682</v>
      </c>
      <c r="F42" t="s">
        <v>271</v>
      </c>
      <c r="G42" t="s">
        <v>682</v>
      </c>
      <c r="H42" s="16" t="s">
        <v>178</v>
      </c>
      <c r="I42"/>
      <c r="J42"/>
      <c r="K42"/>
      <c r="L42"/>
      <c r="M42"/>
      <c r="N42"/>
      <c r="O42"/>
      <c r="P42"/>
      <c r="Q42"/>
      <c r="R42"/>
      <c r="S42" t="s">
        <v>204</v>
      </c>
      <c r="T42"/>
      <c r="U42">
        <v>2063</v>
      </c>
      <c r="V42" s="17">
        <v>3406</v>
      </c>
      <c r="W42" t="s">
        <v>49</v>
      </c>
      <c r="X42" t="s">
        <v>244</v>
      </c>
      <c r="Y42" t="s">
        <v>289</v>
      </c>
      <c r="Z42" t="s">
        <v>203</v>
      </c>
      <c r="AA42" t="s">
        <v>203</v>
      </c>
      <c r="AB42" t="s">
        <v>203</v>
      </c>
      <c r="AC42" t="s">
        <v>239</v>
      </c>
      <c r="AD42" t="s">
        <v>203</v>
      </c>
      <c r="AE42" t="s">
        <v>203</v>
      </c>
      <c r="AF42" t="s">
        <v>48</v>
      </c>
      <c r="AG42" s="17"/>
      <c r="AH42"/>
      <c r="AI42" s="17"/>
      <c r="AJ42" s="17" t="s">
        <v>140</v>
      </c>
      <c r="AK42"/>
      <c r="AL42">
        <v>743</v>
      </c>
      <c r="AM42" t="s">
        <v>242</v>
      </c>
      <c r="AN42"/>
      <c r="AO42" s="18" t="s">
        <v>323</v>
      </c>
      <c r="AP42"/>
      <c r="AQ42"/>
      <c r="AR42" s="19" t="s">
        <v>667</v>
      </c>
      <c r="AS42" s="20" t="s">
        <v>668</v>
      </c>
      <c r="AT42" s="20" t="s">
        <v>669</v>
      </c>
      <c r="AU42" s="20" t="s">
        <v>670</v>
      </c>
      <c r="AV42" s="20" t="s">
        <v>671</v>
      </c>
      <c r="AW42" s="21">
        <f t="shared" si="0"/>
        <v>58</v>
      </c>
      <c r="AX42" s="20" t="s">
        <v>662</v>
      </c>
      <c r="AY42" s="22" t="s">
        <v>338</v>
      </c>
      <c r="AZ42" s="20" t="s">
        <v>663</v>
      </c>
      <c r="BA42" s="23"/>
      <c r="BB42" s="23"/>
      <c r="BC42" s="20" t="s">
        <v>393</v>
      </c>
      <c r="BD42" s="20" t="s">
        <v>664</v>
      </c>
      <c r="BE42" s="23"/>
      <c r="BF42" s="23"/>
      <c r="BG42" s="23"/>
      <c r="BH42" s="20" t="s">
        <v>672</v>
      </c>
      <c r="BI42" s="20" t="s">
        <v>479</v>
      </c>
      <c r="BJ42" s="23"/>
      <c r="BK42" s="23"/>
      <c r="BL42" s="20" t="s">
        <v>342</v>
      </c>
      <c r="BM42" s="23"/>
      <c r="BN42" s="20" t="s">
        <v>343</v>
      </c>
      <c r="BO42" s="23"/>
      <c r="BP42" s="23"/>
      <c r="BQ42" t="s">
        <v>673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681</v>
      </c>
      <c r="DG42" s="1" t="s">
        <v>681</v>
      </c>
    </row>
    <row r="43" spans="1:111" ht="12" customHeight="1" x14ac:dyDescent="0.25">
      <c r="A43" t="s">
        <v>219</v>
      </c>
      <c r="B43" s="15" t="s">
        <v>101</v>
      </c>
      <c r="C43"/>
      <c r="D43" t="s">
        <v>271</v>
      </c>
      <c r="E43" t="s">
        <v>682</v>
      </c>
      <c r="F43" t="s">
        <v>271</v>
      </c>
      <c r="G43" t="s">
        <v>682</v>
      </c>
      <c r="H43" s="16" t="s">
        <v>178</v>
      </c>
      <c r="I43"/>
      <c r="J43"/>
      <c r="K43"/>
      <c r="L43"/>
      <c r="M43"/>
      <c r="N43"/>
      <c r="O43"/>
      <c r="P43"/>
      <c r="Q43"/>
      <c r="R43"/>
      <c r="S43" t="s">
        <v>204</v>
      </c>
      <c r="T43"/>
      <c r="U43">
        <v>2062</v>
      </c>
      <c r="V43" s="17">
        <v>3407</v>
      </c>
      <c r="W43" t="s">
        <v>49</v>
      </c>
      <c r="X43" t="s">
        <v>244</v>
      </c>
      <c r="Y43" t="s">
        <v>289</v>
      </c>
      <c r="Z43" t="s">
        <v>99</v>
      </c>
      <c r="AA43" t="s">
        <v>99</v>
      </c>
      <c r="AB43" t="s">
        <v>99</v>
      </c>
      <c r="AC43" t="s">
        <v>239</v>
      </c>
      <c r="AD43" t="s">
        <v>99</v>
      </c>
      <c r="AE43" t="s">
        <v>99</v>
      </c>
      <c r="AF43" t="s">
        <v>57</v>
      </c>
      <c r="AG43" s="17"/>
      <c r="AH43"/>
      <c r="AI43" s="17"/>
      <c r="AJ43" s="17" t="s">
        <v>260</v>
      </c>
      <c r="AK43"/>
      <c r="AL43">
        <v>743</v>
      </c>
      <c r="AM43" t="s">
        <v>238</v>
      </c>
      <c r="AN43"/>
      <c r="AO43" s="18" t="s">
        <v>323</v>
      </c>
      <c r="AP43"/>
      <c r="AQ43"/>
      <c r="AR43" s="19" t="s">
        <v>674</v>
      </c>
      <c r="AS43" s="20" t="s">
        <v>675</v>
      </c>
      <c r="AT43" s="20" t="s">
        <v>676</v>
      </c>
      <c r="AU43" s="20" t="s">
        <v>677</v>
      </c>
      <c r="AV43" s="20" t="s">
        <v>678</v>
      </c>
      <c r="AW43" s="21">
        <f t="shared" si="0"/>
        <v>58</v>
      </c>
      <c r="AX43" s="20" t="s">
        <v>662</v>
      </c>
      <c r="AY43" s="22" t="s">
        <v>338</v>
      </c>
      <c r="AZ43" s="20" t="s">
        <v>663</v>
      </c>
      <c r="BA43" s="23"/>
      <c r="BB43" s="23"/>
      <c r="BC43" s="20" t="s">
        <v>393</v>
      </c>
      <c r="BD43" s="20" t="s">
        <v>679</v>
      </c>
      <c r="BE43" s="23"/>
      <c r="BF43" s="23"/>
      <c r="BG43" s="23"/>
      <c r="BH43" s="20" t="s">
        <v>672</v>
      </c>
      <c r="BI43" s="20" t="s">
        <v>479</v>
      </c>
      <c r="BJ43" s="23"/>
      <c r="BK43" s="23"/>
      <c r="BL43" s="20" t="s">
        <v>342</v>
      </c>
      <c r="BM43" s="23"/>
      <c r="BN43" s="20" t="s">
        <v>343</v>
      </c>
      <c r="BO43" s="23"/>
      <c r="BP43" s="23"/>
      <c r="BQ43" t="s">
        <v>680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681</v>
      </c>
      <c r="DG43" s="1" t="s">
        <v>681</v>
      </c>
    </row>
  </sheetData>
  <autoFilter ref="A1:DG43">
    <sortState ref="A2:DH43">
      <sortCondition ref="V2:V43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2023-08-15T18:21:18Z</dcterms:modified>
  <cp:category/>
</cp:coreProperties>
</file>