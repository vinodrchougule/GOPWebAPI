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calcPr calcId="145621"/>
  <webPublishing codePage="0"/>
</workbook>
</file>

<file path=xl/calcChain.xml><?xml version="1.0" encoding="utf-8"?>
<calcChain xmlns="http://schemas.openxmlformats.org/spreadsheetml/2006/main">
  <c r="AU29" i="1" l="1"/>
  <c r="AU28" i="1"/>
  <c r="AU27" i="1"/>
  <c r="AU26" i="1"/>
  <c r="AU25" i="1"/>
  <c r="AU24" i="1"/>
  <c r="AU23" i="1"/>
  <c r="AU22" i="1"/>
  <c r="AU21" i="1"/>
  <c r="AU20" i="1"/>
  <c r="AU19" i="1"/>
  <c r="AU18" i="1"/>
  <c r="AU17" i="1"/>
  <c r="AU16" i="1"/>
  <c r="AU15" i="1"/>
  <c r="AU14" i="1"/>
  <c r="AU13" i="1"/>
  <c r="AU12" i="1"/>
  <c r="AU11" i="1"/>
  <c r="AU10" i="1"/>
  <c r="AU9" i="1"/>
  <c r="AU8" i="1"/>
  <c r="AU7" i="1"/>
  <c r="AU6" i="1"/>
  <c r="AU5" i="1"/>
  <c r="AU4" i="1"/>
  <c r="AU3" i="1"/>
  <c r="AU2" i="1"/>
</calcChain>
</file>

<file path=xl/sharedStrings.xml><?xml version="1.0" encoding="utf-8"?>
<sst xmlns="http://schemas.openxmlformats.org/spreadsheetml/2006/main" count="1540" uniqueCount="819">
  <si>
    <t>1039674</t>
  </si>
  <si>
    <t>BUSSE</t>
  </si>
  <si>
    <t>8909132</t>
  </si>
  <si>
    <t>500878</t>
  </si>
  <si>
    <t>TELFA</t>
  </si>
  <si>
    <t>SET EPDRL PERIFIX 20GAX39 OPEN</t>
  </si>
  <si>
    <t>40927975</t>
  </si>
  <si>
    <t>COVIDIEN</t>
  </si>
  <si>
    <t>CRC-3</t>
  </si>
  <si>
    <t>44531</t>
  </si>
  <si>
    <t>M0035432020</t>
  </si>
  <si>
    <t>Ref#</t>
  </si>
  <si>
    <t>C1755</t>
  </si>
  <si>
    <t>HCPCS Description</t>
  </si>
  <si>
    <t>APPLIED MEDICAL DISTRIBUTION</t>
  </si>
  <si>
    <t>ANGIODYNAMICS INC</t>
  </si>
  <si>
    <t>HENRY SCHEIN INC</t>
  </si>
  <si>
    <t>Secondary Dimension(IDXODXWXHXDXTHKXL)</t>
  </si>
  <si>
    <t>1137452</t>
  </si>
  <si>
    <t>URL</t>
  </si>
  <si>
    <t>BSMH_Material</t>
  </si>
  <si>
    <t>102476</t>
  </si>
  <si>
    <t>5286039</t>
  </si>
  <si>
    <t>6860112</t>
  </si>
  <si>
    <t>28000J</t>
  </si>
  <si>
    <t>BrandName1</t>
  </si>
  <si>
    <t>102473</t>
  </si>
  <si>
    <t>42203404</t>
  </si>
  <si>
    <t>MEDLINE</t>
  </si>
  <si>
    <t>38753601</t>
  </si>
  <si>
    <t>NEEDLE SPINAL QUIN 22G X 3.5IN</t>
  </si>
  <si>
    <t>DRAIN SURGICAL GRAVITY 18X1 IN PENROSE SAFETY PIN WOUND NATURAL RUBBER STERILE LATEX</t>
  </si>
  <si>
    <t>Corrected By</t>
  </si>
  <si>
    <t>1023576</t>
  </si>
  <si>
    <t>4790956</t>
  </si>
  <si>
    <t>MANUF-DIVISION</t>
  </si>
  <si>
    <t>500885</t>
  </si>
  <si>
    <t>333075</t>
  </si>
  <si>
    <t>359623</t>
  </si>
  <si>
    <t>12021046</t>
  </si>
  <si>
    <t>TELEFLEX LLC</t>
  </si>
  <si>
    <t>Property</t>
  </si>
  <si>
    <t>42241502</t>
  </si>
  <si>
    <t>HUDSON RCI</t>
  </si>
  <si>
    <t>PADDING CAST 4IN X 4YD</t>
  </si>
  <si>
    <t>35306153</t>
  </si>
  <si>
    <t>B BRAUN MED</t>
  </si>
  <si>
    <t>VERSACROSS</t>
  </si>
  <si>
    <t>35305647</t>
  </si>
  <si>
    <t>A6446</t>
  </si>
  <si>
    <t>Potential / Duplicate Across Consolidated</t>
  </si>
  <si>
    <t>Accepted Date</t>
  </si>
  <si>
    <t>30-3062</t>
  </si>
  <si>
    <t>5702624</t>
  </si>
  <si>
    <t>8194204</t>
  </si>
  <si>
    <t>DC20</t>
  </si>
  <si>
    <t>10868486</t>
  </si>
  <si>
    <t>NEEDLE ANESTHESIA 22 GAX3.5 IN QUINCKE SPINAL NEEDLE LATEXFREE</t>
  </si>
  <si>
    <t>QE Code</t>
  </si>
  <si>
    <t>Ref</t>
  </si>
  <si>
    <t>Gauze Sponge 100% Cotton 4x4" 50/Bx</t>
  </si>
  <si>
    <t>SIGTRSB60AXT</t>
  </si>
  <si>
    <t>Sterile</t>
  </si>
  <si>
    <t>GUIDEWIRE VASC L190CM DIA0014IN TIP L3CM J TIP HI TORQ BAL</t>
  </si>
  <si>
    <t>543202</t>
  </si>
  <si>
    <t>6017</t>
  </si>
  <si>
    <t>CATHETER EPIDURAL L40IN OD20GA OPEN TIP CONNECTOR PERIFIX</t>
  </si>
  <si>
    <t>102477</t>
  </si>
  <si>
    <t>3918320</t>
  </si>
  <si>
    <t>3990264</t>
  </si>
  <si>
    <t>MEDLINE INDUSTRIES INC</t>
  </si>
  <si>
    <t>BSMH_Volume/Weight</t>
  </si>
  <si>
    <t>BSMH Long 254 Desc</t>
  </si>
  <si>
    <t>Gloves Exam Criterion PowderFree Nitrile LatexFree XLarge Blue 90/Bx</t>
  </si>
  <si>
    <t>TRAY EPIDURAL 18GA SNG SHOT</t>
  </si>
  <si>
    <t>ABBOTT LABORATORIES</t>
  </si>
  <si>
    <t>PERIFIX</t>
  </si>
  <si>
    <t>L3806</t>
  </si>
  <si>
    <t>TARGET</t>
  </si>
  <si>
    <t>MEDLINE INDUSTRIES</t>
  </si>
  <si>
    <t>102475</t>
  </si>
  <si>
    <t>C1894</t>
  </si>
  <si>
    <t>A4580</t>
  </si>
  <si>
    <t>DRESSING WND SUPRA 18X18CM</t>
  </si>
  <si>
    <t>500891</t>
  </si>
  <si>
    <t>PADDING CAST W4INXL4YD SYNTHETIC NATURAL PROTOUCH</t>
  </si>
  <si>
    <t>INSERT CLAMP NOVACLIP 12MM</t>
  </si>
  <si>
    <t>SlNo</t>
  </si>
  <si>
    <t>C1769</t>
  </si>
  <si>
    <t>SE Code</t>
  </si>
  <si>
    <t>GLOVE NITRILE XLRG BLUE N/S</t>
  </si>
  <si>
    <t>CARDINAL HEALTHCARE</t>
  </si>
  <si>
    <t>SUPPORT HAND XSMALL 13 CM INCISION C8313</t>
  </si>
  <si>
    <t>COVTRSB60AXT</t>
  </si>
  <si>
    <t>42142706</t>
  </si>
  <si>
    <t>INSERT CLAMP NOVACLIP 17MM</t>
  </si>
  <si>
    <t>VENDOR</t>
  </si>
  <si>
    <t>504001</t>
  </si>
  <si>
    <t>BSMH_SIZE</t>
  </si>
  <si>
    <t>Quality A/R</t>
  </si>
  <si>
    <t>A6457</t>
  </si>
  <si>
    <t>MEDTRONIC USA INC - EV3</t>
  </si>
  <si>
    <t>BSN MEDICAL</t>
  </si>
  <si>
    <t>913856</t>
  </si>
  <si>
    <t>Final</t>
  </si>
  <si>
    <t>682</t>
  </si>
  <si>
    <t>A0398</t>
  </si>
  <si>
    <t>STENT VASCULAR SELFEXPANDING 0.035 IN 6X40 MM 5 FRX80 CM ENTRUST DELIVERY SYSTEM EVERFLEX CATH V01</t>
  </si>
  <si>
    <t>30416-100</t>
  </si>
  <si>
    <t>CLIP SURGICAL STRAIGHT 24 MM 17 MM STRAIGHT ANGULATION OF JAW LIGHT WEIGHT LARGE OPENING OF JAW HALF FORCE PRESSURE ATRAUMATIC SPRING BLUE NOVACLIP</t>
  </si>
  <si>
    <t>DE Code</t>
  </si>
  <si>
    <t>EVERFLEX</t>
  </si>
  <si>
    <t>EVD35-06-040-080</t>
  </si>
  <si>
    <t>CLIP CORONARY ARTERY 3 PRONG</t>
  </si>
  <si>
    <t>3918319</t>
  </si>
  <si>
    <t>PDG</t>
  </si>
  <si>
    <t>42311512</t>
  </si>
  <si>
    <t>42132203</t>
  </si>
  <si>
    <t>102474</t>
  </si>
  <si>
    <t>42142502</t>
  </si>
  <si>
    <t>BANDAGE GZ L W45INXL93YD COT 8 PLY FAST WICKING SUP AERATION</t>
  </si>
  <si>
    <t>QUINCKE SPINAL NEEDLE 22G X 3.5IN NEEDLE ANESTHESIA 22 GAX3.5 IN QUINCKE SPINAL NEEDLE LATEXFREE</t>
  </si>
  <si>
    <t>POLYMEDICS INNOVATIONS INC</t>
  </si>
  <si>
    <t>KIT MICROINTRODUCER 4FR ECHOGENIC NEEDLE L7CM 21GA COAX NITINOL TUNGSTEN SHEATH TAPERED DILATOR BLACK BEVEL INDICATOR MINI STICK MAX</t>
  </si>
  <si>
    <t>Syringe 5cc Male Luer Lock 100/Bx Hypodermic 100/Bx</t>
  </si>
  <si>
    <t>DRESSING ADHESIVE 2X3 IN RECTANGLE FILM/COTTON WHITE STERILE TELFA</t>
  </si>
  <si>
    <t>Location</t>
  </si>
  <si>
    <t>PADDING CAST/SPLINT W3INXL12FT NATURAL NON ADHESIVE ROLL PROTOUCH</t>
  </si>
  <si>
    <t>500886</t>
  </si>
  <si>
    <t>HITORQUE BALANCE</t>
  </si>
  <si>
    <t>SYRINGE 5CC CLEAR LL</t>
  </si>
  <si>
    <t>1527475</t>
  </si>
  <si>
    <t>2589708</t>
  </si>
  <si>
    <t>Customer Code</t>
  </si>
  <si>
    <t>42295911</t>
  </si>
  <si>
    <t>12021054</t>
  </si>
  <si>
    <t>HCPCS</t>
  </si>
  <si>
    <t>Miscellaneous</t>
  </si>
  <si>
    <t>30-3054</t>
  </si>
  <si>
    <t>LongDescription</t>
  </si>
  <si>
    <t>101285</t>
  </si>
  <si>
    <t>BOSTON SCIENTIFIC</t>
  </si>
  <si>
    <t>558255</t>
  </si>
  <si>
    <t>30-3053</t>
  </si>
  <si>
    <t>BANDAGE GAUZE 4.5IN X 3.1YD</t>
  </si>
  <si>
    <t>BrandName</t>
  </si>
  <si>
    <t>PADDING CAST 6IN X 4YD</t>
  </si>
  <si>
    <t>333520</t>
  </si>
  <si>
    <t>SPONGE 4X4 12 PLY STRL</t>
  </si>
  <si>
    <t>2483392</t>
  </si>
  <si>
    <t>BOSTON SCIENTIFIC CORP</t>
  </si>
  <si>
    <t>1010921</t>
  </si>
  <si>
    <t>DUKAL CORP</t>
  </si>
  <si>
    <t>Description Duplicate</t>
  </si>
  <si>
    <t>9-ASD-034</t>
  </si>
  <si>
    <t>C8313</t>
  </si>
  <si>
    <t>GUIDEWIRE HT BALANCE 190 J</t>
  </si>
  <si>
    <t>Modifier</t>
  </si>
  <si>
    <t>42142616</t>
  </si>
  <si>
    <t>BSMH_Packaging for drugs and solutions</t>
  </si>
  <si>
    <t>STENT VASCULAR SELFEXPANDING 0.035 IN 6X40 MM 5 FRX80 CM ENTRUST DELIVERY SYSTEM EVERFLEX CATH V01 PERIPHERAL WITH 5FRX80CM</t>
  </si>
  <si>
    <t>BANDAGE GAUZE L W45INXL93YD COTTON 8 PLY FAST WICKING SUPERIOR AERATION EXCELLENT ABSORBENCY CRINKLE WEAVE PATTERN KERLIX</t>
  </si>
  <si>
    <t>Short Desc 30</t>
  </si>
  <si>
    <t>GUIDEWIRE VASCULAR L190CM DIA0014IN TIP L3CM J TIP HI TORQUE BALANCE</t>
  </si>
  <si>
    <t>H965457501</t>
  </si>
  <si>
    <t>Production Comments</t>
  </si>
  <si>
    <t>102478</t>
  </si>
  <si>
    <t>ENDO GIA</t>
  </si>
  <si>
    <t>7500850</t>
  </si>
  <si>
    <t>16258676</t>
  </si>
  <si>
    <t>ALEXIS</t>
  </si>
  <si>
    <t>Verified MFR Name</t>
  </si>
  <si>
    <t>N-10108</t>
  </si>
  <si>
    <t>1008299</t>
  </si>
  <si>
    <t>500892</t>
  </si>
  <si>
    <t>500882</t>
  </si>
  <si>
    <t>44352</t>
  </si>
  <si>
    <t>102472</t>
  </si>
  <si>
    <t>APVENMAST#VENDOR-VNAME</t>
  </si>
  <si>
    <t>GDWR VRSCR 12.5FR PIGTAIL</t>
  </si>
  <si>
    <t>500887</t>
  </si>
  <si>
    <t>500877</t>
  </si>
  <si>
    <t>C1876</t>
  </si>
  <si>
    <t>Verified MFR Num</t>
  </si>
  <si>
    <t>PADDING CAST W6INXL4YD SYNTHETIC NATURAL PROTOUCH</t>
  </si>
  <si>
    <t>BSMH_Modifier</t>
  </si>
  <si>
    <t>MANUF-CODE</t>
  </si>
  <si>
    <t>500888</t>
  </si>
  <si>
    <t>11517680</t>
  </si>
  <si>
    <t>1317485</t>
  </si>
  <si>
    <t>ProdigoReferenceID</t>
  </si>
  <si>
    <t>Remarks</t>
  </si>
  <si>
    <t>BSMH_PrimaryDimension(IDXODXLXWXHXDXTHK)</t>
  </si>
  <si>
    <t>Orlando Long 300 Desc</t>
  </si>
  <si>
    <t>KIT MICROINTRODUCER 4FR ECHOGENIC NDL L7CM 21GA COAX NIT</t>
  </si>
  <si>
    <t>QE Comments</t>
  </si>
  <si>
    <t>APPLIED MEDICAL</t>
  </si>
  <si>
    <t>RefCat</t>
  </si>
  <si>
    <t>Tray Epidural Single Shot With Gauze/Needle/SafTCube 10/Ca</t>
  </si>
  <si>
    <t>42293107</t>
  </si>
  <si>
    <t>Size</t>
  </si>
  <si>
    <t>688577</t>
  </si>
  <si>
    <t>1012347</t>
  </si>
  <si>
    <t>NOVACLIP</t>
  </si>
  <si>
    <t>VITALITEC INTERNATIONAL INC</t>
  </si>
  <si>
    <t>KERLIX</t>
  </si>
  <si>
    <t>SPA-82</t>
  </si>
  <si>
    <t>NEUR</t>
  </si>
  <si>
    <t>COVER FACE PAPER WHT</t>
  </si>
  <si>
    <t>2882209</t>
  </si>
  <si>
    <t>3209363</t>
  </si>
  <si>
    <t>INVOSURG</t>
  </si>
  <si>
    <t>RELOAD STAPLER REINFORCED XTHICK 60X2 MM BUTTRESS TRI STAPLE TECHNOLOGY FOR SIGNIA STAPLING SYSTEM ENDO GIA LATEXFREE TRISTAPLE 2.0 60 EXTRA THICK BLACK</t>
  </si>
  <si>
    <t>HENRY SCHEIN</t>
  </si>
  <si>
    <t>BSMH_Property</t>
  </si>
  <si>
    <t>333933</t>
  </si>
  <si>
    <t>ITEMMAST#DESCRIPTION</t>
  </si>
  <si>
    <t/>
  </si>
  <si>
    <t>CATHETER EPI L40IN OD20GA OPN TIP CONN PERIFIX</t>
  </si>
  <si>
    <t>CORONARY ARTERY RETRACTION CLIP</t>
  </si>
  <si>
    <t>1167</t>
  </si>
  <si>
    <t>ASIS Description (Long  Desc 4000)</t>
  </si>
  <si>
    <t>42142535</t>
  </si>
  <si>
    <t>500893</t>
  </si>
  <si>
    <t>500883</t>
  </si>
  <si>
    <t>Activities</t>
  </si>
  <si>
    <t>ShortDescription</t>
  </si>
  <si>
    <t>7880063</t>
  </si>
  <si>
    <t>RELOAD TRI-STAPLE 2.0 REINFORC</t>
  </si>
  <si>
    <t>500884</t>
  </si>
  <si>
    <t>RefName</t>
  </si>
  <si>
    <t>BSMH_AGE</t>
  </si>
  <si>
    <t>Short Desc</t>
  </si>
  <si>
    <t>STRYKER NEUROVASCULAR</t>
  </si>
  <si>
    <t>1425221</t>
  </si>
  <si>
    <t>Latex</t>
  </si>
  <si>
    <t>Disposable</t>
  </si>
  <si>
    <t>BSMH_Gender</t>
  </si>
  <si>
    <t>67555</t>
  </si>
  <si>
    <t>1118539</t>
  </si>
  <si>
    <t>AIRWAY CATH GUIDE ADULT DISP</t>
  </si>
  <si>
    <t>A6219</t>
  </si>
  <si>
    <t>GENESEE BIOMEDICAL INC</t>
  </si>
  <si>
    <t>Potential Duplicate</t>
  </si>
  <si>
    <t>311818-US</t>
  </si>
  <si>
    <t>Noun</t>
  </si>
  <si>
    <t>42203403</t>
  </si>
  <si>
    <t>11635489</t>
  </si>
  <si>
    <t>1011332</t>
  </si>
  <si>
    <t>BSMH_NOUN</t>
  </si>
  <si>
    <t>5702637</t>
  </si>
  <si>
    <t>42312009</t>
  </si>
  <si>
    <t>Start Date</t>
  </si>
  <si>
    <t>DRAIN PENROSE 1 X 18IN STRL</t>
  </si>
  <si>
    <t>36116784</t>
  </si>
  <si>
    <t>BSMH_SecondaryDimension(IDXODXLXWXHXDXTHK)</t>
  </si>
  <si>
    <t>015-Diff139-28</t>
  </si>
  <si>
    <t>ANGIODYNAMICS</t>
  </si>
  <si>
    <t>1LYRTR 16FR10ML LATEX DB SNAP</t>
  </si>
  <si>
    <t>42171801</t>
  </si>
  <si>
    <t>Sort Comment</t>
  </si>
  <si>
    <t>42295453</t>
  </si>
  <si>
    <t>SEPTAL OCCLUDER</t>
  </si>
  <si>
    <t>40927976</t>
  </si>
  <si>
    <t>Material</t>
  </si>
  <si>
    <t>COIL TARGET DETAC HEL UL 2/2</t>
  </si>
  <si>
    <t>Volume/Weight</t>
  </si>
  <si>
    <t>RELOAD STAPLER REINFORCED XTHICK 60X2 MM BUTTRESS TRI STAPLE TECHNOLOGY FOR SIGNIA STAPLING SYSTEM ENDO GIA LATEXFREE</t>
  </si>
  <si>
    <t>INTL</t>
  </si>
  <si>
    <t>ABBOTT VASCULAR</t>
  </si>
  <si>
    <t>BSMH_Brandname</t>
  </si>
  <si>
    <t>Production User</t>
  </si>
  <si>
    <t>PADDING CAST SPLINT W3INXL12FT NAT N ADH RL PROTOUCH</t>
  </si>
  <si>
    <t>14019012</t>
  </si>
  <si>
    <t>CARDINAL HEALTH</t>
  </si>
  <si>
    <t>500890</t>
  </si>
  <si>
    <t>500880</t>
  </si>
  <si>
    <t>1033693</t>
  </si>
  <si>
    <t>URO175116</t>
  </si>
  <si>
    <t>Conc</t>
  </si>
  <si>
    <t>PAIN8017</t>
  </si>
  <si>
    <t>OCCLUDER AMPLATZ 34MM</t>
  </si>
  <si>
    <t>STENT ENTRUST 6/40/80</t>
  </si>
  <si>
    <t>KIT CATH MNI STICK 4FR 7CM</t>
  </si>
  <si>
    <t>VLAK0013</t>
  </si>
  <si>
    <t>1030623</t>
  </si>
  <si>
    <t>SUPPORT HAND XSMALL 13 CM INCISION C8313 EXTRA SMALL FOR 13CM INCISIONS</t>
  </si>
  <si>
    <t>10427310</t>
  </si>
  <si>
    <t>Job No</t>
  </si>
  <si>
    <t>555537</t>
  </si>
  <si>
    <t>Len</t>
  </si>
  <si>
    <t>AMPLATZER</t>
  </si>
  <si>
    <t>N-10112</t>
  </si>
  <si>
    <t>LLC</t>
  </si>
  <si>
    <t>13144984</t>
  </si>
  <si>
    <t>SE Comments</t>
  </si>
  <si>
    <t>VASC</t>
  </si>
  <si>
    <t>AGA MEDICAL CORPORATION</t>
  </si>
  <si>
    <t>PrimaryDimension(IDXODXWXHXDXTHKXL)</t>
  </si>
  <si>
    <t>Classification Remarks</t>
  </si>
  <si>
    <t>VEN-ITEM</t>
  </si>
  <si>
    <t>A4215</t>
  </si>
  <si>
    <t>42291802</t>
  </si>
  <si>
    <t>TAPE SURG 2IN X 10YD PAPER ADH</t>
  </si>
  <si>
    <t>TRAY FOLEY 16FR 10ML BAG</t>
  </si>
  <si>
    <t>SHEATH INTRODUCER PIGTAIL 230 CM 12.5 FR 67 CM LARGE ACCESS SOLUTION RADIOFREQUENCY WIRE DILATOR D0 VERSACROSS</t>
  </si>
  <si>
    <t>Long Description Creation | UNSPSC Classification</t>
  </si>
  <si>
    <t>HELICAL ULTRA DETACHABLE COIL</t>
  </si>
  <si>
    <t>Status</t>
  </si>
  <si>
    <t>8908610</t>
  </si>
  <si>
    <t>PADDING CAST 3IN X 4YD</t>
  </si>
  <si>
    <t>Color</t>
  </si>
  <si>
    <t>SUPRASDRM</t>
  </si>
  <si>
    <t>CND</t>
  </si>
  <si>
    <t>42311546</t>
  </si>
  <si>
    <t>CARDINAL DC20 SALES TRACING</t>
  </si>
  <si>
    <t>102479</t>
  </si>
  <si>
    <t>Versacross RF Wire 12.5fr 230cm/67cm Pigtail D0</t>
  </si>
  <si>
    <t>6716</t>
  </si>
  <si>
    <t>1028624</t>
  </si>
  <si>
    <t>HCPCS1</t>
  </si>
  <si>
    <t>GlobalUNSPSC</t>
  </si>
  <si>
    <t>DRESSING WND TELFA 2X3IN</t>
  </si>
  <si>
    <t>BSMH_Location</t>
  </si>
  <si>
    <t>1036996</t>
  </si>
  <si>
    <t>SUPRASDRM IS AN ABSORBABLE MICROPOROUS BIODEGRADABLE MATRIX INDICATED FOR THE MANAGEMENT OF SUPERFICIAL DERMAL WOUNDS SPLITSKIN GRAFT DONOR SITES PRESSURE AND VENOUS ULCERS AND 2ND DEGREE BURNS. THE BIODEGRADABLE MATRIX IS DESIGNED FOR TRAUMA AND SUR</t>
  </si>
  <si>
    <t>CLIP SURGICAL SOFT 17 MM 12 MM STRAIGHT ANGULATION OF JAW LIGHT WEIGHT LARGE OPENING OF JAW HALF FORCE PRESSURE ATRAUMATIC SPRING LILAC NOVACLIP</t>
  </si>
  <si>
    <t>CE Comments</t>
  </si>
  <si>
    <t>BSMH_Adjective</t>
  </si>
  <si>
    <t>UNSPSC v24.0301</t>
  </si>
  <si>
    <t>AIRWAY OROPHARYNGEAL GUEDEL 5 100 MM FLEXIBLE REINFORCED BITE BLOCK 3 INTERNAL CHANNEL VINYL NON STERILE CATH GUIDE LATEXFREE DISPOSABLE</t>
  </si>
  <si>
    <t>EV3 INC</t>
  </si>
  <si>
    <t>MANUF-NBR</t>
  </si>
  <si>
    <t>ITEM</t>
  </si>
  <si>
    <t>39719951</t>
  </si>
  <si>
    <t>500889</t>
  </si>
  <si>
    <t>500879</t>
  </si>
  <si>
    <t>Packaging Comment</t>
  </si>
  <si>
    <t>A4649</t>
  </si>
  <si>
    <t>RETRACTOR WND ALEXIS XS SMALL</t>
  </si>
  <si>
    <t>B BRAUN MEDICAL INC</t>
  </si>
  <si>
    <t>ABBOTT CARDIOVASCULAR INC</t>
  </si>
  <si>
    <t>MEDTRONIC INC</t>
  </si>
  <si>
    <t>APPLIED MEDICAL RESOURCES CORP</t>
  </si>
  <si>
    <t>CARDINAL HEALTH INC</t>
  </si>
  <si>
    <t>BSN MEDICAL INC</t>
  </si>
  <si>
    <t>STRYKER CORP</t>
  </si>
  <si>
    <t>TELEFLEX INC</t>
  </si>
  <si>
    <t>BUSSE HOSPITAL DISPOSABLES INC</t>
  </si>
  <si>
    <t>THE SYSTEMS GROUP INC</t>
  </si>
  <si>
    <t>BRAUN</t>
  </si>
  <si>
    <t>BRAUN_333520</t>
  </si>
  <si>
    <t>ABBOTT</t>
  </si>
  <si>
    <t>ABBOTT_28000J</t>
  </si>
  <si>
    <t>MEDTRONIC</t>
  </si>
  <si>
    <t>MEDTRONIC_SIGTRSB60AXT</t>
  </si>
  <si>
    <t>HENRY SCHEIN_1011332</t>
  </si>
  <si>
    <t>VITALITEC INTL</t>
  </si>
  <si>
    <t>N10108</t>
  </si>
  <si>
    <t>VITALITEC INTL_N10108</t>
  </si>
  <si>
    <t>APPLIED MEDICAL_C8313</t>
  </si>
  <si>
    <t>CARDINAL</t>
  </si>
  <si>
    <t>CARDINAL_30416100</t>
  </si>
  <si>
    <t>9ASD034</t>
  </si>
  <si>
    <t>ABBOTT_9ASD034</t>
  </si>
  <si>
    <t>SMITH</t>
  </si>
  <si>
    <t>SMITH_303053</t>
  </si>
  <si>
    <t>SMITH_303062</t>
  </si>
  <si>
    <t>CARDINAL_6716</t>
  </si>
  <si>
    <t>EVD3506040080</t>
  </si>
  <si>
    <t>MEDTRONIC_EVD3506040080</t>
  </si>
  <si>
    <t>HENRY SCHEIN_5702637</t>
  </si>
  <si>
    <t>POLYMEDICS</t>
  </si>
  <si>
    <t>311818US</t>
  </si>
  <si>
    <t>POLYMEDICS_311818US</t>
  </si>
  <si>
    <t>MEDLINE_PAIN8017</t>
  </si>
  <si>
    <t>ANGIODYNAMICS_H965457501</t>
  </si>
  <si>
    <t>STRYKER</t>
  </si>
  <si>
    <t>STRYKER_543202</t>
  </si>
  <si>
    <t>CRC3</t>
  </si>
  <si>
    <t>INVOSURG_CRC3</t>
  </si>
  <si>
    <t>HENRY SCHEIN_1118539</t>
  </si>
  <si>
    <t>MEDLINE_URO175116</t>
  </si>
  <si>
    <t>HENRY SCHEIN_5702624</t>
  </si>
  <si>
    <t>SMITH_303054</t>
  </si>
  <si>
    <t>BOSTON</t>
  </si>
  <si>
    <t>BOSTON_VLAK0013</t>
  </si>
  <si>
    <t>CARDINAL_6017</t>
  </si>
  <si>
    <t>N10112</t>
  </si>
  <si>
    <t>VITALITEC INTL_N10112</t>
  </si>
  <si>
    <t>TELEFLEX</t>
  </si>
  <si>
    <t>TELEFLEX_1167</t>
  </si>
  <si>
    <t>BUSSE_682</t>
  </si>
  <si>
    <t>THE SYSTEMS GROUP</t>
  </si>
  <si>
    <t>SPA82</t>
  </si>
  <si>
    <t>THE SYSTEMS GROUP_SPA82</t>
  </si>
  <si>
    <t>42142535  Anesthesia nerve block kit or tray</t>
  </si>
  <si>
    <t>Catheter Epidural 20Gx39 Open Tip 25/Ca</t>
  </si>
  <si>
    <t>CATHETER, EPIDURAL, OPEN TIP, 20 GAX39 IN, CONNECTOR, SET, STERILE, PERIFIX, LATEX-FREE</t>
  </si>
  <si>
    <t>CATHETER, EPIDURAL, PERIFIX, 20GAX39IN, OPEN TIP, CONNECTOR, SET, STERILE, LATEX FREE</t>
  </si>
  <si>
    <t>CATH, EPDRL, PERFX, 20GAX39IN, OPEN TIP, CONN, SET, STRL, LTXFREE</t>
  </si>
  <si>
    <t>CATH, EPDRL, PERFX, 20GAX39IN, SET</t>
  </si>
  <si>
    <t>CATHETER</t>
  </si>
  <si>
    <t>EPIDURAL</t>
  </si>
  <si>
    <t>OPEN TIP</t>
  </si>
  <si>
    <t>20GAX39IN</t>
  </si>
  <si>
    <t>20 GAX39 IN</t>
  </si>
  <si>
    <t>OPEN TIP, CONNECTOR, SET</t>
  </si>
  <si>
    <t>CONNECTOR, SET</t>
  </si>
  <si>
    <t>STERILE</t>
  </si>
  <si>
    <t>LATEX FREE</t>
  </si>
  <si>
    <t>https://www.henryschein.com/us-en/Shopping/ProductDetails.aspx?productid=1137452&amp;cdivId=specialmarkets_d&amp;CatalogName=B_PRIME&amp;name=Catheter%20IV%20Epidural%20Open%20End%203%20Lateral%20Side%20Port%2020%20Gauge%2025/Ca&amp;did=specialmarkets_d&amp;ShowProductCompare=true&amp;FullPageMode=true, https://accessgudid.nlm.nih.gov/devices/04046964179921</t>
  </si>
  <si>
    <t>Classified Nearest to Commodity Level</t>
  </si>
  <si>
    <t>42203404  Vascular imaging guidewires</t>
  </si>
  <si>
    <t>GUIDE WIRE</t>
  </si>
  <si>
    <t>HI-TORQUE BALANCE 3 cm J Hydrophobic 190 cm</t>
  </si>
  <si>
    <t>GUIDEWIRE, VASCULAR, J, 3 CM, 0.014 INX190 CM, HYDROPHOBIC COATED, STERILE, HI-TORQUE BALANCE, LATEX</t>
  </si>
  <si>
    <t>GUIDEWIRE, VASCULAR, HI-TORQUE BALANCE, 3CM, 0.014INX190CM, HYDROPHOBIC COATED, J, STERILE, LATEX</t>
  </si>
  <si>
    <t>GDWR, VASC, HI TORQ BAL, 3CM, 0.014INX190CM, HYDROPHOBIC COATD, J, STRL, LTX</t>
  </si>
  <si>
    <t>GDWR, VASC, 3CM, 0.014INX190CM</t>
  </si>
  <si>
    <t>GUIDEWIRE</t>
  </si>
  <si>
    <t>VASCULAR</t>
  </si>
  <si>
    <t>HI-TORQUE BALANCE</t>
  </si>
  <si>
    <t>J</t>
  </si>
  <si>
    <t>3CM</t>
  </si>
  <si>
    <t>3 CM</t>
  </si>
  <si>
    <t>0.014INX190CM</t>
  </si>
  <si>
    <t>0.014 INX190 CM</t>
  </si>
  <si>
    <t>HYDROPHOBIC COATED</t>
  </si>
  <si>
    <t>LATEX</t>
  </si>
  <si>
    <t>https://www.cardiovascular.abbott/us/en/hcp/products/percutaneous-coronary-intervention/coronary-guidewires/ordering.html, https://accessgudid.nlm.nih.gov/devices/08717648080517</t>
  </si>
  <si>
    <t>42312009  Medical staplers for internal use</t>
  </si>
  <si>
    <t>Tri-Staple 2.0 Reinforced Intelligent Reload with Buttress for Signia Stapling System Extra Thick 60 mm</t>
  </si>
  <si>
    <t>RELOAD, STAPLER, REINFORCED, EXTRA THICK, 60X2 MM, BUTTRESS, TRI-STAPLE 2.0 TECHNOLOGY, FOR SIGNIA STAPLING SYSTEM, STERILE, ENDO GIA, LATEX-FREE</t>
  </si>
  <si>
    <t>RELOAD, STAPLER, ENDO GIA, EXTRA THICK, 2X60MM, REINFORCED, BUTTRESS, TRI-STAPLE 2.0 TECHNOLOGY, FOR SIGNIA STAPLING SYSTEM, STERILE, LATEX FREE</t>
  </si>
  <si>
    <t>RELOAD, STPLR, ENDGA, EXTRA THICK, 2X60MM, REINF, BUTTRESS, TRI-STAPLE 2.0 TECHNOLOGY, FOR SIGNIA STAPLING SYS, STRL, LTXFREE</t>
  </si>
  <si>
    <t>RELOAD, STPLR, ENDGA, 2X60MM</t>
  </si>
  <si>
    <t>RELOAD</t>
  </si>
  <si>
    <t>STAPLER</t>
  </si>
  <si>
    <t>REINFORCED</t>
  </si>
  <si>
    <t>EXTRA THICK</t>
  </si>
  <si>
    <t>2X60MM</t>
  </si>
  <si>
    <t>60X2 MM</t>
  </si>
  <si>
    <t>REINFORCED, BUTTRESS, TRI-STAPLE 2.0 TECHNOLOGY, FOR SIGNIA STAPLING SYSTEM</t>
  </si>
  <si>
    <t>BUTTRESS, TRI-STAPLE 2.0 TECHNOLOGY, FOR SIGNIA STAPLING SYSTEM</t>
  </si>
  <si>
    <t>https://www.medline.com/sku/item/MDPCOVTRSB60AXT, https://accessgudid.nlm.nih.gov/devices/10884521717633</t>
  </si>
  <si>
    <t>42311552  Medical and surgical adherent tapes for general use</t>
  </si>
  <si>
    <t>Surgical Tape Paper 2x10yd White Non-Sterile</t>
  </si>
  <si>
    <t>TAPE, SURGICAL, ADHESIVE, 10 YDX2 IN, SKIN, ABSORBENT, HYPOALLERGENIC, POROUS, PAPER, WHITE, NON STERILE, LATEX-FREE, DISPOSABLE</t>
  </si>
  <si>
    <t>TAPE, SURGICAL, 2INX10YD, POROUS, PAPER, SKIN, WHITE, ADHESIVE, ABSORBENT, HYPOALLERGENIC, NON STERILE, LATEX FREE, DISPOSABLE</t>
  </si>
  <si>
    <t>TAPE, SURG, 2INX10YD, POR, PPR, SKIN, WHT, ADH, ABSBT, HYPOALLERGENIC, NON STRL, LTXFREE, DISP</t>
  </si>
  <si>
    <t>TAPE, SURG, 2INX10YD, POR, PPR, WHT</t>
  </si>
  <si>
    <t>TAPE</t>
  </si>
  <si>
    <t>SURGICAL</t>
  </si>
  <si>
    <t>ADHESIVE</t>
  </si>
  <si>
    <t>2INX10YD</t>
  </si>
  <si>
    <t>10 YDX2 IN</t>
  </si>
  <si>
    <t>POROUS, PAPER</t>
  </si>
  <si>
    <t>SKIN</t>
  </si>
  <si>
    <t>WHITE</t>
  </si>
  <si>
    <t>ADHESIVE, ABSORBENT, HYPOALLERGENIC</t>
  </si>
  <si>
    <t>ABSORBENT, HYPOALLERGENIC</t>
  </si>
  <si>
    <t>NON STERILE</t>
  </si>
  <si>
    <t>DISPOSABLE</t>
  </si>
  <si>
    <t>https://www.henryschein.com/us-en/Shopping/ProductDetails.aspx?productid=1011332&amp;CatalogName=MEDICAL</t>
  </si>
  <si>
    <t>42291802  Surgical clamps or clips or forceps</t>
  </si>
  <si>
    <t>Novaclip Atraumatic Spring Clip 17mm Straight</t>
  </si>
  <si>
    <t>CLIP, SURGICAL, STRAIGHT, 24 MM, 17 MM, ATRAUMATIC SPRING, INSERT, CLAMP, ANGULATION OF JAW, LIGHTWEIGHT, LARGE OPENING OF JAW, HALF FORCE PRESSURE, BLUE, STERILE, NOVACLIP, LATEX-FREE</t>
  </si>
  <si>
    <t>CLIP, SURGICAL, NOVACLIP, 24MM, 17MM, BLUE, STRAIGHT, ATRAUMATIC SPRING, INSERT, CLAMP, ANGULATION OF JAW, LIGHTWEIGHT, LARGE OPENING OF JAW, HALF FORCE PRESSURE, STERILE, LATEX FREE</t>
  </si>
  <si>
    <t>CLIP, SURG, NOVACLIP, 24MM, 17MM, BLUE, STRT, ATRAUMATIC SPRG, INS, CLP, ANGULATION OF JAW, LIGHTWEIGHT, LRG OPENING OF JAW, HALF FORCE PRESS, STRL, LTXFREE</t>
  </si>
  <si>
    <t>CLIP, SURG, NOVACLIP, 24MM, 17MM</t>
  </si>
  <si>
    <t>CLIP</t>
  </si>
  <si>
    <t>STRAIGHT</t>
  </si>
  <si>
    <t>24MM</t>
  </si>
  <si>
    <t>24 MM</t>
  </si>
  <si>
    <t>17MM</t>
  </si>
  <si>
    <t>17 MM</t>
  </si>
  <si>
    <t>BLUE</t>
  </si>
  <si>
    <t>STRAIGHT, ATRAUMATIC SPRING, INSERT, CLAMP, ANGULATION OF JAW, LIGHTWEIGHT, LARGE OPENING OF JAW, HALF FORCE PRESSURE</t>
  </si>
  <si>
    <t>ATRAUMATIC SPRING, INSERT, CLAMP, ANGULATION OF JAW, LIGHTWEIGHT, LARGE OPENING OF JAW, HALF FORCE PRESSURE</t>
  </si>
  <si>
    <t>http://www.megamedworld.com/wp-content/uploads/2019/03/Vitalitec.pdf, https://accessgudid.nlm.nih.gov/devices/00852621004017</t>
  </si>
  <si>
    <t>42293107  Surgical retractors</t>
  </si>
  <si>
    <t>Alexis Wound Protector/Retractor XX-Small 20cm 1-3cm</t>
  </si>
  <si>
    <t>RETRACTOR, SURGICAL, WOUND, XXSMALL, 20 CM, 1-3 CM, INCISION, STERILE, ALEXIS, LATEX-FREE</t>
  </si>
  <si>
    <t>RETRACTOR, SURGICAL, ALEXIS, 2XS, 20CM, 1-3CM, WOUND, INCISION, STERILE, LATEX FREE</t>
  </si>
  <si>
    <t>RTRCTR, SURG, ALEXIS, 2XS, 20CM, 1-3CM, WND, INCSN, STRL, LTXFREE</t>
  </si>
  <si>
    <t>RETRACTOR, SURG, 2XS, 20CM, 1-3CM</t>
  </si>
  <si>
    <t>RETRACTOR</t>
  </si>
  <si>
    <t>WOUND</t>
  </si>
  <si>
    <t>2XS</t>
  </si>
  <si>
    <t>XXSMALL</t>
  </si>
  <si>
    <t>20CM</t>
  </si>
  <si>
    <t>20 CM</t>
  </si>
  <si>
    <t>1-3CM</t>
  </si>
  <si>
    <t>1-3 CM</t>
  </si>
  <si>
    <t>WOUND, INCISION</t>
  </si>
  <si>
    <t>INCISION</t>
  </si>
  <si>
    <t>SUPPORT HAND</t>
  </si>
  <si>
    <t>https://appliedmedical.com/Content/Resources/AlexisFamily/SC01531.pdf, https://accessgudid.nlm.nih.gov/devices/00607915125219</t>
  </si>
  <si>
    <t>42295453  Surgical drains or drain sets</t>
  </si>
  <si>
    <t>Penrose Drain Flat Tip</t>
  </si>
  <si>
    <t>DRAIN, SURGICAL, PENROSE, 18X1 IN, GRAVITY, FLAT TIP, RADIOPAQUE, SAFETY PIN, WOUND, STERILE, LATEX, DISPOSABLE</t>
  </si>
  <si>
    <t>DRAIN, SURGICAL, 1X18IN, PENROSE, GRAVITY, FLAT TIP, RADIOPAQUE, SAFETY PIN, WOUND, STERILE, LATEX, DISPOSABLE</t>
  </si>
  <si>
    <t>DRAIN, SURG, 1X18IN, PENROSE, GRAVITY, FLAT TIP, RADOPQ, SFTY PIN, WND, STRL, LTX, DISP</t>
  </si>
  <si>
    <t>DRAIN, SURG, 1X18IN, PENROSE, FLAT</t>
  </si>
  <si>
    <t>DRAIN</t>
  </si>
  <si>
    <t>PENROSE</t>
  </si>
  <si>
    <t>1X18IN</t>
  </si>
  <si>
    <t>18X1 IN</t>
  </si>
  <si>
    <t>PENROSE, GRAVITY, FLAT TIP, RADIOPAQUE, SAFETY PIN, WOUND</t>
  </si>
  <si>
    <t>GRAVITY, FLAT TIP, RADIOPAQUE, SAFETY PIN, WOUND</t>
  </si>
  <si>
    <t>https://www.henryschein.com/us-en/Shopping/ProductDetails.aspx?productid=2881360&amp;cdivId=specialmarkets_d&amp;CatalogName=B_PRIME&amp;name=Drain%20Penrose%2018x1&amp;quot;%20Flat%20Tip%2010/Bx&amp;did=specialmarkets_d&amp;ShowProductCompare=true&amp;FullPageMode=true</t>
  </si>
  <si>
    <t>42296007  Cardiovascular occluders</t>
  </si>
  <si>
    <t>Amplatzer Septal Occluder 34</t>
  </si>
  <si>
    <t>OCCLUDER, CARDIOVASCULAR, SEPTAL, 34 MM, STERILE, AMPLATZER, LATEX-FREE</t>
  </si>
  <si>
    <t>OCCLUDER, CARDIOVASCULAR, AMPLATZER, 34MM, SEPTAL, STERILE, LATEX FREE</t>
  </si>
  <si>
    <t>OCCLDR, CV, AMPZR, 34MM, SEPTAL, STRL, LTXFREE</t>
  </si>
  <si>
    <t>OCCLUDER, CV, AMPZR, 34MM, SEPTAL</t>
  </si>
  <si>
    <t>OCCLUDER</t>
  </si>
  <si>
    <t>CARDIOVASCULAR</t>
  </si>
  <si>
    <t>SEPTAL</t>
  </si>
  <si>
    <t>34MM</t>
  </si>
  <si>
    <t>34 MM</t>
  </si>
  <si>
    <t>https://www.cardiovascular.abbott/int/en/hcp/products/structural-heart/structural-interventions/amplatzer-septal.html, https://accessgudid.nlm.nih.gov/devices/05415067019356</t>
  </si>
  <si>
    <t>42241502  Cast or splint padding materials</t>
  </si>
  <si>
    <t>CAST SUPPLIES (E.G. PLASTER)</t>
  </si>
  <si>
    <t>ProTouch Cast Padding 4x4yd</t>
  </si>
  <si>
    <t>PADDING, CAST, SMOOTH, 4 YDX4 IN, LIMB, NON ADHESIVE, ROLL, SYNTHETIC, NATURAL, WHITE, PROTOUCH, LATEX-FREE</t>
  </si>
  <si>
    <t>PADDING, CAST, PROTOUCH, 4INX4YD, SYNTHETIC, LIMB, NATURAL, WHITE, SMOOTH, NON ADHESIVE, ROLL, LATEX FREE</t>
  </si>
  <si>
    <t>PAD, CAST, PROTOUCH, 4INX4YD, SYN, LIMB, NAT, WHT, SMT, NON ADH, ROLL, LTXFREE</t>
  </si>
  <si>
    <t>PADDING, CAST, PROTOUCH, 4INX4YD</t>
  </si>
  <si>
    <t>PADDING</t>
  </si>
  <si>
    <t>CAST</t>
  </si>
  <si>
    <t>PROTOUCH</t>
  </si>
  <si>
    <t>SMOOTH</t>
  </si>
  <si>
    <t>4INX4YD</t>
  </si>
  <si>
    <t>4 YDX4 IN</t>
  </si>
  <si>
    <t>SYNTHETIC</t>
  </si>
  <si>
    <t>LIMB</t>
  </si>
  <si>
    <t>NATURAL, WHITE</t>
  </si>
  <si>
    <t>SMOOTH, NON ADHESIVE, ROLL</t>
  </si>
  <si>
    <t>NON ADHESIVE, ROLL</t>
  </si>
  <si>
    <t>https://www.henryschein.com/us-es/Shopping/ProductDetails.aspx?productid=7500850&amp;cdivId=specialmarkets_d&amp;CatalogName=B_PRIME&amp;name=ProTouch+Padding+Cast+Synthetic+4&amp;quot%3Bx4yd+12%2FPk&amp;did=specialmarkets_d&amp;ShowProductCompare=true&amp;FullPageMode=true</t>
  </si>
  <si>
    <t>ProTouch Cast Padding White 3x4yd</t>
  </si>
  <si>
    <t>PADDING, CAST, SMOOTH, 4 YDX3 IN, LIMB, NON ADHESIVE, ROLL, SYNTHETIC, NATURAL, WHITE, PROTOUCH, LATEX-FREE</t>
  </si>
  <si>
    <t>PADDING, CAST, PROTOUCH, 3INX4YD, SYNTHETIC, LIMB, NATURAL, WHITE, SMOOTH, NON ADHESIVE, ROLL, LATEX FREE</t>
  </si>
  <si>
    <t>PAD, CAST, PROTOUCH, 3INX4YD, SYN, LIMB, NAT, WHT, SMT, NON ADH, ROLL, LTXFREE</t>
  </si>
  <si>
    <t>PADDING, CAST, PROTOUCH, 3INX4YD</t>
  </si>
  <si>
    <t>3INX4YD</t>
  </si>
  <si>
    <t>4 YDX3 IN</t>
  </si>
  <si>
    <t>https://www.henryschein.com/us-en/medical/p/health-beauty-otc/orthopedic-products/padding-cast-protouch-natural/7880063</t>
  </si>
  <si>
    <t>42311512  Gauze sponges</t>
  </si>
  <si>
    <t>CONFORMING BANDAGE, NON-ELASTIC, KNITTED/WOVEN, STERILE, WIDTH GREATER THAN OR EQUAL TO THREE INCHES AND LESS THAN FIVE INCHES, PER YARD</t>
  </si>
  <si>
    <t>Kerlix Gauze Bandage Cotton 4.5x3.1yd 8 Ply Sterile Ea 100 EA/CA</t>
  </si>
  <si>
    <t>BANDAGE, GAUZE, 8 PLY, 3.1 YDX4.5 IN, FAST WICKING, SUPERIOR AERATION, EXCELLENT ABSORBENCY, CRINKLE WEAVE PATTERN, COTTON, STERILE, KERLIX, LATEX-FREE, DISPOSABLE</t>
  </si>
  <si>
    <t>BANDAGE, GAUZE, KERLIX, 4.5INX3.1YD, COTTON, 8 PLY, FAST WICKING, SUPERIOR AERATION, EXCELLENT ABSORBENCY, CRINKLE WEAVE PATTERN, STERILE, LATEX FREE, DISPOSABLE</t>
  </si>
  <si>
    <t>BNDGE, GAUZE, KRLX, 4.5INX3.1YD, COTTON, 8 PLY, FAST WICKING, SUPERIOR AERATION, EXCELLENT ABSORBENCY, CRINKLE WEAVE PATTERN, STRL, LTXFREE, DISP</t>
  </si>
  <si>
    <t>BANDAGE, GAUZE, KRLX, 4.5INX3.1YD</t>
  </si>
  <si>
    <t>BANDAGE</t>
  </si>
  <si>
    <t>GAUZE</t>
  </si>
  <si>
    <t>8 PLY</t>
  </si>
  <si>
    <t>4.5INX3.1YD</t>
  </si>
  <si>
    <t>3.1 YDX4.5 IN</t>
  </si>
  <si>
    <t>COTTON</t>
  </si>
  <si>
    <t>8 PLY, FAST WICKING, SUPERIOR AERATION, EXCELLENT ABSORBENCY, CRINKLE WEAVE PATTERN</t>
  </si>
  <si>
    <t>FAST WICKING, SUPERIOR AERATION, EXCELLENT ABSORBENCY, CRINKLE WEAVE PATTERN</t>
  </si>
  <si>
    <t>https://www.henryschein.com/us-en/Shopping/ProductDetails.aspx?productid=8908610&amp;CatalogName=B_MEDICAL</t>
  </si>
  <si>
    <t>42295911  Peripheral stents</t>
  </si>
  <si>
    <t>STENT, NON-COATED/NON-COVERED, WITH DELIVERY SYSTEM</t>
  </si>
  <si>
    <t>EverFlex Self-expanding Peripheral Stent with Entrust Delivery System 6 40 5 0.035 80</t>
  </si>
  <si>
    <t>STENT, VASCULAR, SELF-EXPANDING, 0.035 IN, 6X40 MM, 5 FRX80 CM, WITH ENTRUST DELIVERY SYSTEM, STERILE, EVERFLEX, LATEX</t>
  </si>
  <si>
    <t>STENT, VASCULAR, EVERFLEX, 0.035IN, 6X40MM, 5FRX80CM, SELF EXPANDING, WITH ENTRUST DELIVERY SYSTEM, STERILE, LATEX</t>
  </si>
  <si>
    <t>STENT, VASC, EVRFX, 0.035IN, 6X40MM, 5FRX80CM, SLF EXPANDING, W/ ENTRUST DLV SYS, STRL, LTX</t>
  </si>
  <si>
    <t>STENT, VASC, 6X40MM, 5FRX80CM, DLV</t>
  </si>
  <si>
    <t>STENT</t>
  </si>
  <si>
    <t>SELF-EXPANDING</t>
  </si>
  <si>
    <t>0.035IN</t>
  </si>
  <si>
    <t>0.035 IN</t>
  </si>
  <si>
    <t>6X40MM</t>
  </si>
  <si>
    <t>6X40 MM</t>
  </si>
  <si>
    <t>5FRX80CM</t>
  </si>
  <si>
    <t>5 FRX80 CM</t>
  </si>
  <si>
    <t>SELF EXPANDING, WITH ENTRUST DELIVERY SYSTEM</t>
  </si>
  <si>
    <t>WITH ENTRUST DELIVERY SYSTEM</t>
  </si>
  <si>
    <t>https://asiapac.medtronic.com/content/dam/medtronic-com/products/cardiovascular/peripheral-stent-systems/everflex-entrust/documents/everflex-entrust-competitive-sell-sheet.pdf, https://accessgudid.nlm.nih.gov/devices/00821684051139</t>
  </si>
  <si>
    <t>Premium 100% Cotton All-Gauze Sponge 4x4 12 Ply Sterile Square LF</t>
  </si>
  <si>
    <t>SPONGE, GAUZE, SQUARE, 4X4 IN, 12 PLY, ABSORBENT, 100% COTTON, STERILE, PREMIUM, LATEX-FREE</t>
  </si>
  <si>
    <t>SPONGE, GAUZE, PREMIUM, 4X4IN, 100% COTTON, SQUARE, 12 PLY, ABSORBENT, STERILE, LATEX FREE</t>
  </si>
  <si>
    <t>SPONGE, GAUZE, PREM, 4X4IN, 100% COTTON, SQ, 12 PLY, ABSBT, STRL, LTXFREE</t>
  </si>
  <si>
    <t>SPONGE, GAUZE, PREM, 4X4IN, SQ, 12</t>
  </si>
  <si>
    <t>SPONGE</t>
  </si>
  <si>
    <t>PREMIUM</t>
  </si>
  <si>
    <t>SQUARE</t>
  </si>
  <si>
    <t>4X4IN</t>
  </si>
  <si>
    <t>4X4 IN</t>
  </si>
  <si>
    <t>100% COTTON</t>
  </si>
  <si>
    <t>SQUARE, 12 PLY, ABSORBENT</t>
  </si>
  <si>
    <t>12 PLY, ABSORBENT</t>
  </si>
  <si>
    <t>50/BX</t>
  </si>
  <si>
    <t>https://www.henryschein.com/us-en/medical/p/medical-surgical-supplies/wound-care/premium-sponge-sterile-4x4/5702637</t>
  </si>
  <si>
    <t>42295502  Human tissue implants</t>
  </si>
  <si>
    <t>C1762</t>
  </si>
  <si>
    <t>CONNECTIVE TISSUE, HUMAN (INCLUDES FASCIA LATA)</t>
  </si>
  <si>
    <t>SUPRA SDRM 18X18</t>
  </si>
  <si>
    <t>GRAFT, DERMAL, 18X18 CM, DRESSING, ABSORBABLE, MICROPOROUS, BIODEGRADABLE, SYNTHETIC WOUND CLOSURE MATRIX, STERILE, SUPRA SDRM, LATEX</t>
  </si>
  <si>
    <t>GRAFT, DERMAL, SUPRA SDRM, 18X18CM, MICROPOROUS, BIODEGRADABLE, SYNTHETIC WOUND CLOSURE MATRIX, DRESSING, ABSORBABLE, STERILE, LATEX</t>
  </si>
  <si>
    <t>GRAFT, DERM, SUPRA SDRM, 18X18CM, MICROPOROUS, BIODEGRADABLE, SYN WND CLSR MATRIX, DRSG, ABSBL, STRL, LTX</t>
  </si>
  <si>
    <t>GRAFT, DERM, SUPRA SDRM, 18X18CM</t>
  </si>
  <si>
    <t>GRAFT</t>
  </si>
  <si>
    <t>DERMAL</t>
  </si>
  <si>
    <t>SUPRA SDRM</t>
  </si>
  <si>
    <t>18X18CM</t>
  </si>
  <si>
    <t>18X18 CM</t>
  </si>
  <si>
    <t>MICROPOROUS, BIODEGRADABLE, SYNTHETIC WOUND CLOSURE MATRIX</t>
  </si>
  <si>
    <t>DRESSING, ABSORBABLE</t>
  </si>
  <si>
    <t>https://polymedics.com/us/products/description-sdrm/, https://accessgudid.nlm.nih.gov/devices/04260184023431</t>
  </si>
  <si>
    <t>42142541  Spinal aspiration needles</t>
  </si>
  <si>
    <t>NEEDLE, STERILE, ANY SIZE, EACH</t>
  </si>
  <si>
    <t>Quincke Spinal Needle 22gx3.5</t>
  </si>
  <si>
    <t>NEEDLE, SPINAL, ANESTHESIA, 22 GAX3.5 IN, STERILE, QUINCKE, LATEX-FREE</t>
  </si>
  <si>
    <t>NEEDLE, SPINAL, QUINCKE, 22GAX3.5IN, ANESTHESIA, STERILE, LATEX FREE</t>
  </si>
  <si>
    <t>NDL, SPNL, QNCKE, 22GAX3.5IN, ANES, STRL, LTXFREE</t>
  </si>
  <si>
    <t>NEEDLE, SPNL, QNCKE, 22GAX3.5IN</t>
  </si>
  <si>
    <t>NEEDLE</t>
  </si>
  <si>
    <t>SPINAL</t>
  </si>
  <si>
    <t>QUINCKE</t>
  </si>
  <si>
    <t>ANESTHESIA</t>
  </si>
  <si>
    <t>22GAX3.5IN</t>
  </si>
  <si>
    <t>22 GAX3.5 IN</t>
  </si>
  <si>
    <t>https://www.henryschein.com/us-en/medical/p/medical-surgical-supplies/surgical-products/needle-spinal-quincke/1317485, https://accessgudid.nlm.nih.gov/devices/10884389622261</t>
  </si>
  <si>
    <t>42203403  Diagnostic or interventional vascular catheter introducers</t>
  </si>
  <si>
    <t>INTRODUCER/SHEATH, OTHER THAN GUIDING, OTHER THAN INTRACARDIAC ELECTROPHYSIOLOGICAL, NON-LASER</t>
  </si>
  <si>
    <t>Mini Stick MAX Kits Nitinol tungsten guidewire 21 G x 7 cm echogenic needle 4FR</t>
  </si>
  <si>
    <t>INTRODUCER, SHEATH, COAXIAL, 4 FR, 21 GAX7 CM, KIT, MICROINTRODUCER, NITINOL TUNGSTEN GUIDEWIRE, ECHOGENIC NEEDLE, CATHETER, TAPERED DILATOR, BEVEL INDICATOR, BLACK, STERILE, MINI STICK MAX, LATEX</t>
  </si>
  <si>
    <t>INTRODUCER, SHEATH, MINI STICK MAX, 4FR, 21GAX7CM, BLACK, KIT, COAXIAL, MICROINTRODUCER, NITINOL TUNGSTEN GUIDEWIRE, ECHOGENIC NEEDLE, CATHETER, TAPERED DILATOR, BEVEL INDICATOR, STERILE, LATEX</t>
  </si>
  <si>
    <t>INTRO, SHTH, MNI STICK MAX, 4FR, 21GAX7CM, BLACK, KIT, COAXIAL, MICROINTRODUCER, NITINOL TUNGSTEN GDWR, ECHO NDL, CATH, TPRD DIL, BEVEL INDCTR, STRL, LTX</t>
  </si>
  <si>
    <t>INTRO, SHTH, STICK, 4FR, 21GAX7CM</t>
  </si>
  <si>
    <t>INTRODUCER</t>
  </si>
  <si>
    <t>SHEATH</t>
  </si>
  <si>
    <t>MINI STICK MAX</t>
  </si>
  <si>
    <t>COAXIAL</t>
  </si>
  <si>
    <t>4FR</t>
  </si>
  <si>
    <t>4 FR</t>
  </si>
  <si>
    <t>21GAX7CM</t>
  </si>
  <si>
    <t>21 GAX7 CM</t>
  </si>
  <si>
    <t>BLACK</t>
  </si>
  <si>
    <t>KIT, COAXIAL, MICROINTRODUCER, NITINOL TUNGSTEN GUIDEWIRE, ECHOGENIC NEEDLE, CATHETER, TAPERED DILATOR, BEVEL INDICATOR</t>
  </si>
  <si>
    <t>KIT, MICROINTRODUCER, NITINOL TUNGSTEN GUIDEWIRE, ECHOGENIC NEEDLE, CATHETER, TAPERED DILATOR, BEVEL INDICATOR</t>
  </si>
  <si>
    <t>https://www.medline.com/media/catalog/Docs/MKT/MINISTICKMAX_.PDF, https://accessgudid.nlm.nih.gov/devices/H965457500</t>
  </si>
  <si>
    <t>42296011  Vascular coils</t>
  </si>
  <si>
    <t>C1884</t>
  </si>
  <si>
    <t>EMBOLIZATION PROTECTIVE SYSTEM</t>
  </si>
  <si>
    <t>Target Helical Ultra Coil 2mm 2cm</t>
  </si>
  <si>
    <t>COIL, EMBOLIZATION, HELICAL ULTRA, 2 MMX2 CM, DETACHABLE, STERILE, TARGET, LATEX</t>
  </si>
  <si>
    <t>COIL, EMBOLIZATION, TARGET, 2MMX2CM, HELICAL ULTRA, DETACHABLE, STERILE, LATEX</t>
  </si>
  <si>
    <t>COIL, EMBOL, TARGET, 2MMX2CM, HELI ULT, DETACH, STRL, LTX</t>
  </si>
  <si>
    <t>COIL, EMBOL, TARGET, 2MMX2CM, HELI</t>
  </si>
  <si>
    <t>COIL</t>
  </si>
  <si>
    <t>EMBOLIZATION</t>
  </si>
  <si>
    <t>HELICAL ULTRA</t>
  </si>
  <si>
    <t>2MMX2CM</t>
  </si>
  <si>
    <t>2 MMX2 CM</t>
  </si>
  <si>
    <t>HELICAL ULTRA, DETACHABLE</t>
  </si>
  <si>
    <t>DETACHABLE</t>
  </si>
  <si>
    <t>https://www.angiocalc.com/pdf/Target_Brochure_Final_90542785.pdf, https://accessgudid.nlm.nih.gov/devices/04546540675989</t>
  </si>
  <si>
    <t>Intra-Art Coronary Artery Retraction Clip</t>
  </si>
  <si>
    <t>CLIP, RETRACTION, CORONARY ARTERY, 3 PRONG, STERILE, INTRA-ART, LATEX-FREE</t>
  </si>
  <si>
    <t>CLIP, RETRACTION, INTRA-ART, CORONARY ARTERY, 3 PRONG, STERILE, LATEX FREE</t>
  </si>
  <si>
    <t>CLIP, RTRCTN, INTRA-ART, CRNARY ARTERY, 3 PRONG, STRL, LTXFREE</t>
  </si>
  <si>
    <t>CLIP, RTRCTN, INTRA-ART, ARTERY, 3</t>
  </si>
  <si>
    <t>RETRACTION</t>
  </si>
  <si>
    <t>INTRA-ART</t>
  </si>
  <si>
    <t>CORONARY ARTERY</t>
  </si>
  <si>
    <t>3 PRONG</t>
  </si>
  <si>
    <t>https://www.crcindustries.com/3-36-174-multi-purpose-lubricant-corrosion-inhibitor-11-wt-oz/, https://accessgudid.nlm.nih.gov/devices/B040CRC31</t>
  </si>
  <si>
    <t>42132203  Medical exam or non surgical procedure gloves</t>
  </si>
  <si>
    <t>Criterion N100 Nitrile Exam Gloves X-Large Standard Blue Non-Sterile</t>
  </si>
  <si>
    <t>GLOVE, EXAM, POWDER FREE, XLARGE, STANDARD, 3.54 MIL, BEADED CUFF, NITRILE, BLUE, NON STERILE, CRITERION N100, LATEX-FREE, DISPOSABLE</t>
  </si>
  <si>
    <t>GLOVE, EXAM, CRITERION N100, EXTRA LARGE, STANDARD, 3.54MIL, NITRILE, BLUE, POWDER FREE, BEADED CUFF, NON STERILE, LATEX FREE, DISPOSABLE</t>
  </si>
  <si>
    <t>GLV, EXAM, CRITERION N100, XLRG, STD, 3.54MIL, NITRILE, BLUE, PWDR FREE, BEADED CUFF, NON STRL, LTXFREE, DISP</t>
  </si>
  <si>
    <t>GLOVE, EXAM, XLRG, STD, 3.54MIL</t>
  </si>
  <si>
    <t>GLOVE</t>
  </si>
  <si>
    <t>EXAM</t>
  </si>
  <si>
    <t>CRITERION N100</t>
  </si>
  <si>
    <t>POWDER FREE</t>
  </si>
  <si>
    <t>EXTRA LARGE, STANDARD</t>
  </si>
  <si>
    <t>XLARGE, STANDARD</t>
  </si>
  <si>
    <t>3.54MIL</t>
  </si>
  <si>
    <t>3.54 MIL</t>
  </si>
  <si>
    <t>NITRILE</t>
  </si>
  <si>
    <t>POWDER FREE, BEADED CUFF</t>
  </si>
  <si>
    <t>BEADED CUFF</t>
  </si>
  <si>
    <t>90/BX</t>
  </si>
  <si>
    <t>https://www.henryschein.com/us-en/Shopping/ProductDetails.aspx?productid=1118539&amp;CatalogName=PRIME&amp;promocode=SM</t>
  </si>
  <si>
    <t>42142706  Urological procedure trays or packs or kits</t>
  </si>
  <si>
    <t>Snapsecure Foley Catheter Tray Drain Bag</t>
  </si>
  <si>
    <t>CATHETER TRAY, DRAINAGE BAG, 16 FR, 10 CC, 1 LAYER, STERILE, SNAPSECURE, LATEX, DISPOSABLE</t>
  </si>
  <si>
    <t>TRAY, CATHETER, SNAPSECURE, 16FR, 10ML, DRAINAGE BAG, 1 LAYER, STERILE, LATEX, DISPOSABLE</t>
  </si>
  <si>
    <t>TRAY, CATH, SNAPSECURE, 16FR, 10ML, DRNG BAG, 1 LAYER, STRL, LTX, DISP</t>
  </si>
  <si>
    <t>TRAY, CATH, SNAPSECURE, 16FR, 10ML</t>
  </si>
  <si>
    <t>TRAY</t>
  </si>
  <si>
    <t>CATHETER TRAY</t>
  </si>
  <si>
    <t>SNAPSECURE</t>
  </si>
  <si>
    <t>DRAINAGE BAG</t>
  </si>
  <si>
    <t>16FR</t>
  </si>
  <si>
    <t>16 FR</t>
  </si>
  <si>
    <t>10ML</t>
  </si>
  <si>
    <t>10 CC</t>
  </si>
  <si>
    <t>DRAINAGE BAG, 1 LAYER</t>
  </si>
  <si>
    <t>1 LAYER</t>
  </si>
  <si>
    <t>https://www.henryschein.com/us-en/medical/p/medical-surgical-supplies/or-procedure-kits-packs-trays/snapsecure-foley-catheter-tray-drain-bag/1425221</t>
  </si>
  <si>
    <t>42142616  Blood collection syringes</t>
  </si>
  <si>
    <t>Injection Syringe 5cc Clear No Dead Space 100/Bx</t>
  </si>
  <si>
    <t>SYRINGE, BLOOD COLLECTION, INJECTION, 5 CC, MALE LUER LOCK, HYPODERMIC, NO DEAD SPACE, GRADUATED, CLEAR, STERILE, LATEX-FREE, DISPOSABLE</t>
  </si>
  <si>
    <t>SYRINGE, BLOOD COLLECTION, 5ML, CLEAR, INJECTION, MALE LUER LOCK, HYPODERMIC, NO DEAD SPACE, GRADUATED, STERILE, LATEX FREE, DISPOSABLE</t>
  </si>
  <si>
    <t>SYR, BLDCLCTN, 5ML, CLEAR, INJCTN, MALE LUER LCK, HYPDRMC, NO DEAD SPACE, GRADUATED, STRL, LTXFREE, DISP</t>
  </si>
  <si>
    <t>SYRINGE, BLDCLCTN, 5ML, LUER LCK</t>
  </si>
  <si>
    <t>SYRINGE</t>
  </si>
  <si>
    <t>BLOOD COLLECTION</t>
  </si>
  <si>
    <t>INJECTION</t>
  </si>
  <si>
    <t>5ML</t>
  </si>
  <si>
    <t>5 CC</t>
  </si>
  <si>
    <t>CLEAR</t>
  </si>
  <si>
    <t>INJECTION, MALE LUER LOCK, HYPODERMIC, NO DEAD SPACE, GRADUATED</t>
  </si>
  <si>
    <t>MALE LUER LOCK, HYPODERMIC, NO DEAD SPACE, GRADUATED</t>
  </si>
  <si>
    <t>100/BX</t>
  </si>
  <si>
    <t>https://www.henryschein.com/us-en/medical/p/surgical-implant-products/hypodermic-supplies/syringe-w-o-needle-ll/5702624</t>
  </si>
  <si>
    <t>ProTouch Cast Padding 6x4yd</t>
  </si>
  <si>
    <t>PADDING, CAST, SMOOTH, 4 YDX6 IN, LIMB, NON ADHESIVE, ROLL, SYNTHETIC, NATURAL, WHITE, PROTOUCH, LATEX-FREE</t>
  </si>
  <si>
    <t>PADDING, CAST, PROTOUCH, 6INX4YD, SYNTHETIC, LIMB, NATURAL, WHITE, SMOOTH, NON ADHESIVE, ROLL, LATEX FREE</t>
  </si>
  <si>
    <t>PAD, CAST, PROTOUCH, 6INX4YD, SYN, LIMB, NAT, WHT, SMT, NON ADH, ROLL, LTXFREE</t>
  </si>
  <si>
    <t>PADDING, CAST, PROTOUCH, 6INX4YD</t>
  </si>
  <si>
    <t>6INX4YD</t>
  </si>
  <si>
    <t>4 YDX6 IN</t>
  </si>
  <si>
    <t>https://www.henryschein.com/us-en/medical/p/health-beauty-otc/orthopedic-products/protouch-padding-synth-f-cast/6860112</t>
  </si>
  <si>
    <t>VersaCross Pigtail 230 cm 67 cm D0</t>
  </si>
  <si>
    <t>SHEATH, INTRODUCER, D0 CURVE, 12.5 FR, 230 CM, 67 CM, PIGTAIL, J TIP RADIOFREQUENCY GUIDEWIRE, TRANSSEPTAL DILATOR, LARGE ACCESS SOLUTION, NON STERILE, VERSACROSS, LATEX</t>
  </si>
  <si>
    <t>SHEATH, INTRODUCER, VERSACROSS, 12.5FR, 230CM, 67CM, D0 CURVE, PIGTAIL, J TIP RADIOFREQUENCY GUIDEWIRE, TRANSSEPTAL DILATOR, LARGE ACCESS SOLUTION, NON STERILE, LATEX</t>
  </si>
  <si>
    <t>SHTH, INTRO, VRSCR, 12.5FR, 230CM, 67CM, D0 CURVE, PIG, J TIP RF GDWR, TRANSSEP DIL, LRG ACCS SOL, NON STRL, LTX</t>
  </si>
  <si>
    <t>SHEATH, INTRO, 12.5FR, 230CM, 67CM</t>
  </si>
  <si>
    <t>D0 CURVE</t>
  </si>
  <si>
    <t>12.5FR</t>
  </si>
  <si>
    <t>12.5 FR</t>
  </si>
  <si>
    <t>230CM, 67CM</t>
  </si>
  <si>
    <t>230 CM, 67 CM</t>
  </si>
  <si>
    <t>D0 CURVE, PIGTAIL, J TIP RADIOFREQUENCY GUIDEWIRE, TRANSSEPTAL DILATOR, LARGE ACCESS SOLUTION</t>
  </si>
  <si>
    <t>PIGTAIL, J TIP RADIOFREQUENCY GUIDEWIRE, TRANSSEPTAL DILATOR, LARGE ACCESS SOLUTION</t>
  </si>
  <si>
    <t>https://www.baylismedical.com/system/resource_files/EP-1511606-AA%20VC%20Order%20Guide%20DP%20J-1.pdf, https://accessgudid.nlm.nih.gov/devices/00685447006909</t>
  </si>
  <si>
    <t>42311546  Adhesive dry bandages or dressings</t>
  </si>
  <si>
    <t>GAUZE, NON-IMPREGNATED, STERILE, PAD SIZE 16 SQ. IN. OR LESS, WITH ANY SIZE ADHESIVE BORDER, EACH DRESSING</t>
  </si>
  <si>
    <t>Telfa Ouchless Cotton/Polyester Gauze Dressing 2x3 Sterile Adhr Adhs Abs Ltx 24 BX/CA</t>
  </si>
  <si>
    <t>DRESSING, WOUND, ADHESIVE, 2X3 IN, GAUZE, ABSORBENT, RECTANGLE FILM, COTTON, POLYESTER, WHITE, STERILE, TELFA OUCHLESS, LATEX, DISPOSABLE</t>
  </si>
  <si>
    <t>DRESSING, WOUND, TELFA OUCHLESS, 2X3IN, COTTON, POLYESTER, WHITE, ADHESIVE, GAUZE, ABSORBENT, RECTANGLE FILM, STERILE, LATEX, DISPOSABLE</t>
  </si>
  <si>
    <t>DRSG, WND, TELFA OUCHLESS, 2X3IN, COTTON, POLY, WHT, ADH, GAUZE, ABSBT, RECTANGLE FILM, STRL, LTX, DISP</t>
  </si>
  <si>
    <t>DRESSING, WND, OUCHLESS, 2X3IN</t>
  </si>
  <si>
    <t>DRESSING</t>
  </si>
  <si>
    <t>TELFA OUCHLESS</t>
  </si>
  <si>
    <t>2X3IN</t>
  </si>
  <si>
    <t>2X3 IN</t>
  </si>
  <si>
    <t>COTTON, POLYESTER</t>
  </si>
  <si>
    <t>ADHESIVE, GAUZE, ABSORBENT, RECTANGLE FILM</t>
  </si>
  <si>
    <t>GAUZE, ABSORBENT, RECTANGLE FILM</t>
  </si>
  <si>
    <t>https://www.henryschein.com/us-en/Shopping/ProductDetails.aspx?productid=8909132&amp;CatalogName=MEDICAL&amp;promocode=SMG</t>
  </si>
  <si>
    <t>Novaclip Atraumatic Spring Clip 12mm Straight</t>
  </si>
  <si>
    <t>CLIP, SURGICAL, STRAIGHT, 17 MM, 12 MM, ATRAUMATIC SPRING, INSERT, CLAMP, ANGULATION OF JAW, LIGHTWEIGHT, LARGE OPENING OF JAW, HALF FORCE PRESSURE, LILAC, STERILE, NOVACLIP, LATEX-FREE</t>
  </si>
  <si>
    <t>CLIP, SURGICAL, NOVACLIP, 17MM, 12MM, LILAC, STRAIGHT, ATRAUMATIC SPRING, INSERT, CLAMP, ANGULATION OF JAW, LIGHTWEIGHT, LARGE OPENING OF JAW, HALF FORCE PRESSURE, STERILE, LATEX FREE</t>
  </si>
  <si>
    <t>CLIP, SURG, NOVACLIP, 17MM, 12MM, LILAC, STRT, ATRAUMATIC SPRG, INS, CLP, ANGULATION OF JAW, LIGHTWEIGHT, LRG OPENING OF JAW, HALF FORCE PRESS, STRL, LTXFREE</t>
  </si>
  <si>
    <t>CLIP, SURG, NOVACLIP, 17MM, 12MM</t>
  </si>
  <si>
    <t>12MM</t>
  </si>
  <si>
    <t>12 MM</t>
  </si>
  <si>
    <t>LILAC</t>
  </si>
  <si>
    <t>http://www.megamedworld.com/wp-content/uploads/2019/03/Vitalitec.pdf, https://accessgudid.nlm.nih.gov/devices/00852621004024</t>
  </si>
  <si>
    <t>42171801  Mobile medical services anesthesiology oropharyngeal airways</t>
  </si>
  <si>
    <t>Cath-Guide Guedel Airway Adult Disposable Ea</t>
  </si>
  <si>
    <t>AIRWAY, OROPHARYNGEAL, GUEDEL, 5, ADULT, 100 MM, FLEXIBLE, REINFORCED BITE BLOCK, 3 INTERNAL CHANNEL, VINYL, GREEN, NON STERILE, CATH-GUIDE, LATEX-FREE, DISPOSABLE</t>
  </si>
  <si>
    <t>AIRWAY, OROPHARYNGEAL, CATH-GUIDE, 5, ADULT, 100MM, VINYL, GREEN, GUEDEL, FLEXIBLE, REINFORCED BITE BLOCK, 3 INTERNAL CHANNEL, NON STERILE, LATEX FREE, DISPOSABLE</t>
  </si>
  <si>
    <t>AIRWY, OROPHARYNGEAL, CATH-GUIDE, 5, ADLT, 100MM, VINYL, GRN, GUDL, FLXB, REINF BITE BLCK, 3 INTRNL CHNL, NON STRL, LTXFREE, DISP</t>
  </si>
  <si>
    <t>AIRWAY, OROPHARYNGEAL, 5, 100MM</t>
  </si>
  <si>
    <t>AIRWAY</t>
  </si>
  <si>
    <t>OROPHARYNGEAL</t>
  </si>
  <si>
    <t>CATH-GUIDE</t>
  </si>
  <si>
    <t>GUEDEL</t>
  </si>
  <si>
    <t>5, ADULT</t>
  </si>
  <si>
    <t>ADULT</t>
  </si>
  <si>
    <t>100MM</t>
  </si>
  <si>
    <t>100 MM</t>
  </si>
  <si>
    <t>VINYL</t>
  </si>
  <si>
    <t>GREEN</t>
  </si>
  <si>
    <t>GUEDEL, FLEXIBLE, REINFORCED BITE BLOCK, 3 INTERNAL CHANNEL</t>
  </si>
  <si>
    <t>FLEXIBLE, REINFORCED BITE BLOCK, 3 INTERNAL CHANNEL</t>
  </si>
  <si>
    <t>https://www.henryschein.com/us-en/medical/p/medical-diagnostic-emergency/diagnostic-med-equipment/airway-cath-guide-10/1527475</t>
  </si>
  <si>
    <t>Tray Epidural Single Shot With Gauze/Needle/Saf-T-Cube</t>
  </si>
  <si>
    <t>EPIDURAL TRAY, SINGLE SHOT, STANDARD, 18 GA, WITH GAUZE, NEEDLE, SAF-T-CUBE, DISPOSABLE</t>
  </si>
  <si>
    <t>TRAY, EPIDURAL, STANDARD, 18GA, SINGLE SHOT, WITH GAUZE, NEEDLE, SAF-T-CUBE, DISPOSABLE</t>
  </si>
  <si>
    <t>TRAY, EPDRL, STD, 18GA, SGL SHOT, W/ GAUZE, NDL, SAF-T-CUBE, DISP</t>
  </si>
  <si>
    <t>TRAY, EPDRL, STD, 18GA, SGL SHOT</t>
  </si>
  <si>
    <t>EPIDURAL TRAY</t>
  </si>
  <si>
    <t>SINGLE SHOT</t>
  </si>
  <si>
    <t>STANDARD</t>
  </si>
  <si>
    <t>18GA</t>
  </si>
  <si>
    <t>18 GA</t>
  </si>
  <si>
    <t>SINGLE SHOT, WITH GAUZE, NEEDLE, SAF-T-CUBE</t>
  </si>
  <si>
    <t>WITH GAUZE, NEEDLE, SAF-T-CUBE</t>
  </si>
  <si>
    <t>10/CA</t>
  </si>
  <si>
    <t>https://www.henryschein.com/us-en/Shopping/ProductDetails.aspx?productid=3990264&amp;cdivId=specialmarkets_d&amp;name=Tray%20Epidural%20Single%20Shot%20With%2018g%20Needle%2010/Ca&amp;ShowProductCompare=true&amp;FullPageMode=true</t>
  </si>
  <si>
    <t>42152505  Dental examination chair headrest covers</t>
  </si>
  <si>
    <t>Face Cradle Cover White Non Woven Spunbound 50/Pk</t>
  </si>
  <si>
    <t>COVER, FACE, CRADLE, NON WOVEN, SPUNBOUND, PAPER, WHITE, NON STERILE, LATEX-FREE, DISPOSABLE</t>
  </si>
  <si>
    <t>COVER, FACE, NON WOVEN, SPUNBOUND, PAPER, WHITE, CRADLE, NON STERILE, LATEX FREE, DISPOSABLE</t>
  </si>
  <si>
    <t>CVR, FACE, NON WOVEN, SPUNBOUND, PPR, WHT, CRADLE, NON STRL, LTXFREE, DISP</t>
  </si>
  <si>
    <t>COVER, FACE, PPR, WHT, CRADLE, DISP</t>
  </si>
  <si>
    <t>COVER</t>
  </si>
  <si>
    <t>FACE</t>
  </si>
  <si>
    <t>CRADLE</t>
  </si>
  <si>
    <t>NON WOVEN, SPUNBOUND, PAPER</t>
  </si>
  <si>
    <t>https://www.henryschein.com/us-en/Shopping/ProductDetails.aspx?productid=5286039&amp;cdivId=specialmarkets_d&amp;name=Face%20Cradle%20Cover%20White%20Non%20Woven%20Spunbound%2050/Pk&amp;ShowProductCompare=true&amp;FullPageMode=true</t>
  </si>
  <si>
    <t>Production Completed</t>
  </si>
  <si>
    <t>SOURCED</t>
  </si>
  <si>
    <t>OK</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</si>
</sst>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x14ac:knownFonts="1">
    <font>
      <sz val="11"/>
      <color theme="1"/>
      <name val="Calibri"/>
      <family val="2"/>
      <scheme val="minor"/>
    </font>
    <font>
      <sz val="10"/>
      <name val="Arial"/>
    </font>
    <font>
      <sz val="9"/>
      <color theme="1"/>
      <name val="Calibri"/>
      <family val="2"/>
      <scheme val="minor"/>
    </font>
    <font>
      <b/>
      <sz val="10"/>
      <name val="Calibri"/>
      <family val="2"/>
      <scheme val="minor"/>
    </font>
    <font>
      <b/>
      <u/>
      <sz val="10"/>
      <color theme="1"/>
      <name val="Calibri"/>
      <family val="2"/>
      <scheme val="minor"/>
    </font>
    <font>
      <b/>
      <sz val="10"/>
      <color theme="1"/>
      <name val="Calibri"/>
      <family val="2"/>
      <scheme val="minor"/>
    </font>
    <font>
      <b/>
      <sz val="10"/>
      <color theme="0"/>
      <name val="Calibri"/>
      <family val="2"/>
      <scheme val="minor"/>
    </font>
    <font>
      <b/>
      <sz val="9"/>
      <color theme="1"/>
      <name val="Calibri"/>
      <family val="2"/>
      <scheme val="minor"/>
    </font>
    <font>
      <sz val="10"/>
      <color theme="1"/>
      <name val="Calibri"/>
      <family val="2"/>
      <scheme val="minor"/>
    </font>
  </fonts>
  <fills count="13">
    <fill>
      <patternFill patternType="none"/>
    </fill>
    <fill>
      <patternFill patternType="gray125"/>
    </fill>
    <fill>
      <patternFill patternType="solid">
        <fgColor rgb="FFFFCC99"/>
        <bgColor indexed="64"/>
      </patternFill>
    </fill>
    <fill>
      <patternFill patternType="solid">
        <fgColor rgb="FFFFFFCC"/>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79995117038483843"/>
        <bgColor indexed="64"/>
      </patternFill>
    </fill>
    <fill>
      <patternFill patternType="solid">
        <fgColor theme="7" tint="0.59999389629810485"/>
        <bgColor indexed="64"/>
      </patternFill>
    </fill>
    <fill>
      <patternFill patternType="solid">
        <fgColor theme="5" tint="0.39994506668294322"/>
        <bgColor indexed="64"/>
      </patternFill>
    </fill>
    <fill>
      <patternFill patternType="solid">
        <fgColor rgb="FF0000FF"/>
        <bgColor indexed="64"/>
      </patternFill>
    </fill>
    <fill>
      <patternFill patternType="solid">
        <fgColor rgb="FFFFFF99"/>
        <bgColor indexed="64"/>
      </patternFill>
    </fill>
    <fill>
      <patternFill patternType="solid">
        <fgColor rgb="FFFFCC66"/>
        <bgColor indexed="64"/>
      </patternFill>
    </fill>
    <fill>
      <patternFill patternType="solid">
        <fgColor rgb="FFFFFF00"/>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cellStyleXfs>
  <cellXfs count="23">
    <xf numFmtId="0" fontId="0" fillId="0" borderId="1" xfId="0"/>
    <xf numFmtId="0" fontId="2" fillId="0" borderId="1" xfId="0" applyFont="1"/>
    <xf numFmtId="0" fontId="3" fillId="2" borderId="0" xfId="6" applyFont="1" applyFill="1" applyAlignment="1">
      <alignment vertical="center"/>
    </xf>
    <xf numFmtId="49" fontId="3" fillId="2" borderId="0" xfId="6" applyNumberFormat="1" applyFont="1" applyFill="1" applyAlignment="1">
      <alignment vertical="center"/>
    </xf>
    <xf numFmtId="49" fontId="4" fillId="3" borderId="0" xfId="0" applyNumberFormat="1" applyFont="1" applyFill="1" applyBorder="1" applyAlignment="1">
      <alignment horizontal="left" vertical="center"/>
    </xf>
    <xf numFmtId="49" fontId="4" fillId="4" borderId="0" xfId="0" applyNumberFormat="1" applyFont="1" applyFill="1" applyBorder="1" applyAlignment="1">
      <alignment horizontal="left"/>
    </xf>
    <xf numFmtId="49" fontId="4" fillId="3" borderId="0" xfId="0" applyNumberFormat="1" applyFont="1" applyFill="1" applyBorder="1" applyAlignment="1">
      <alignment vertical="center"/>
    </xf>
    <xf numFmtId="49" fontId="4" fillId="5" borderId="0" xfId="0" applyNumberFormat="1" applyFont="1" applyFill="1" applyBorder="1" applyAlignment="1">
      <alignment vertical="center"/>
    </xf>
    <xf numFmtId="49" fontId="4" fillId="5" borderId="0" xfId="0" applyNumberFormat="1" applyFont="1" applyFill="1" applyBorder="1" applyAlignment="1">
      <alignment horizontal="left" vertical="center"/>
    </xf>
    <xf numFmtId="49" fontId="4" fillId="0" borderId="0" xfId="0" applyNumberFormat="1" applyFont="1" applyBorder="1" applyAlignment="1">
      <alignment horizontal="left"/>
    </xf>
    <xf numFmtId="49" fontId="4" fillId="6" borderId="0" xfId="0" applyNumberFormat="1" applyFont="1" applyFill="1" applyBorder="1" applyAlignment="1">
      <alignment horizontal="left"/>
    </xf>
    <xf numFmtId="49" fontId="4" fillId="7" borderId="0" xfId="0" applyNumberFormat="1" applyFont="1" applyFill="1" applyBorder="1" applyAlignment="1">
      <alignment vertical="center"/>
    </xf>
    <xf numFmtId="49" fontId="5" fillId="8" borderId="0" xfId="0" applyNumberFormat="1" applyFont="1" applyFill="1" applyBorder="1" applyAlignment="1">
      <alignment vertical="center"/>
    </xf>
    <xf numFmtId="49" fontId="5" fillId="8" borderId="0" xfId="0" applyNumberFormat="1" applyFont="1" applyFill="1" applyBorder="1" applyAlignment="1">
      <alignment horizontal="left" vertical="center"/>
    </xf>
    <xf numFmtId="0" fontId="6" fillId="9" borderId="0" xfId="0" applyFont="1" applyFill="1" applyBorder="1" applyAlignment="1">
      <alignment vertical="center"/>
    </xf>
    <xf numFmtId="0" fontId="3" fillId="10" borderId="0" xfId="0" applyFont="1" applyFill="1" applyBorder="1" applyAlignment="1">
      <alignment vertical="center"/>
    </xf>
    <xf numFmtId="0" fontId="5" fillId="11" borderId="0" xfId="0" applyFont="1" applyFill="1" applyBorder="1" applyAlignment="1">
      <alignment vertical="center"/>
    </xf>
    <xf numFmtId="0" fontId="4" fillId="12" borderId="0" xfId="0" applyFont="1" applyFill="1" applyBorder="1" applyAlignment="1">
      <alignment vertical="center"/>
    </xf>
    <xf numFmtId="0" fontId="7" fillId="5" borderId="0" xfId="0" applyFont="1" applyFill="1" applyBorder="1"/>
    <xf numFmtId="0" fontId="8" fillId="0" borderId="0" xfId="0" applyFont="1" applyBorder="1" applyAlignment="1">
      <alignment horizontal="left"/>
    </xf>
    <xf numFmtId="0" fontId="8" fillId="0" borderId="1" xfId="0" applyFont="1" applyAlignment="1">
      <alignment horizontal="left"/>
    </xf>
    <xf numFmtId="0" fontId="8" fillId="0" borderId="1" xfId="0" applyNumberFormat="1" applyFont="1" applyAlignment="1">
      <alignment horizontal="left"/>
    </xf>
    <xf numFmtId="0" fontId="8" fillId="0" borderId="1" xfId="0" quotePrefix="1" applyNumberFormat="1" applyFont="1" applyAlignment="1">
      <alignment horizontal="left"/>
    </xf>
  </cellXfs>
  <cellStyles count="7">
    <cellStyle name="Comma" xfId="4"/>
    <cellStyle name="Comma [0]" xfId="5"/>
    <cellStyle name="Currency" xfId="2"/>
    <cellStyle name="Currency [0]" xfId="3"/>
    <cellStyle name="Normal" xfId="0" builtinId="0"/>
    <cellStyle name="Normal_MB_Items_414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29"/>
  <sheetViews>
    <sheetView tabSelected="1" workbookViewId="0"/>
  </sheetViews>
  <sheetFormatPr defaultColWidth="9.140625" defaultRowHeight="12" x14ac:dyDescent="0.2"/>
  <cols>
    <col min="1" max="1" width="14.28515625" style="1" customWidth="1"/>
    <col min="2" max="2" width="14" style="1" customWidth="1"/>
    <col min="3" max="3" width="8.28515625" style="1" customWidth="1"/>
    <col min="4" max="4" width="12.85546875" style="1" customWidth="1"/>
    <col min="5" max="5" width="14.85546875" style="1" customWidth="1"/>
    <col min="6" max="6" width="13" style="1" customWidth="1"/>
    <col min="7" max="7" width="41.140625" style="1" customWidth="1"/>
    <col min="8" max="8" width="13.7109375" style="1" customWidth="1"/>
    <col min="9" max="9" width="8.5703125" style="1" customWidth="1"/>
    <col min="10" max="10" width="8.7109375" style="1" customWidth="1"/>
    <col min="11" max="11" width="13.28515625" style="1" customWidth="1"/>
    <col min="12" max="12" width="12.28515625" style="1" customWidth="1"/>
    <col min="13" max="13" width="10.140625" style="1" customWidth="1"/>
    <col min="14" max="14" width="13.5703125" style="1" customWidth="1"/>
    <col min="15" max="15" width="11.140625" style="1" customWidth="1"/>
    <col min="16" max="16" width="4.7109375" style="1" customWidth="1"/>
    <col min="17" max="17" width="5.7109375" style="1" customWidth="1"/>
    <col min="18" max="18" width="8.140625" style="1" customWidth="1"/>
    <col min="19" max="19" width="9.140625" style="1" customWidth="1"/>
    <col min="20" max="20" width="30.7109375" style="1" customWidth="1"/>
    <col min="21" max="21" width="18" style="1" customWidth="1"/>
    <col min="22" max="22" width="30" style="1" customWidth="1"/>
    <col min="23" max="23" width="15.85546875" style="1" customWidth="1"/>
    <col min="24" max="24" width="17.42578125" style="1" customWidth="1"/>
    <col min="25" max="25" width="18" style="1" customWidth="1"/>
    <col min="26" max="26" width="16.5703125" style="1" customWidth="1"/>
    <col min="27" max="27" width="9.42578125" style="1" customWidth="1"/>
    <col min="28" max="28" width="7.28515625" style="1" customWidth="1"/>
    <col min="29" max="29" width="5.5703125" style="1" customWidth="1"/>
    <col min="30" max="30" width="5.85546875" style="1" customWidth="1"/>
    <col min="31" max="31" width="32.5703125" style="1" customWidth="1"/>
    <col min="32" max="32" width="17.85546875" style="1" customWidth="1"/>
    <col min="33" max="33" width="251.28515625" style="1" customWidth="1"/>
    <col min="34" max="34" width="154.42578125" style="1" customWidth="1"/>
    <col min="35" max="35" width="13.140625" style="1" customWidth="1"/>
    <col min="36" max="36" width="8.140625" style="1" customWidth="1"/>
    <col min="37" max="37" width="20" style="1" customWidth="1"/>
    <col min="38" max="38" width="16.140625" style="1" customWidth="1"/>
    <col min="39" max="39" width="7.140625" style="1" customWidth="1"/>
    <col min="40" max="40" width="16.5703125" style="1" customWidth="1"/>
    <col min="41" max="41" width="29" style="1" customWidth="1"/>
    <col min="42" max="42" width="5.7109375" style="1" customWidth="1"/>
    <col min="43" max="43" width="18.42578125" style="1" customWidth="1"/>
    <col min="44" max="44" width="20.140625" style="1" customWidth="1"/>
    <col min="45" max="45" width="10.42578125" style="1" customWidth="1"/>
    <col min="46" max="46" width="12.85546875" style="1" customWidth="1"/>
    <col min="47" max="47" width="5" style="1" customWidth="1"/>
    <col min="48" max="48" width="6.42578125" style="1" customWidth="1"/>
    <col min="49" max="49" width="12.5703125" style="1" customWidth="1"/>
    <col min="50" max="50" width="8.85546875" style="1" customWidth="1"/>
    <col min="51" max="51" width="14.28515625" style="1" customWidth="1"/>
    <col min="52" max="52" width="11.42578125" style="1" customWidth="1"/>
    <col min="53" max="53" width="16.7109375" style="1" customWidth="1"/>
    <col min="54" max="54" width="15" style="1" customWidth="1"/>
    <col min="55" max="55" width="5.140625" style="1" customWidth="1"/>
    <col min="56" max="56" width="10.5703125" style="1" customWidth="1"/>
    <col min="57" max="57" width="10.7109375" style="1" customWidth="1"/>
    <col min="58" max="58" width="35.7109375" style="1" customWidth="1"/>
    <col min="59" max="59" width="41.5703125" style="1" customWidth="1"/>
    <col min="60" max="60" width="38.140625" style="1" customWidth="1"/>
    <col min="61" max="61" width="43.7109375" style="1" customWidth="1"/>
    <col min="62" max="62" width="14.85546875" style="1" customWidth="1"/>
    <col min="63" max="63" width="20.28515625" style="1" customWidth="1"/>
    <col min="64" max="64" width="13.42578125" style="1" customWidth="1"/>
    <col min="65" max="65" width="8.7109375" style="1" customWidth="1"/>
    <col min="66" max="66" width="14.140625" style="1" customWidth="1"/>
    <col min="67" max="67" width="8.7109375" style="1" customWidth="1"/>
    <col min="68" max="68" width="14.140625" style="1" customWidth="1"/>
    <col min="69" max="69" width="6.28515625" style="1" customWidth="1"/>
    <col min="70" max="70" width="9.140625" style="1" customWidth="1"/>
    <col min="71" max="71" width="14.7109375" style="1" customWidth="1"/>
    <col min="72" max="72" width="7.28515625" style="1" customWidth="1"/>
    <col min="73" max="73" width="6.42578125" style="1" customWidth="1"/>
    <col min="74" max="74" width="10.42578125" style="1" customWidth="1"/>
    <col min="75" max="75" width="33.42578125" style="1" customWidth="1"/>
    <col min="76" max="76" width="13" style="1" customWidth="1"/>
    <col min="77" max="77" width="5.140625" style="1" customWidth="1"/>
    <col min="78" max="78" width="17.140625" style="1" customWidth="1"/>
    <col min="79" max="79" width="18.85546875" style="1" customWidth="1"/>
    <col min="80" max="80" width="18" style="1" customWidth="1"/>
    <col min="81" max="81" width="8.85546875" style="1" customWidth="1"/>
    <col min="82" max="82" width="18.140625" style="1" customWidth="1"/>
    <col min="83" max="83" width="31.140625" style="1" customWidth="1"/>
    <col min="84" max="84" width="17.5703125" style="1" customWidth="1"/>
    <col min="85" max="85" width="19.85546875" style="1" customWidth="1"/>
    <col min="86" max="86" width="9.140625" style="1" customWidth="1"/>
    <col min="87" max="16384" width="9.140625" style="1"/>
  </cols>
  <sheetData>
    <row r="1" spans="1:85" ht="12" customHeight="1" x14ac:dyDescent="0.2">
      <c r="A1" s="2" t="s">
        <v>133</v>
      </c>
      <c r="B1" s="3" t="s">
        <v>288</v>
      </c>
      <c r="C1" s="2" t="s">
        <v>89</v>
      </c>
      <c r="D1" s="2" t="s">
        <v>295</v>
      </c>
      <c r="E1" s="2" t="s">
        <v>271</v>
      </c>
      <c r="F1" s="2" t="s">
        <v>327</v>
      </c>
      <c r="G1" s="2" t="s">
        <v>225</v>
      </c>
      <c r="H1" s="2" t="s">
        <v>260</v>
      </c>
      <c r="I1" s="2" t="s">
        <v>110</v>
      </c>
      <c r="J1" s="2" t="s">
        <v>58</v>
      </c>
      <c r="K1" s="2" t="s">
        <v>195</v>
      </c>
      <c r="L1" s="2" t="s">
        <v>32</v>
      </c>
      <c r="M1" s="2" t="s">
        <v>252</v>
      </c>
      <c r="N1" s="2" t="s">
        <v>51</v>
      </c>
      <c r="O1" s="2" t="s">
        <v>99</v>
      </c>
      <c r="P1" s="4" t="s">
        <v>59</v>
      </c>
      <c r="Q1" s="4" t="s">
        <v>87</v>
      </c>
      <c r="R1" s="5" t="s">
        <v>333</v>
      </c>
      <c r="S1" s="5" t="s">
        <v>96</v>
      </c>
      <c r="T1" s="5" t="s">
        <v>178</v>
      </c>
      <c r="U1" s="5" t="s">
        <v>300</v>
      </c>
      <c r="V1" s="5" t="s">
        <v>186</v>
      </c>
      <c r="W1" s="5" t="s">
        <v>35</v>
      </c>
      <c r="X1" s="6" t="s">
        <v>171</v>
      </c>
      <c r="Y1" s="5" t="s">
        <v>332</v>
      </c>
      <c r="Z1" s="6" t="s">
        <v>183</v>
      </c>
      <c r="AA1" s="7" t="s">
        <v>230</v>
      </c>
      <c r="AB1" s="7" t="s">
        <v>197</v>
      </c>
      <c r="AC1" s="8" t="s">
        <v>11</v>
      </c>
      <c r="AD1" s="7" t="s">
        <v>279</v>
      </c>
      <c r="AE1" s="5" t="s">
        <v>216</v>
      </c>
      <c r="AF1" s="9" t="s">
        <v>190</v>
      </c>
      <c r="AG1" s="10" t="s">
        <v>139</v>
      </c>
      <c r="AH1" s="10" t="s">
        <v>226</v>
      </c>
      <c r="AI1" s="10" t="s">
        <v>321</v>
      </c>
      <c r="AJ1" s="10" t="s">
        <v>320</v>
      </c>
      <c r="AK1" s="10" t="s">
        <v>25</v>
      </c>
      <c r="AL1" s="6" t="s">
        <v>329</v>
      </c>
      <c r="AM1" s="11" t="s">
        <v>136</v>
      </c>
      <c r="AN1" s="11" t="s">
        <v>13</v>
      </c>
      <c r="AO1" s="12" t="s">
        <v>221</v>
      </c>
      <c r="AP1" s="12" t="s">
        <v>104</v>
      </c>
      <c r="AQ1" s="6" t="s">
        <v>72</v>
      </c>
      <c r="AR1" s="6" t="s">
        <v>193</v>
      </c>
      <c r="AS1" s="6" t="s">
        <v>232</v>
      </c>
      <c r="AT1" s="6" t="s">
        <v>162</v>
      </c>
      <c r="AU1" s="13" t="s">
        <v>290</v>
      </c>
      <c r="AV1" s="14" t="s">
        <v>245</v>
      </c>
      <c r="AW1" s="15" t="s">
        <v>249</v>
      </c>
      <c r="AX1" s="14" t="s">
        <v>157</v>
      </c>
      <c r="AY1" s="15" t="s">
        <v>185</v>
      </c>
      <c r="AZ1" s="14" t="s">
        <v>145</v>
      </c>
      <c r="BA1" s="15" t="s">
        <v>270</v>
      </c>
      <c r="BB1" s="15" t="s">
        <v>328</v>
      </c>
      <c r="BC1" s="14" t="s">
        <v>200</v>
      </c>
      <c r="BD1" s="15" t="s">
        <v>98</v>
      </c>
      <c r="BE1" s="15" t="s">
        <v>231</v>
      </c>
      <c r="BF1" s="14" t="s">
        <v>298</v>
      </c>
      <c r="BG1" s="15" t="s">
        <v>192</v>
      </c>
      <c r="BH1" s="14" t="s">
        <v>17</v>
      </c>
      <c r="BI1" s="15" t="s">
        <v>255</v>
      </c>
      <c r="BJ1" s="14" t="s">
        <v>266</v>
      </c>
      <c r="BK1" s="15" t="s">
        <v>71</v>
      </c>
      <c r="BL1" s="15" t="s">
        <v>237</v>
      </c>
      <c r="BM1" s="14" t="s">
        <v>264</v>
      </c>
      <c r="BN1" s="15" t="s">
        <v>20</v>
      </c>
      <c r="BO1" s="14" t="s">
        <v>126</v>
      </c>
      <c r="BP1" s="15" t="s">
        <v>323</v>
      </c>
      <c r="BQ1" s="14" t="s">
        <v>311</v>
      </c>
      <c r="BR1" s="14" t="s">
        <v>41</v>
      </c>
      <c r="BS1" s="15" t="s">
        <v>214</v>
      </c>
      <c r="BT1" s="14" t="s">
        <v>62</v>
      </c>
      <c r="BU1" s="14" t="s">
        <v>235</v>
      </c>
      <c r="BV1" s="14" t="s">
        <v>236</v>
      </c>
      <c r="BW1" s="15" t="s">
        <v>159</v>
      </c>
      <c r="BX1" s="14" t="s">
        <v>137</v>
      </c>
      <c r="BY1" s="16" t="s">
        <v>19</v>
      </c>
      <c r="BZ1" s="17" t="s">
        <v>243</v>
      </c>
      <c r="CA1" s="17" t="s">
        <v>153</v>
      </c>
      <c r="CB1" s="17" t="s">
        <v>337</v>
      </c>
      <c r="CC1" s="7" t="s">
        <v>191</v>
      </c>
      <c r="CD1" s="18" t="s">
        <v>299</v>
      </c>
      <c r="CE1" s="18" t="s">
        <v>50</v>
      </c>
      <c r="CF1" s="18" t="s">
        <v>165</v>
      </c>
      <c r="CG1" s="1" t="s">
        <v>308</v>
      </c>
    </row>
    <row r="2" spans="1:85" ht="12" customHeight="1" x14ac:dyDescent="0.25">
      <c r="A2" s="19" t="s">
        <v>115</v>
      </c>
      <c r="B2" s="19" t="s">
        <v>256</v>
      </c>
      <c r="C2" t="s">
        <v>313</v>
      </c>
      <c r="D2" s="20" t="s">
        <v>817</v>
      </c>
      <c r="E2" t="s">
        <v>313</v>
      </c>
      <c r="F2" s="20" t="s">
        <v>818</v>
      </c>
      <c r="G2" s="19" t="s">
        <v>306</v>
      </c>
      <c r="H2"/>
      <c r="I2"/>
      <c r="J2"/>
      <c r="K2"/>
      <c r="L2"/>
      <c r="M2"/>
      <c r="N2"/>
      <c r="O2"/>
      <c r="P2">
        <v>1</v>
      </c>
      <c r="Q2">
        <v>1</v>
      </c>
      <c r="R2" t="s">
        <v>224</v>
      </c>
      <c r="S2" t="s">
        <v>151</v>
      </c>
      <c r="T2" t="s">
        <v>16</v>
      </c>
      <c r="U2" t="s">
        <v>18</v>
      </c>
      <c r="V2" t="s">
        <v>46</v>
      </c>
      <c r="W2" t="s">
        <v>217</v>
      </c>
      <c r="X2" s="20" t="s">
        <v>340</v>
      </c>
      <c r="Y2" t="s">
        <v>147</v>
      </c>
      <c r="Z2" s="20" t="s">
        <v>147</v>
      </c>
      <c r="AA2" s="20" t="s">
        <v>350</v>
      </c>
      <c r="AB2" s="20" t="s">
        <v>147</v>
      </c>
      <c r="AC2" s="20" t="s">
        <v>147</v>
      </c>
      <c r="AD2" s="20" t="s">
        <v>351</v>
      </c>
      <c r="AE2" t="s">
        <v>5</v>
      </c>
      <c r="AF2" t="s">
        <v>56</v>
      </c>
      <c r="AG2" t="s">
        <v>66</v>
      </c>
      <c r="AH2" t="s">
        <v>218</v>
      </c>
      <c r="AI2" t="s">
        <v>222</v>
      </c>
      <c r="AJ2" t="s">
        <v>12</v>
      </c>
      <c r="AK2" t="s">
        <v>76</v>
      </c>
      <c r="AL2" s="20" t="s">
        <v>396</v>
      </c>
      <c r="AM2" s="20"/>
      <c r="AN2" s="20"/>
      <c r="AO2" s="20" t="s">
        <v>397</v>
      </c>
      <c r="AP2" s="20" t="s">
        <v>397</v>
      </c>
      <c r="AQ2" s="20" t="s">
        <v>398</v>
      </c>
      <c r="AR2" s="20" t="s">
        <v>399</v>
      </c>
      <c r="AS2" s="20" t="s">
        <v>400</v>
      </c>
      <c r="AT2" s="20" t="s">
        <v>401</v>
      </c>
      <c r="AU2" s="20">
        <f t="shared" ref="AU2:AU29" si="0">LEN(SUBSTITUTE(AT2, ", "," "))</f>
        <v>30</v>
      </c>
      <c r="AV2" s="21" t="s">
        <v>402</v>
      </c>
      <c r="AW2" s="21" t="s">
        <v>402</v>
      </c>
      <c r="AX2" s="21" t="s">
        <v>403</v>
      </c>
      <c r="AY2" s="21" t="s">
        <v>403</v>
      </c>
      <c r="AZ2" s="21" t="s">
        <v>76</v>
      </c>
      <c r="BA2" s="21" t="s">
        <v>76</v>
      </c>
      <c r="BB2" s="21" t="s">
        <v>404</v>
      </c>
      <c r="BC2" s="20"/>
      <c r="BD2" s="20"/>
      <c r="BE2" s="20"/>
      <c r="BF2" s="21" t="s">
        <v>405</v>
      </c>
      <c r="BG2" s="21" t="s">
        <v>406</v>
      </c>
      <c r="BH2" s="20"/>
      <c r="BI2" s="20"/>
      <c r="BJ2" s="20"/>
      <c r="BK2" s="20"/>
      <c r="BL2" s="20"/>
      <c r="BM2" s="20"/>
      <c r="BN2" s="20"/>
      <c r="BO2" s="20"/>
      <c r="BP2" s="20"/>
      <c r="BQ2" s="20"/>
      <c r="BR2" s="21" t="s">
        <v>407</v>
      </c>
      <c r="BS2" s="21" t="s">
        <v>408</v>
      </c>
      <c r="BT2" s="21" t="s">
        <v>409</v>
      </c>
      <c r="BU2" s="21" t="s">
        <v>410</v>
      </c>
      <c r="BV2" s="20"/>
      <c r="BW2" s="20"/>
      <c r="BX2" s="20"/>
      <c r="BY2" s="20" t="s">
        <v>411</v>
      </c>
      <c r="BZ2" s="20"/>
      <c r="CA2" s="20"/>
      <c r="CB2" s="20"/>
      <c r="CC2" s="20"/>
      <c r="CD2" s="20" t="s">
        <v>412</v>
      </c>
      <c r="CE2" s="20"/>
      <c r="CF2"/>
      <c r="CG2" s="1" t="s">
        <v>816</v>
      </c>
    </row>
    <row r="3" spans="1:85" ht="12" customHeight="1" x14ac:dyDescent="0.25">
      <c r="A3" s="19" t="s">
        <v>115</v>
      </c>
      <c r="B3" s="19" t="s">
        <v>256</v>
      </c>
      <c r="C3" t="s">
        <v>313</v>
      </c>
      <c r="D3" s="20" t="s">
        <v>817</v>
      </c>
      <c r="E3" t="s">
        <v>313</v>
      </c>
      <c r="F3" s="20" t="s">
        <v>818</v>
      </c>
      <c r="G3" s="19" t="s">
        <v>306</v>
      </c>
      <c r="H3"/>
      <c r="I3"/>
      <c r="J3"/>
      <c r="K3"/>
      <c r="L3"/>
      <c r="M3"/>
      <c r="N3"/>
      <c r="O3"/>
      <c r="P3">
        <v>2</v>
      </c>
      <c r="Q3">
        <v>2</v>
      </c>
      <c r="R3" t="s">
        <v>176</v>
      </c>
      <c r="S3" t="s">
        <v>173</v>
      </c>
      <c r="T3" t="s">
        <v>269</v>
      </c>
      <c r="U3" t="s">
        <v>24</v>
      </c>
      <c r="V3" t="s">
        <v>269</v>
      </c>
      <c r="W3" t="s">
        <v>296</v>
      </c>
      <c r="X3" s="20" t="s">
        <v>341</v>
      </c>
      <c r="Y3" t="s">
        <v>24</v>
      </c>
      <c r="Z3" s="20" t="s">
        <v>24</v>
      </c>
      <c r="AA3" s="20" t="s">
        <v>352</v>
      </c>
      <c r="AB3" s="20" t="s">
        <v>24</v>
      </c>
      <c r="AC3" s="20" t="s">
        <v>24</v>
      </c>
      <c r="AD3" s="20" t="s">
        <v>353</v>
      </c>
      <c r="AE3" t="s">
        <v>156</v>
      </c>
      <c r="AF3" t="s">
        <v>287</v>
      </c>
      <c r="AG3" t="s">
        <v>163</v>
      </c>
      <c r="AH3" t="s">
        <v>63</v>
      </c>
      <c r="AI3" t="s">
        <v>27</v>
      </c>
      <c r="AJ3" t="s">
        <v>88</v>
      </c>
      <c r="AK3" t="s">
        <v>129</v>
      </c>
      <c r="AL3" s="20" t="s">
        <v>413</v>
      </c>
      <c r="AM3" s="20" t="s">
        <v>88</v>
      </c>
      <c r="AN3" s="20" t="s">
        <v>414</v>
      </c>
      <c r="AO3" s="20" t="s">
        <v>415</v>
      </c>
      <c r="AP3" s="20" t="s">
        <v>415</v>
      </c>
      <c r="AQ3" s="20" t="s">
        <v>416</v>
      </c>
      <c r="AR3" s="20" t="s">
        <v>417</v>
      </c>
      <c r="AS3" s="20" t="s">
        <v>418</v>
      </c>
      <c r="AT3" s="20" t="s">
        <v>419</v>
      </c>
      <c r="AU3" s="20">
        <f t="shared" si="0"/>
        <v>27</v>
      </c>
      <c r="AV3" s="21" t="s">
        <v>420</v>
      </c>
      <c r="AW3" s="21" t="s">
        <v>420</v>
      </c>
      <c r="AX3" s="21" t="s">
        <v>421</v>
      </c>
      <c r="AY3" s="21" t="s">
        <v>421</v>
      </c>
      <c r="AZ3" s="21" t="s">
        <v>422</v>
      </c>
      <c r="BA3" s="21" t="s">
        <v>422</v>
      </c>
      <c r="BB3" s="21" t="s">
        <v>423</v>
      </c>
      <c r="BC3" s="21" t="s">
        <v>424</v>
      </c>
      <c r="BD3" s="21" t="s">
        <v>425</v>
      </c>
      <c r="BE3" s="20"/>
      <c r="BF3" s="21" t="s">
        <v>426</v>
      </c>
      <c r="BG3" s="22" t="s">
        <v>427</v>
      </c>
      <c r="BH3" s="20"/>
      <c r="BI3" s="20"/>
      <c r="BJ3" s="20"/>
      <c r="BK3" s="20"/>
      <c r="BL3" s="20"/>
      <c r="BM3" s="21" t="s">
        <v>428</v>
      </c>
      <c r="BN3" s="21" t="s">
        <v>428</v>
      </c>
      <c r="BO3" s="20"/>
      <c r="BP3" s="20"/>
      <c r="BQ3" s="20"/>
      <c r="BR3" s="21" t="s">
        <v>423</v>
      </c>
      <c r="BS3" s="20"/>
      <c r="BT3" s="21" t="s">
        <v>409</v>
      </c>
      <c r="BU3" s="21" t="s">
        <v>429</v>
      </c>
      <c r="BV3" s="20"/>
      <c r="BW3" s="20"/>
      <c r="BX3" s="20"/>
      <c r="BY3" s="20" t="s">
        <v>430</v>
      </c>
      <c r="BZ3" s="20"/>
      <c r="CA3" s="20"/>
      <c r="CB3" s="20"/>
      <c r="CC3" s="20"/>
      <c r="CD3" s="20"/>
      <c r="CE3" s="20"/>
      <c r="CF3"/>
      <c r="CG3" s="1" t="s">
        <v>816</v>
      </c>
    </row>
    <row r="4" spans="1:85" ht="12" customHeight="1" x14ac:dyDescent="0.25">
      <c r="A4" s="19" t="s">
        <v>115</v>
      </c>
      <c r="B4" s="19" t="s">
        <v>256</v>
      </c>
      <c r="C4" t="s">
        <v>313</v>
      </c>
      <c r="D4" s="20" t="s">
        <v>817</v>
      </c>
      <c r="E4" t="s">
        <v>313</v>
      </c>
      <c r="F4" s="20" t="s">
        <v>818</v>
      </c>
      <c r="G4" s="19" t="s">
        <v>306</v>
      </c>
      <c r="H4"/>
      <c r="I4"/>
      <c r="J4"/>
      <c r="K4"/>
      <c r="L4"/>
      <c r="M4"/>
      <c r="N4"/>
      <c r="O4"/>
      <c r="P4">
        <v>3</v>
      </c>
      <c r="Q4">
        <v>3</v>
      </c>
      <c r="R4" t="s">
        <v>21</v>
      </c>
      <c r="S4" t="s">
        <v>97</v>
      </c>
      <c r="T4" t="s">
        <v>70</v>
      </c>
      <c r="U4" t="s">
        <v>93</v>
      </c>
      <c r="V4" t="s">
        <v>7</v>
      </c>
      <c r="W4" t="s">
        <v>217</v>
      </c>
      <c r="X4" s="20" t="s">
        <v>342</v>
      </c>
      <c r="Y4" t="s">
        <v>61</v>
      </c>
      <c r="Z4" s="20" t="s">
        <v>61</v>
      </c>
      <c r="AA4" s="20" t="s">
        <v>354</v>
      </c>
      <c r="AB4" s="20" t="s">
        <v>61</v>
      </c>
      <c r="AC4" s="20" t="s">
        <v>61</v>
      </c>
      <c r="AD4" s="20" t="s">
        <v>355</v>
      </c>
      <c r="AE4" t="s">
        <v>228</v>
      </c>
      <c r="AF4" t="s">
        <v>188</v>
      </c>
      <c r="AG4" t="s">
        <v>212</v>
      </c>
      <c r="AH4" t="s">
        <v>267</v>
      </c>
      <c r="AI4" t="s">
        <v>251</v>
      </c>
      <c r="AJ4" t="s">
        <v>338</v>
      </c>
      <c r="AK4" t="s">
        <v>167</v>
      </c>
      <c r="AL4" s="20" t="s">
        <v>431</v>
      </c>
      <c r="AM4" s="20"/>
      <c r="AN4" s="20"/>
      <c r="AO4" s="20" t="s">
        <v>432</v>
      </c>
      <c r="AP4" s="20" t="s">
        <v>432</v>
      </c>
      <c r="AQ4" s="20" t="s">
        <v>433</v>
      </c>
      <c r="AR4" s="20" t="s">
        <v>434</v>
      </c>
      <c r="AS4" s="20" t="s">
        <v>435</v>
      </c>
      <c r="AT4" s="20" t="s">
        <v>436</v>
      </c>
      <c r="AU4" s="20">
        <f t="shared" si="0"/>
        <v>25</v>
      </c>
      <c r="AV4" s="21" t="s">
        <v>437</v>
      </c>
      <c r="AW4" s="21" t="s">
        <v>437</v>
      </c>
      <c r="AX4" s="21" t="s">
        <v>438</v>
      </c>
      <c r="AY4" s="21" t="s">
        <v>438</v>
      </c>
      <c r="AZ4" s="21" t="s">
        <v>167</v>
      </c>
      <c r="BA4" s="21" t="s">
        <v>167</v>
      </c>
      <c r="BB4" s="21" t="s">
        <v>439</v>
      </c>
      <c r="BC4" s="21" t="s">
        <v>440</v>
      </c>
      <c r="BD4" s="21" t="s">
        <v>440</v>
      </c>
      <c r="BE4" s="20"/>
      <c r="BF4" s="21" t="s">
        <v>441</v>
      </c>
      <c r="BG4" s="21" t="s">
        <v>442</v>
      </c>
      <c r="BH4" s="20"/>
      <c r="BI4" s="20"/>
      <c r="BJ4" s="20"/>
      <c r="BK4" s="20"/>
      <c r="BL4" s="20"/>
      <c r="BM4" s="20"/>
      <c r="BN4" s="20"/>
      <c r="BO4" s="20"/>
      <c r="BP4" s="20"/>
      <c r="BQ4" s="20"/>
      <c r="BR4" s="21" t="s">
        <v>443</v>
      </c>
      <c r="BS4" s="21" t="s">
        <v>444</v>
      </c>
      <c r="BT4" s="21" t="s">
        <v>409</v>
      </c>
      <c r="BU4" s="21" t="s">
        <v>410</v>
      </c>
      <c r="BV4" s="20"/>
      <c r="BW4" s="20"/>
      <c r="BX4" s="20"/>
      <c r="BY4" s="20" t="s">
        <v>445</v>
      </c>
      <c r="BZ4" s="20"/>
      <c r="CA4" s="20"/>
      <c r="CB4" s="20"/>
      <c r="CC4" s="20"/>
      <c r="CD4" s="20"/>
      <c r="CE4" s="20"/>
      <c r="CF4"/>
      <c r="CG4" s="1" t="s">
        <v>816</v>
      </c>
    </row>
    <row r="5" spans="1:85" ht="12" customHeight="1" x14ac:dyDescent="0.25">
      <c r="A5" s="19" t="s">
        <v>115</v>
      </c>
      <c r="B5" s="19" t="s">
        <v>256</v>
      </c>
      <c r="C5" t="s">
        <v>313</v>
      </c>
      <c r="D5" s="20" t="s">
        <v>817</v>
      </c>
      <c r="E5" t="s">
        <v>313</v>
      </c>
      <c r="F5" s="20" t="s">
        <v>818</v>
      </c>
      <c r="G5" s="19" t="s">
        <v>306</v>
      </c>
      <c r="H5"/>
      <c r="I5"/>
      <c r="J5"/>
      <c r="K5"/>
      <c r="L5"/>
      <c r="M5"/>
      <c r="N5"/>
      <c r="O5"/>
      <c r="P5">
        <v>4</v>
      </c>
      <c r="Q5">
        <v>4</v>
      </c>
      <c r="R5" t="s">
        <v>36</v>
      </c>
      <c r="S5" t="s">
        <v>151</v>
      </c>
      <c r="T5" t="s">
        <v>16</v>
      </c>
      <c r="U5" t="s">
        <v>248</v>
      </c>
      <c r="V5" t="s">
        <v>152</v>
      </c>
      <c r="W5" t="s">
        <v>217</v>
      </c>
      <c r="X5" s="20" t="s">
        <v>16</v>
      </c>
      <c r="Y5" t="s">
        <v>248</v>
      </c>
      <c r="Z5" s="20" t="s">
        <v>248</v>
      </c>
      <c r="AA5" s="20" t="s">
        <v>213</v>
      </c>
      <c r="AB5" s="20" t="s">
        <v>248</v>
      </c>
      <c r="AC5" s="20" t="s">
        <v>248</v>
      </c>
      <c r="AD5" s="20" t="s">
        <v>356</v>
      </c>
      <c r="AE5" t="s">
        <v>303</v>
      </c>
      <c r="AF5" t="s">
        <v>6</v>
      </c>
      <c r="AG5" t="s">
        <v>217</v>
      </c>
      <c r="AH5" t="s">
        <v>217</v>
      </c>
      <c r="AI5" t="s">
        <v>217</v>
      </c>
      <c r="AJ5" t="s">
        <v>217</v>
      </c>
      <c r="AK5" t="s">
        <v>217</v>
      </c>
      <c r="AL5" s="20" t="s">
        <v>446</v>
      </c>
      <c r="AM5" s="20"/>
      <c r="AN5" s="20"/>
      <c r="AO5" s="20" t="s">
        <v>447</v>
      </c>
      <c r="AP5" s="20" t="s">
        <v>447</v>
      </c>
      <c r="AQ5" s="20" t="s">
        <v>448</v>
      </c>
      <c r="AR5" s="20" t="s">
        <v>449</v>
      </c>
      <c r="AS5" s="20" t="s">
        <v>450</v>
      </c>
      <c r="AT5" s="20" t="s">
        <v>451</v>
      </c>
      <c r="AU5" s="20">
        <f t="shared" si="0"/>
        <v>30</v>
      </c>
      <c r="AV5" s="21" t="s">
        <v>452</v>
      </c>
      <c r="AW5" s="21" t="s">
        <v>452</v>
      </c>
      <c r="AX5" s="21" t="s">
        <v>453</v>
      </c>
      <c r="AY5" s="21" t="s">
        <v>453</v>
      </c>
      <c r="AZ5" s="20"/>
      <c r="BA5" s="20"/>
      <c r="BB5" s="21" t="s">
        <v>454</v>
      </c>
      <c r="BC5" s="20"/>
      <c r="BD5" s="20"/>
      <c r="BE5" s="20"/>
      <c r="BF5" s="21" t="s">
        <v>455</v>
      </c>
      <c r="BG5" s="21" t="s">
        <v>456</v>
      </c>
      <c r="BH5" s="20"/>
      <c r="BI5" s="20"/>
      <c r="BJ5" s="20"/>
      <c r="BK5" s="20"/>
      <c r="BL5" s="20"/>
      <c r="BM5" s="21" t="s">
        <v>457</v>
      </c>
      <c r="BN5" s="21" t="s">
        <v>457</v>
      </c>
      <c r="BO5" s="21" t="s">
        <v>458</v>
      </c>
      <c r="BP5" s="21" t="s">
        <v>458</v>
      </c>
      <c r="BQ5" s="21" t="s">
        <v>459</v>
      </c>
      <c r="BR5" s="21" t="s">
        <v>460</v>
      </c>
      <c r="BS5" s="21" t="s">
        <v>461</v>
      </c>
      <c r="BT5" s="21" t="s">
        <v>462</v>
      </c>
      <c r="BU5" s="21" t="s">
        <v>410</v>
      </c>
      <c r="BV5" s="21" t="s">
        <v>463</v>
      </c>
      <c r="BW5" s="20"/>
      <c r="BX5" s="20"/>
      <c r="BY5" s="20" t="s">
        <v>464</v>
      </c>
      <c r="BZ5" s="20"/>
      <c r="CA5" s="20"/>
      <c r="CB5" s="20"/>
      <c r="CC5" s="20"/>
      <c r="CD5" s="20"/>
      <c r="CE5" s="20"/>
      <c r="CF5"/>
      <c r="CG5" s="1" t="s">
        <v>816</v>
      </c>
    </row>
    <row r="6" spans="1:85" ht="12" customHeight="1" x14ac:dyDescent="0.25">
      <c r="A6" s="19" t="s">
        <v>115</v>
      </c>
      <c r="B6" s="19" t="s">
        <v>256</v>
      </c>
      <c r="C6" t="s">
        <v>313</v>
      </c>
      <c r="D6" s="20" t="s">
        <v>817</v>
      </c>
      <c r="E6" t="s">
        <v>313</v>
      </c>
      <c r="F6" s="20" t="s">
        <v>818</v>
      </c>
      <c r="G6" s="19" t="s">
        <v>306</v>
      </c>
      <c r="H6"/>
      <c r="I6"/>
      <c r="J6"/>
      <c r="K6"/>
      <c r="L6"/>
      <c r="M6"/>
      <c r="N6"/>
      <c r="O6"/>
      <c r="P6">
        <v>5</v>
      </c>
      <c r="Q6">
        <v>5</v>
      </c>
      <c r="R6" t="s">
        <v>118</v>
      </c>
      <c r="S6" t="s">
        <v>202</v>
      </c>
      <c r="T6" t="s">
        <v>204</v>
      </c>
      <c r="U6" t="s">
        <v>172</v>
      </c>
      <c r="V6" t="s">
        <v>204</v>
      </c>
      <c r="W6" t="s">
        <v>268</v>
      </c>
      <c r="X6" s="20" t="s">
        <v>204</v>
      </c>
      <c r="Y6" t="s">
        <v>172</v>
      </c>
      <c r="Z6" s="20" t="s">
        <v>172</v>
      </c>
      <c r="AA6" s="20" t="s">
        <v>357</v>
      </c>
      <c r="AB6" s="20" t="s">
        <v>172</v>
      </c>
      <c r="AC6" s="20" t="s">
        <v>358</v>
      </c>
      <c r="AD6" s="20" t="s">
        <v>359</v>
      </c>
      <c r="AE6" t="s">
        <v>95</v>
      </c>
      <c r="AF6" t="s">
        <v>39</v>
      </c>
      <c r="AG6" t="s">
        <v>109</v>
      </c>
      <c r="AH6" t="s">
        <v>109</v>
      </c>
      <c r="AI6" t="s">
        <v>302</v>
      </c>
      <c r="AJ6" t="s">
        <v>217</v>
      </c>
      <c r="AK6" t="s">
        <v>203</v>
      </c>
      <c r="AL6" s="20" t="s">
        <v>465</v>
      </c>
      <c r="AM6" s="20"/>
      <c r="AN6" s="20"/>
      <c r="AO6" s="20" t="s">
        <v>466</v>
      </c>
      <c r="AP6" s="20" t="s">
        <v>466</v>
      </c>
      <c r="AQ6" s="20" t="s">
        <v>467</v>
      </c>
      <c r="AR6" s="20" t="s">
        <v>468</v>
      </c>
      <c r="AS6" s="20" t="s">
        <v>469</v>
      </c>
      <c r="AT6" s="20" t="s">
        <v>470</v>
      </c>
      <c r="AU6" s="20">
        <f t="shared" si="0"/>
        <v>28</v>
      </c>
      <c r="AV6" s="21" t="s">
        <v>471</v>
      </c>
      <c r="AW6" s="21" t="s">
        <v>471</v>
      </c>
      <c r="AX6" s="21" t="s">
        <v>453</v>
      </c>
      <c r="AY6" s="21" t="s">
        <v>453</v>
      </c>
      <c r="AZ6" s="21" t="s">
        <v>203</v>
      </c>
      <c r="BA6" s="21" t="s">
        <v>203</v>
      </c>
      <c r="BB6" s="21" t="s">
        <v>472</v>
      </c>
      <c r="BC6" s="20"/>
      <c r="BD6" s="20"/>
      <c r="BE6" s="20"/>
      <c r="BF6" s="21" t="s">
        <v>473</v>
      </c>
      <c r="BG6" s="21" t="s">
        <v>474</v>
      </c>
      <c r="BH6" s="21" t="s">
        <v>475</v>
      </c>
      <c r="BI6" s="21" t="s">
        <v>476</v>
      </c>
      <c r="BJ6" s="20"/>
      <c r="BK6" s="20"/>
      <c r="BL6" s="20"/>
      <c r="BM6" s="20"/>
      <c r="BN6" s="20"/>
      <c r="BO6" s="20"/>
      <c r="BP6" s="20"/>
      <c r="BQ6" s="21" t="s">
        <v>477</v>
      </c>
      <c r="BR6" s="21" t="s">
        <v>478</v>
      </c>
      <c r="BS6" s="21" t="s">
        <v>479</v>
      </c>
      <c r="BT6" s="21" t="s">
        <v>409</v>
      </c>
      <c r="BU6" s="21" t="s">
        <v>410</v>
      </c>
      <c r="BV6" s="20"/>
      <c r="BW6" s="20"/>
      <c r="BX6" s="20"/>
      <c r="BY6" s="20" t="s">
        <v>480</v>
      </c>
      <c r="BZ6" s="20"/>
      <c r="CA6" s="20"/>
      <c r="CB6" s="20"/>
      <c r="CC6" s="20"/>
      <c r="CD6" s="20"/>
      <c r="CE6" s="20"/>
      <c r="CF6"/>
      <c r="CG6" s="1" t="s">
        <v>816</v>
      </c>
    </row>
    <row r="7" spans="1:85" ht="12" customHeight="1" x14ac:dyDescent="0.25">
      <c r="A7" s="19" t="s">
        <v>115</v>
      </c>
      <c r="B7" s="19" t="s">
        <v>256</v>
      </c>
      <c r="C7" t="s">
        <v>313</v>
      </c>
      <c r="D7" s="20" t="s">
        <v>817</v>
      </c>
      <c r="E7" t="s">
        <v>313</v>
      </c>
      <c r="F7" s="20" t="s">
        <v>818</v>
      </c>
      <c r="G7" s="19" t="s">
        <v>306</v>
      </c>
      <c r="H7"/>
      <c r="I7"/>
      <c r="J7"/>
      <c r="K7"/>
      <c r="L7"/>
      <c r="M7"/>
      <c r="N7"/>
      <c r="O7"/>
      <c r="P7">
        <v>6</v>
      </c>
      <c r="Q7">
        <v>6</v>
      </c>
      <c r="R7" t="s">
        <v>80</v>
      </c>
      <c r="S7" t="s">
        <v>215</v>
      </c>
      <c r="T7" t="s">
        <v>14</v>
      </c>
      <c r="U7" t="s">
        <v>155</v>
      </c>
      <c r="V7" t="s">
        <v>196</v>
      </c>
      <c r="W7" t="s">
        <v>217</v>
      </c>
      <c r="X7" s="20" t="s">
        <v>343</v>
      </c>
      <c r="Y7" t="s">
        <v>155</v>
      </c>
      <c r="Z7" s="20" t="s">
        <v>155</v>
      </c>
      <c r="AA7" s="20" t="s">
        <v>196</v>
      </c>
      <c r="AB7" s="20" t="s">
        <v>155</v>
      </c>
      <c r="AC7" s="20" t="s">
        <v>155</v>
      </c>
      <c r="AD7" s="20" t="s">
        <v>360</v>
      </c>
      <c r="AE7" t="s">
        <v>339</v>
      </c>
      <c r="AF7" t="s">
        <v>103</v>
      </c>
      <c r="AG7" t="s">
        <v>286</v>
      </c>
      <c r="AH7" t="s">
        <v>92</v>
      </c>
      <c r="AI7" t="s">
        <v>199</v>
      </c>
      <c r="AJ7" t="s">
        <v>77</v>
      </c>
      <c r="AK7" t="s">
        <v>170</v>
      </c>
      <c r="AL7" s="20" t="s">
        <v>481</v>
      </c>
      <c r="AM7" s="20"/>
      <c r="AN7" s="20"/>
      <c r="AO7" s="20" t="s">
        <v>482</v>
      </c>
      <c r="AP7" s="20" t="s">
        <v>482</v>
      </c>
      <c r="AQ7" s="20" t="s">
        <v>483</v>
      </c>
      <c r="AR7" s="20" t="s">
        <v>484</v>
      </c>
      <c r="AS7" s="20" t="s">
        <v>485</v>
      </c>
      <c r="AT7" s="20" t="s">
        <v>486</v>
      </c>
      <c r="AU7" s="20">
        <f t="shared" si="0"/>
        <v>29</v>
      </c>
      <c r="AV7" s="21" t="s">
        <v>487</v>
      </c>
      <c r="AW7" s="21" t="s">
        <v>487</v>
      </c>
      <c r="AX7" s="21" t="s">
        <v>453</v>
      </c>
      <c r="AY7" s="21" t="s">
        <v>453</v>
      </c>
      <c r="AZ7" s="21" t="s">
        <v>170</v>
      </c>
      <c r="BA7" s="21" t="s">
        <v>170</v>
      </c>
      <c r="BB7" s="21" t="s">
        <v>488</v>
      </c>
      <c r="BC7" s="21" t="s">
        <v>489</v>
      </c>
      <c r="BD7" s="21" t="s">
        <v>490</v>
      </c>
      <c r="BE7" s="20"/>
      <c r="BF7" s="21" t="s">
        <v>491</v>
      </c>
      <c r="BG7" s="21" t="s">
        <v>492</v>
      </c>
      <c r="BH7" s="21" t="s">
        <v>493</v>
      </c>
      <c r="BI7" s="21" t="s">
        <v>494</v>
      </c>
      <c r="BJ7" s="20"/>
      <c r="BK7" s="20"/>
      <c r="BL7" s="20"/>
      <c r="BM7" s="20"/>
      <c r="BN7" s="20"/>
      <c r="BO7" s="20"/>
      <c r="BP7" s="20"/>
      <c r="BQ7" s="20"/>
      <c r="BR7" s="21" t="s">
        <v>495</v>
      </c>
      <c r="BS7" s="21" t="s">
        <v>496</v>
      </c>
      <c r="BT7" s="21" t="s">
        <v>409</v>
      </c>
      <c r="BU7" s="21" t="s">
        <v>410</v>
      </c>
      <c r="BV7" s="20"/>
      <c r="BW7" s="20"/>
      <c r="BX7" s="21" t="s">
        <v>497</v>
      </c>
      <c r="BY7" s="20" t="s">
        <v>498</v>
      </c>
      <c r="BZ7" s="20"/>
      <c r="CA7" s="20"/>
      <c r="CB7" s="20"/>
      <c r="CC7" s="20"/>
      <c r="CD7" s="20"/>
      <c r="CE7" s="20"/>
      <c r="CF7"/>
      <c r="CG7" s="1" t="s">
        <v>816</v>
      </c>
    </row>
    <row r="8" spans="1:85" ht="12" customHeight="1" x14ac:dyDescent="0.25">
      <c r="A8" s="19" t="s">
        <v>115</v>
      </c>
      <c r="B8" s="19" t="s">
        <v>256</v>
      </c>
      <c r="C8" t="s">
        <v>313</v>
      </c>
      <c r="D8" s="20" t="s">
        <v>817</v>
      </c>
      <c r="E8" t="s">
        <v>313</v>
      </c>
      <c r="F8" s="20" t="s">
        <v>818</v>
      </c>
      <c r="G8" s="19" t="s">
        <v>306</v>
      </c>
      <c r="H8"/>
      <c r="I8"/>
      <c r="J8"/>
      <c r="K8"/>
      <c r="L8"/>
      <c r="M8"/>
      <c r="N8"/>
      <c r="O8"/>
      <c r="P8">
        <v>7</v>
      </c>
      <c r="Q8">
        <v>7</v>
      </c>
      <c r="R8" t="s">
        <v>3</v>
      </c>
      <c r="S8" t="s">
        <v>151</v>
      </c>
      <c r="T8" t="s">
        <v>16</v>
      </c>
      <c r="U8" t="s">
        <v>209</v>
      </c>
      <c r="V8" t="s">
        <v>91</v>
      </c>
      <c r="W8" t="s">
        <v>217</v>
      </c>
      <c r="X8" s="20" t="s">
        <v>344</v>
      </c>
      <c r="Y8" t="s">
        <v>108</v>
      </c>
      <c r="Z8" s="20" t="s">
        <v>108</v>
      </c>
      <c r="AA8" s="20" t="s">
        <v>361</v>
      </c>
      <c r="AB8" s="20" t="s">
        <v>108</v>
      </c>
      <c r="AC8" s="20">
        <v>30416100</v>
      </c>
      <c r="AD8" s="20" t="s">
        <v>362</v>
      </c>
      <c r="AE8" t="s">
        <v>253</v>
      </c>
      <c r="AF8" t="s">
        <v>38</v>
      </c>
      <c r="AG8" t="s">
        <v>31</v>
      </c>
      <c r="AH8" t="s">
        <v>31</v>
      </c>
      <c r="AI8" t="s">
        <v>261</v>
      </c>
      <c r="AJ8" t="s">
        <v>217</v>
      </c>
      <c r="AK8" t="s">
        <v>274</v>
      </c>
      <c r="AL8" s="20" t="s">
        <v>499</v>
      </c>
      <c r="AM8" s="20"/>
      <c r="AN8" s="20"/>
      <c r="AO8" s="20" t="s">
        <v>500</v>
      </c>
      <c r="AP8" s="20" t="s">
        <v>500</v>
      </c>
      <c r="AQ8" s="20" t="s">
        <v>501</v>
      </c>
      <c r="AR8" s="20" t="s">
        <v>502</v>
      </c>
      <c r="AS8" s="20" t="s">
        <v>503</v>
      </c>
      <c r="AT8" s="20" t="s">
        <v>504</v>
      </c>
      <c r="AU8" s="20">
        <f t="shared" si="0"/>
        <v>30</v>
      </c>
      <c r="AV8" s="21" t="s">
        <v>505</v>
      </c>
      <c r="AW8" s="21" t="s">
        <v>505</v>
      </c>
      <c r="AX8" s="21" t="s">
        <v>453</v>
      </c>
      <c r="AY8" s="21" t="s">
        <v>453</v>
      </c>
      <c r="AZ8" s="20"/>
      <c r="BA8" s="20"/>
      <c r="BB8" s="21" t="s">
        <v>506</v>
      </c>
      <c r="BC8" s="20"/>
      <c r="BD8" s="20"/>
      <c r="BE8" s="20"/>
      <c r="BF8" s="21" t="s">
        <v>507</v>
      </c>
      <c r="BG8" s="21" t="s">
        <v>508</v>
      </c>
      <c r="BH8" s="20"/>
      <c r="BI8" s="20"/>
      <c r="BJ8" s="20"/>
      <c r="BK8" s="20"/>
      <c r="BL8" s="20"/>
      <c r="BM8" s="20"/>
      <c r="BN8" s="20"/>
      <c r="BO8" s="20"/>
      <c r="BP8" s="20"/>
      <c r="BQ8" s="20"/>
      <c r="BR8" s="21" t="s">
        <v>509</v>
      </c>
      <c r="BS8" s="21" t="s">
        <v>510</v>
      </c>
      <c r="BT8" s="21" t="s">
        <v>409</v>
      </c>
      <c r="BU8" s="21" t="s">
        <v>429</v>
      </c>
      <c r="BV8" s="21" t="s">
        <v>463</v>
      </c>
      <c r="BW8" s="20"/>
      <c r="BX8" s="20"/>
      <c r="BY8" s="20" t="s">
        <v>511</v>
      </c>
      <c r="BZ8" s="20"/>
      <c r="CA8" s="20"/>
      <c r="CB8" s="20"/>
      <c r="CC8" s="20"/>
      <c r="CD8" s="20"/>
      <c r="CE8" s="20"/>
      <c r="CF8"/>
      <c r="CG8" s="1" t="s">
        <v>816</v>
      </c>
    </row>
    <row r="9" spans="1:85" ht="12" customHeight="1" x14ac:dyDescent="0.25">
      <c r="A9" s="19" t="s">
        <v>115</v>
      </c>
      <c r="B9" s="19" t="s">
        <v>256</v>
      </c>
      <c r="C9" t="s">
        <v>313</v>
      </c>
      <c r="D9" s="20" t="s">
        <v>817</v>
      </c>
      <c r="E9" t="s">
        <v>313</v>
      </c>
      <c r="F9" s="20" t="s">
        <v>818</v>
      </c>
      <c r="G9" s="19" t="s">
        <v>306</v>
      </c>
      <c r="H9"/>
      <c r="I9"/>
      <c r="J9"/>
      <c r="K9"/>
      <c r="L9"/>
      <c r="M9"/>
      <c r="N9"/>
      <c r="O9"/>
      <c r="P9">
        <v>8</v>
      </c>
      <c r="Q9">
        <v>8</v>
      </c>
      <c r="R9" t="s">
        <v>9</v>
      </c>
      <c r="S9" t="s">
        <v>277</v>
      </c>
      <c r="T9" t="s">
        <v>75</v>
      </c>
      <c r="U9" t="s">
        <v>154</v>
      </c>
      <c r="V9" t="s">
        <v>297</v>
      </c>
      <c r="W9" t="s">
        <v>217</v>
      </c>
      <c r="X9" s="20" t="s">
        <v>75</v>
      </c>
      <c r="Y9" t="s">
        <v>154</v>
      </c>
      <c r="Z9" s="20" t="s">
        <v>154</v>
      </c>
      <c r="AA9" s="20" t="s">
        <v>352</v>
      </c>
      <c r="AB9" s="20" t="s">
        <v>154</v>
      </c>
      <c r="AC9" s="20" t="s">
        <v>363</v>
      </c>
      <c r="AD9" s="20" t="s">
        <v>364</v>
      </c>
      <c r="AE9" t="s">
        <v>281</v>
      </c>
      <c r="AF9" t="s">
        <v>132</v>
      </c>
      <c r="AG9" t="s">
        <v>262</v>
      </c>
      <c r="AH9" t="s">
        <v>217</v>
      </c>
      <c r="AI9" t="s">
        <v>217</v>
      </c>
      <c r="AJ9" t="s">
        <v>217</v>
      </c>
      <c r="AK9" t="s">
        <v>291</v>
      </c>
      <c r="AL9" s="20" t="s">
        <v>512</v>
      </c>
      <c r="AM9" s="20"/>
      <c r="AN9" s="20"/>
      <c r="AO9" s="20" t="s">
        <v>513</v>
      </c>
      <c r="AP9" s="20" t="s">
        <v>513</v>
      </c>
      <c r="AQ9" s="20" t="s">
        <v>514</v>
      </c>
      <c r="AR9" s="20" t="s">
        <v>515</v>
      </c>
      <c r="AS9" s="20" t="s">
        <v>516</v>
      </c>
      <c r="AT9" s="20" t="s">
        <v>517</v>
      </c>
      <c r="AU9" s="20">
        <f t="shared" si="0"/>
        <v>29</v>
      </c>
      <c r="AV9" s="21" t="s">
        <v>518</v>
      </c>
      <c r="AW9" s="21" t="s">
        <v>518</v>
      </c>
      <c r="AX9" s="21" t="s">
        <v>519</v>
      </c>
      <c r="AY9" s="21" t="s">
        <v>519</v>
      </c>
      <c r="AZ9" s="21" t="s">
        <v>291</v>
      </c>
      <c r="BA9" s="21" t="s">
        <v>291</v>
      </c>
      <c r="BB9" s="21" t="s">
        <v>520</v>
      </c>
      <c r="BC9" s="20"/>
      <c r="BD9" s="20"/>
      <c r="BE9" s="20"/>
      <c r="BF9" s="21" t="s">
        <v>521</v>
      </c>
      <c r="BG9" s="21" t="s">
        <v>522</v>
      </c>
      <c r="BH9" s="20"/>
      <c r="BI9" s="20"/>
      <c r="BJ9" s="20"/>
      <c r="BK9" s="20"/>
      <c r="BL9" s="20"/>
      <c r="BM9" s="20"/>
      <c r="BN9" s="20"/>
      <c r="BO9" s="20"/>
      <c r="BP9" s="20"/>
      <c r="BQ9" s="20"/>
      <c r="BR9" s="21" t="s">
        <v>520</v>
      </c>
      <c r="BS9" s="20"/>
      <c r="BT9" s="21" t="s">
        <v>409</v>
      </c>
      <c r="BU9" s="21" t="s">
        <v>410</v>
      </c>
      <c r="BV9" s="20"/>
      <c r="BW9" s="20"/>
      <c r="BX9" s="20"/>
      <c r="BY9" s="20" t="s">
        <v>523</v>
      </c>
      <c r="BZ9" s="20"/>
      <c r="CA9" s="20"/>
      <c r="CB9" s="20"/>
      <c r="CC9" s="20"/>
      <c r="CD9" s="20"/>
      <c r="CE9" s="20"/>
      <c r="CF9"/>
      <c r="CG9" s="1" t="s">
        <v>816</v>
      </c>
    </row>
    <row r="10" spans="1:85" ht="12" customHeight="1" x14ac:dyDescent="0.25">
      <c r="A10" s="19" t="s">
        <v>115</v>
      </c>
      <c r="B10" s="19" t="s">
        <v>256</v>
      </c>
      <c r="C10" t="s">
        <v>313</v>
      </c>
      <c r="D10" s="20" t="s">
        <v>817</v>
      </c>
      <c r="E10" t="s">
        <v>313</v>
      </c>
      <c r="F10" s="20" t="s">
        <v>818</v>
      </c>
      <c r="G10" s="19" t="s">
        <v>306</v>
      </c>
      <c r="H10"/>
      <c r="I10"/>
      <c r="J10"/>
      <c r="K10"/>
      <c r="L10"/>
      <c r="M10"/>
      <c r="N10"/>
      <c r="O10"/>
      <c r="P10">
        <v>9</v>
      </c>
      <c r="Q10">
        <v>9</v>
      </c>
      <c r="R10" t="s">
        <v>275</v>
      </c>
      <c r="S10" t="s">
        <v>151</v>
      </c>
      <c r="T10" t="s">
        <v>16</v>
      </c>
      <c r="U10" t="s">
        <v>168</v>
      </c>
      <c r="V10" t="s">
        <v>102</v>
      </c>
      <c r="W10" t="s">
        <v>217</v>
      </c>
      <c r="X10" s="20" t="s">
        <v>345</v>
      </c>
      <c r="Y10" t="s">
        <v>143</v>
      </c>
      <c r="Z10" s="20" t="s">
        <v>143</v>
      </c>
      <c r="AA10" s="20" t="s">
        <v>365</v>
      </c>
      <c r="AB10" s="20" t="s">
        <v>143</v>
      </c>
      <c r="AC10" s="20">
        <v>303053</v>
      </c>
      <c r="AD10" s="20" t="s">
        <v>366</v>
      </c>
      <c r="AE10" t="s">
        <v>44</v>
      </c>
      <c r="AF10" t="s">
        <v>114</v>
      </c>
      <c r="AG10" t="s">
        <v>85</v>
      </c>
      <c r="AH10" t="s">
        <v>85</v>
      </c>
      <c r="AI10" t="s">
        <v>42</v>
      </c>
      <c r="AJ10" t="s">
        <v>82</v>
      </c>
      <c r="AK10" t="s">
        <v>217</v>
      </c>
      <c r="AL10" s="20" t="s">
        <v>524</v>
      </c>
      <c r="AM10" s="20" t="s">
        <v>82</v>
      </c>
      <c r="AN10" s="20" t="s">
        <v>525</v>
      </c>
      <c r="AO10" s="20" t="s">
        <v>526</v>
      </c>
      <c r="AP10" s="20" t="s">
        <v>526</v>
      </c>
      <c r="AQ10" s="20" t="s">
        <v>527</v>
      </c>
      <c r="AR10" s="20" t="s">
        <v>528</v>
      </c>
      <c r="AS10" s="20" t="s">
        <v>529</v>
      </c>
      <c r="AT10" s="20" t="s">
        <v>530</v>
      </c>
      <c r="AU10" s="20">
        <f t="shared" si="0"/>
        <v>29</v>
      </c>
      <c r="AV10" s="21" t="s">
        <v>531</v>
      </c>
      <c r="AW10" s="21" t="s">
        <v>531</v>
      </c>
      <c r="AX10" s="21" t="s">
        <v>532</v>
      </c>
      <c r="AY10" s="21" t="s">
        <v>532</v>
      </c>
      <c r="AZ10" s="21" t="s">
        <v>533</v>
      </c>
      <c r="BA10" s="21" t="s">
        <v>533</v>
      </c>
      <c r="BB10" s="21" t="s">
        <v>534</v>
      </c>
      <c r="BC10" s="20"/>
      <c r="BD10" s="20"/>
      <c r="BE10" s="20"/>
      <c r="BF10" s="21" t="s">
        <v>535</v>
      </c>
      <c r="BG10" s="21" t="s">
        <v>536</v>
      </c>
      <c r="BH10" s="20"/>
      <c r="BI10" s="20"/>
      <c r="BJ10" s="20"/>
      <c r="BK10" s="20"/>
      <c r="BL10" s="20"/>
      <c r="BM10" s="21" t="s">
        <v>537</v>
      </c>
      <c r="BN10" s="21" t="s">
        <v>537</v>
      </c>
      <c r="BO10" s="21" t="s">
        <v>538</v>
      </c>
      <c r="BP10" s="21" t="s">
        <v>538</v>
      </c>
      <c r="BQ10" s="21" t="s">
        <v>539</v>
      </c>
      <c r="BR10" s="21" t="s">
        <v>540</v>
      </c>
      <c r="BS10" s="21" t="s">
        <v>541</v>
      </c>
      <c r="BT10" s="20"/>
      <c r="BU10" s="21" t="s">
        <v>410</v>
      </c>
      <c r="BV10" s="20"/>
      <c r="BW10" s="20"/>
      <c r="BX10" s="20"/>
      <c r="BY10" s="20" t="s">
        <v>542</v>
      </c>
      <c r="BZ10" s="20"/>
      <c r="CA10" s="20"/>
      <c r="CB10" s="20"/>
      <c r="CC10" s="20"/>
      <c r="CD10" s="20"/>
      <c r="CE10" s="20"/>
      <c r="CF10"/>
      <c r="CG10" s="1" t="s">
        <v>816</v>
      </c>
    </row>
    <row r="11" spans="1:85" ht="12" customHeight="1" x14ac:dyDescent="0.25">
      <c r="A11" s="19" t="s">
        <v>115</v>
      </c>
      <c r="B11" s="19" t="s">
        <v>256</v>
      </c>
      <c r="C11" t="s">
        <v>313</v>
      </c>
      <c r="D11" s="20" t="s">
        <v>817</v>
      </c>
      <c r="E11" t="s">
        <v>313</v>
      </c>
      <c r="F11" s="20" t="s">
        <v>818</v>
      </c>
      <c r="G11" s="19" t="s">
        <v>306</v>
      </c>
      <c r="H11"/>
      <c r="I11"/>
      <c r="J11"/>
      <c r="K11"/>
      <c r="L11"/>
      <c r="M11"/>
      <c r="N11"/>
      <c r="O11"/>
      <c r="P11">
        <v>10</v>
      </c>
      <c r="Q11">
        <v>10</v>
      </c>
      <c r="R11" t="s">
        <v>174</v>
      </c>
      <c r="S11" t="s">
        <v>151</v>
      </c>
      <c r="T11" t="s">
        <v>16</v>
      </c>
      <c r="U11" t="s">
        <v>227</v>
      </c>
      <c r="V11" t="s">
        <v>102</v>
      </c>
      <c r="W11" t="s">
        <v>217</v>
      </c>
      <c r="X11" s="20" t="s">
        <v>345</v>
      </c>
      <c r="Y11" t="s">
        <v>52</v>
      </c>
      <c r="Z11" s="20" t="s">
        <v>52</v>
      </c>
      <c r="AA11" s="20" t="s">
        <v>365</v>
      </c>
      <c r="AB11" s="20" t="s">
        <v>52</v>
      </c>
      <c r="AC11" s="20">
        <v>303062</v>
      </c>
      <c r="AD11" s="20" t="s">
        <v>367</v>
      </c>
      <c r="AE11" t="s">
        <v>310</v>
      </c>
      <c r="AF11" t="s">
        <v>273</v>
      </c>
      <c r="AG11" t="s">
        <v>127</v>
      </c>
      <c r="AH11" t="s">
        <v>272</v>
      </c>
      <c r="AI11" t="s">
        <v>42</v>
      </c>
      <c r="AJ11" t="s">
        <v>100</v>
      </c>
      <c r="AK11" t="s">
        <v>217</v>
      </c>
      <c r="AL11" s="20" t="s">
        <v>524</v>
      </c>
      <c r="AM11" s="20" t="s">
        <v>82</v>
      </c>
      <c r="AN11" s="20" t="s">
        <v>525</v>
      </c>
      <c r="AO11" s="20" t="s">
        <v>543</v>
      </c>
      <c r="AP11" s="20" t="s">
        <v>543</v>
      </c>
      <c r="AQ11" s="20" t="s">
        <v>544</v>
      </c>
      <c r="AR11" s="20" t="s">
        <v>545</v>
      </c>
      <c r="AS11" s="20" t="s">
        <v>546</v>
      </c>
      <c r="AT11" s="20" t="s">
        <v>547</v>
      </c>
      <c r="AU11" s="20">
        <f t="shared" si="0"/>
        <v>29</v>
      </c>
      <c r="AV11" s="21" t="s">
        <v>531</v>
      </c>
      <c r="AW11" s="21" t="s">
        <v>531</v>
      </c>
      <c r="AX11" s="21" t="s">
        <v>532</v>
      </c>
      <c r="AY11" s="21" t="s">
        <v>532</v>
      </c>
      <c r="AZ11" s="21" t="s">
        <v>533</v>
      </c>
      <c r="BA11" s="21" t="s">
        <v>533</v>
      </c>
      <c r="BB11" s="21" t="s">
        <v>534</v>
      </c>
      <c r="BC11" s="20"/>
      <c r="BD11" s="20"/>
      <c r="BE11" s="20"/>
      <c r="BF11" s="21" t="s">
        <v>548</v>
      </c>
      <c r="BG11" s="21" t="s">
        <v>549</v>
      </c>
      <c r="BH11" s="20"/>
      <c r="BI11" s="20"/>
      <c r="BJ11" s="20"/>
      <c r="BK11" s="20"/>
      <c r="BL11" s="20"/>
      <c r="BM11" s="21" t="s">
        <v>537</v>
      </c>
      <c r="BN11" s="21" t="s">
        <v>537</v>
      </c>
      <c r="BO11" s="21" t="s">
        <v>538</v>
      </c>
      <c r="BP11" s="21" t="s">
        <v>538</v>
      </c>
      <c r="BQ11" s="21" t="s">
        <v>539</v>
      </c>
      <c r="BR11" s="21" t="s">
        <v>540</v>
      </c>
      <c r="BS11" s="21" t="s">
        <v>541</v>
      </c>
      <c r="BT11" s="20"/>
      <c r="BU11" s="21" t="s">
        <v>410</v>
      </c>
      <c r="BV11" s="20"/>
      <c r="BW11" s="20"/>
      <c r="BX11" s="20"/>
      <c r="BY11" s="20" t="s">
        <v>550</v>
      </c>
      <c r="BZ11" s="20"/>
      <c r="CA11" s="20"/>
      <c r="CB11" s="20"/>
      <c r="CC11" s="20"/>
      <c r="CD11" s="20"/>
      <c r="CE11" s="20"/>
      <c r="CF11"/>
      <c r="CG11" s="1" t="s">
        <v>816</v>
      </c>
    </row>
    <row r="12" spans="1:85" ht="12" customHeight="1" x14ac:dyDescent="0.25">
      <c r="A12" s="19" t="s">
        <v>115</v>
      </c>
      <c r="B12" s="19" t="s">
        <v>256</v>
      </c>
      <c r="C12" t="s">
        <v>313</v>
      </c>
      <c r="D12" s="20" t="s">
        <v>817</v>
      </c>
      <c r="E12" t="s">
        <v>313</v>
      </c>
      <c r="F12" s="20" t="s">
        <v>818</v>
      </c>
      <c r="G12" s="19" t="s">
        <v>306</v>
      </c>
      <c r="H12"/>
      <c r="I12"/>
      <c r="J12"/>
      <c r="K12"/>
      <c r="L12"/>
      <c r="M12"/>
      <c r="N12"/>
      <c r="O12"/>
      <c r="P12">
        <v>11</v>
      </c>
      <c r="Q12">
        <v>11</v>
      </c>
      <c r="R12" t="s">
        <v>128</v>
      </c>
      <c r="S12" t="s">
        <v>151</v>
      </c>
      <c r="T12" t="s">
        <v>16</v>
      </c>
      <c r="U12" t="s">
        <v>309</v>
      </c>
      <c r="V12" t="s">
        <v>91</v>
      </c>
      <c r="W12" t="s">
        <v>217</v>
      </c>
      <c r="X12" s="20" t="s">
        <v>344</v>
      </c>
      <c r="Y12" t="s">
        <v>318</v>
      </c>
      <c r="Z12" s="20" t="s">
        <v>318</v>
      </c>
      <c r="AA12" s="20" t="s">
        <v>361</v>
      </c>
      <c r="AB12" s="20" t="s">
        <v>318</v>
      </c>
      <c r="AC12" s="20" t="s">
        <v>318</v>
      </c>
      <c r="AD12" s="20" t="s">
        <v>368</v>
      </c>
      <c r="AE12" t="s">
        <v>144</v>
      </c>
      <c r="AF12" t="s">
        <v>149</v>
      </c>
      <c r="AG12" t="s">
        <v>161</v>
      </c>
      <c r="AH12" t="s">
        <v>120</v>
      </c>
      <c r="AI12" t="s">
        <v>116</v>
      </c>
      <c r="AJ12" t="s">
        <v>49</v>
      </c>
      <c r="AK12" t="s">
        <v>205</v>
      </c>
      <c r="AL12" s="20" t="s">
        <v>551</v>
      </c>
      <c r="AM12" s="20" t="s">
        <v>49</v>
      </c>
      <c r="AN12" s="20" t="s">
        <v>552</v>
      </c>
      <c r="AO12" s="20" t="s">
        <v>553</v>
      </c>
      <c r="AP12" s="20" t="s">
        <v>553</v>
      </c>
      <c r="AQ12" s="20" t="s">
        <v>554</v>
      </c>
      <c r="AR12" s="20" t="s">
        <v>555</v>
      </c>
      <c r="AS12" s="20" t="s">
        <v>556</v>
      </c>
      <c r="AT12" s="20" t="s">
        <v>557</v>
      </c>
      <c r="AU12" s="20">
        <f t="shared" si="0"/>
        <v>30</v>
      </c>
      <c r="AV12" s="21" t="s">
        <v>558</v>
      </c>
      <c r="AW12" s="21" t="s">
        <v>558</v>
      </c>
      <c r="AX12" s="21" t="s">
        <v>559</v>
      </c>
      <c r="AY12" s="21" t="s">
        <v>559</v>
      </c>
      <c r="AZ12" s="21" t="s">
        <v>205</v>
      </c>
      <c r="BA12" s="21" t="s">
        <v>205</v>
      </c>
      <c r="BB12" s="21" t="s">
        <v>560</v>
      </c>
      <c r="BC12" s="20"/>
      <c r="BD12" s="20"/>
      <c r="BE12" s="20"/>
      <c r="BF12" s="21" t="s">
        <v>561</v>
      </c>
      <c r="BG12" s="21" t="s">
        <v>562</v>
      </c>
      <c r="BH12" s="20"/>
      <c r="BI12" s="20"/>
      <c r="BJ12" s="20"/>
      <c r="BK12" s="20"/>
      <c r="BL12" s="20"/>
      <c r="BM12" s="21" t="s">
        <v>563</v>
      </c>
      <c r="BN12" s="21" t="s">
        <v>563</v>
      </c>
      <c r="BO12" s="20"/>
      <c r="BP12" s="20"/>
      <c r="BQ12" s="20"/>
      <c r="BR12" s="21" t="s">
        <v>564</v>
      </c>
      <c r="BS12" s="21" t="s">
        <v>565</v>
      </c>
      <c r="BT12" s="21" t="s">
        <v>409</v>
      </c>
      <c r="BU12" s="21" t="s">
        <v>410</v>
      </c>
      <c r="BV12" s="21" t="s">
        <v>463</v>
      </c>
      <c r="BW12" s="20"/>
      <c r="BX12" s="20"/>
      <c r="BY12" s="20" t="s">
        <v>566</v>
      </c>
      <c r="BZ12" s="20"/>
      <c r="CA12" s="20"/>
      <c r="CB12" s="20"/>
      <c r="CC12" s="20"/>
      <c r="CD12" s="20"/>
      <c r="CE12" s="20"/>
      <c r="CF12"/>
      <c r="CG12" s="1" t="s">
        <v>816</v>
      </c>
    </row>
    <row r="13" spans="1:85" ht="12" customHeight="1" x14ac:dyDescent="0.25">
      <c r="A13" s="19" t="s">
        <v>115</v>
      </c>
      <c r="B13" s="19" t="s">
        <v>256</v>
      </c>
      <c r="C13" t="s">
        <v>313</v>
      </c>
      <c r="D13" s="20" t="s">
        <v>817</v>
      </c>
      <c r="E13" t="s">
        <v>313</v>
      </c>
      <c r="F13" s="20" t="s">
        <v>818</v>
      </c>
      <c r="G13" s="19" t="s">
        <v>306</v>
      </c>
      <c r="H13"/>
      <c r="I13"/>
      <c r="J13"/>
      <c r="K13"/>
      <c r="L13"/>
      <c r="M13"/>
      <c r="N13"/>
      <c r="O13"/>
      <c r="P13">
        <v>12</v>
      </c>
      <c r="Q13">
        <v>12</v>
      </c>
      <c r="R13" t="s">
        <v>201</v>
      </c>
      <c r="S13" t="s">
        <v>319</v>
      </c>
      <c r="T13" t="s">
        <v>101</v>
      </c>
      <c r="U13" t="s">
        <v>112</v>
      </c>
      <c r="V13" t="s">
        <v>331</v>
      </c>
      <c r="W13" t="s">
        <v>217</v>
      </c>
      <c r="X13" s="20" t="s">
        <v>342</v>
      </c>
      <c r="Y13" t="s">
        <v>112</v>
      </c>
      <c r="Z13" s="20" t="s">
        <v>112</v>
      </c>
      <c r="AA13" s="20" t="s">
        <v>354</v>
      </c>
      <c r="AB13" s="20" t="s">
        <v>112</v>
      </c>
      <c r="AC13" s="20" t="s">
        <v>369</v>
      </c>
      <c r="AD13" s="20" t="s">
        <v>370</v>
      </c>
      <c r="AE13" t="s">
        <v>282</v>
      </c>
      <c r="AF13" t="s">
        <v>169</v>
      </c>
      <c r="AG13" t="s">
        <v>160</v>
      </c>
      <c r="AH13" t="s">
        <v>107</v>
      </c>
      <c r="AI13" t="s">
        <v>134</v>
      </c>
      <c r="AJ13" t="s">
        <v>182</v>
      </c>
      <c r="AK13" t="s">
        <v>111</v>
      </c>
      <c r="AL13" s="20" t="s">
        <v>567</v>
      </c>
      <c r="AM13" s="20" t="s">
        <v>182</v>
      </c>
      <c r="AN13" s="20" t="s">
        <v>568</v>
      </c>
      <c r="AO13" s="20" t="s">
        <v>569</v>
      </c>
      <c r="AP13" s="20" t="s">
        <v>569</v>
      </c>
      <c r="AQ13" s="20" t="s">
        <v>570</v>
      </c>
      <c r="AR13" s="20" t="s">
        <v>571</v>
      </c>
      <c r="AS13" s="20" t="s">
        <v>572</v>
      </c>
      <c r="AT13" s="20" t="s">
        <v>573</v>
      </c>
      <c r="AU13" s="20">
        <f t="shared" si="0"/>
        <v>30</v>
      </c>
      <c r="AV13" s="21" t="s">
        <v>574</v>
      </c>
      <c r="AW13" s="21" t="s">
        <v>574</v>
      </c>
      <c r="AX13" s="21" t="s">
        <v>421</v>
      </c>
      <c r="AY13" s="21" t="s">
        <v>421</v>
      </c>
      <c r="AZ13" s="21" t="s">
        <v>111</v>
      </c>
      <c r="BA13" s="21" t="s">
        <v>111</v>
      </c>
      <c r="BB13" s="21" t="s">
        <v>575</v>
      </c>
      <c r="BC13" s="21" t="s">
        <v>576</v>
      </c>
      <c r="BD13" s="22" t="s">
        <v>577</v>
      </c>
      <c r="BE13" s="20"/>
      <c r="BF13" s="21" t="s">
        <v>578</v>
      </c>
      <c r="BG13" s="21" t="s">
        <v>579</v>
      </c>
      <c r="BH13" s="21" t="s">
        <v>580</v>
      </c>
      <c r="BI13" s="21" t="s">
        <v>581</v>
      </c>
      <c r="BJ13" s="20"/>
      <c r="BK13" s="20"/>
      <c r="BL13" s="20"/>
      <c r="BM13" s="20"/>
      <c r="BN13" s="20"/>
      <c r="BO13" s="20"/>
      <c r="BP13" s="20"/>
      <c r="BQ13" s="20"/>
      <c r="BR13" s="21" t="s">
        <v>582</v>
      </c>
      <c r="BS13" s="21" t="s">
        <v>583</v>
      </c>
      <c r="BT13" s="21" t="s">
        <v>409</v>
      </c>
      <c r="BU13" s="21" t="s">
        <v>429</v>
      </c>
      <c r="BV13" s="20"/>
      <c r="BW13" s="20"/>
      <c r="BX13" s="20"/>
      <c r="BY13" s="20" t="s">
        <v>584</v>
      </c>
      <c r="BZ13" s="20"/>
      <c r="CA13" s="20"/>
      <c r="CB13" s="20"/>
      <c r="CC13" s="20"/>
      <c r="CD13" s="20"/>
      <c r="CE13" s="20"/>
      <c r="CF13"/>
      <c r="CG13" s="1" t="s">
        <v>816</v>
      </c>
    </row>
    <row r="14" spans="1:85" ht="12" customHeight="1" x14ac:dyDescent="0.25">
      <c r="A14" s="19" t="s">
        <v>115</v>
      </c>
      <c r="B14" s="19" t="s">
        <v>256</v>
      </c>
      <c r="C14" t="s">
        <v>313</v>
      </c>
      <c r="D14" s="20" t="s">
        <v>817</v>
      </c>
      <c r="E14" t="s">
        <v>313</v>
      </c>
      <c r="F14" s="20" t="s">
        <v>818</v>
      </c>
      <c r="G14" s="19" t="s">
        <v>306</v>
      </c>
      <c r="H14"/>
      <c r="I14"/>
      <c r="J14"/>
      <c r="K14"/>
      <c r="L14"/>
      <c r="M14"/>
      <c r="N14"/>
      <c r="O14"/>
      <c r="P14">
        <v>13</v>
      </c>
      <c r="Q14">
        <v>13</v>
      </c>
      <c r="R14" t="s">
        <v>181</v>
      </c>
      <c r="S14" t="s">
        <v>151</v>
      </c>
      <c r="T14" t="s">
        <v>16</v>
      </c>
      <c r="U14" t="s">
        <v>250</v>
      </c>
      <c r="V14" t="s">
        <v>213</v>
      </c>
      <c r="W14" t="s">
        <v>217</v>
      </c>
      <c r="X14" s="20" t="s">
        <v>16</v>
      </c>
      <c r="Y14" t="s">
        <v>250</v>
      </c>
      <c r="Z14" s="20" t="s">
        <v>250</v>
      </c>
      <c r="AA14" s="20" t="s">
        <v>213</v>
      </c>
      <c r="AB14" s="20" t="s">
        <v>250</v>
      </c>
      <c r="AC14" s="20" t="s">
        <v>250</v>
      </c>
      <c r="AD14" s="20" t="s">
        <v>371</v>
      </c>
      <c r="AE14" t="s">
        <v>148</v>
      </c>
      <c r="AF14" t="s">
        <v>48</v>
      </c>
      <c r="AG14" t="s">
        <v>60</v>
      </c>
      <c r="AH14" t="s">
        <v>217</v>
      </c>
      <c r="AI14" t="s">
        <v>116</v>
      </c>
      <c r="AJ14" t="s">
        <v>217</v>
      </c>
      <c r="AK14" t="s">
        <v>213</v>
      </c>
      <c r="AL14" s="20" t="s">
        <v>551</v>
      </c>
      <c r="AM14" s="20"/>
      <c r="AN14" s="20"/>
      <c r="AO14" s="20" t="s">
        <v>585</v>
      </c>
      <c r="AP14" s="20" t="s">
        <v>585</v>
      </c>
      <c r="AQ14" s="20" t="s">
        <v>586</v>
      </c>
      <c r="AR14" s="20" t="s">
        <v>587</v>
      </c>
      <c r="AS14" s="20" t="s">
        <v>588</v>
      </c>
      <c r="AT14" s="20" t="s">
        <v>589</v>
      </c>
      <c r="AU14" s="20">
        <f t="shared" si="0"/>
        <v>29</v>
      </c>
      <c r="AV14" s="21" t="s">
        <v>590</v>
      </c>
      <c r="AW14" s="21" t="s">
        <v>590</v>
      </c>
      <c r="AX14" s="21" t="s">
        <v>559</v>
      </c>
      <c r="AY14" s="21" t="s">
        <v>559</v>
      </c>
      <c r="AZ14" s="21" t="s">
        <v>591</v>
      </c>
      <c r="BA14" s="21" t="s">
        <v>591</v>
      </c>
      <c r="BB14" s="21" t="s">
        <v>592</v>
      </c>
      <c r="BC14" s="20"/>
      <c r="BD14" s="20"/>
      <c r="BE14" s="20"/>
      <c r="BF14" s="21" t="s">
        <v>593</v>
      </c>
      <c r="BG14" s="21" t="s">
        <v>594</v>
      </c>
      <c r="BH14" s="20"/>
      <c r="BI14" s="20"/>
      <c r="BJ14" s="20"/>
      <c r="BK14" s="20"/>
      <c r="BL14" s="20"/>
      <c r="BM14" s="21" t="s">
        <v>595</v>
      </c>
      <c r="BN14" s="21" t="s">
        <v>595</v>
      </c>
      <c r="BO14" s="20"/>
      <c r="BP14" s="20"/>
      <c r="BQ14" s="20"/>
      <c r="BR14" s="21" t="s">
        <v>596</v>
      </c>
      <c r="BS14" s="21" t="s">
        <v>597</v>
      </c>
      <c r="BT14" s="21" t="s">
        <v>409</v>
      </c>
      <c r="BU14" s="21" t="s">
        <v>410</v>
      </c>
      <c r="BV14" s="20"/>
      <c r="BW14" s="20"/>
      <c r="BX14" s="21" t="s">
        <v>598</v>
      </c>
      <c r="BY14" s="20" t="s">
        <v>599</v>
      </c>
      <c r="BZ14" s="20"/>
      <c r="CA14" s="20"/>
      <c r="CB14" s="20"/>
      <c r="CC14" s="20"/>
      <c r="CD14" s="20"/>
      <c r="CE14" s="20"/>
      <c r="CF14"/>
      <c r="CG14" s="1" t="s">
        <v>816</v>
      </c>
    </row>
    <row r="15" spans="1:85" ht="12" customHeight="1" x14ac:dyDescent="0.25">
      <c r="A15" s="19" t="s">
        <v>115</v>
      </c>
      <c r="B15" s="19" t="s">
        <v>256</v>
      </c>
      <c r="C15" t="s">
        <v>313</v>
      </c>
      <c r="D15" s="20" t="s">
        <v>817</v>
      </c>
      <c r="E15" t="s">
        <v>313</v>
      </c>
      <c r="F15" s="20" t="s">
        <v>818</v>
      </c>
      <c r="G15" s="19" t="s">
        <v>306</v>
      </c>
      <c r="H15"/>
      <c r="I15"/>
      <c r="J15"/>
      <c r="K15"/>
      <c r="L15"/>
      <c r="M15"/>
      <c r="N15"/>
      <c r="O15"/>
      <c r="P15">
        <v>14</v>
      </c>
      <c r="Q15">
        <v>14</v>
      </c>
      <c r="R15" t="s">
        <v>67</v>
      </c>
      <c r="S15" t="s">
        <v>0</v>
      </c>
      <c r="T15" t="s">
        <v>122</v>
      </c>
      <c r="U15" t="s">
        <v>244</v>
      </c>
      <c r="V15" t="s">
        <v>122</v>
      </c>
      <c r="W15" t="s">
        <v>217</v>
      </c>
      <c r="X15" s="20" t="s">
        <v>122</v>
      </c>
      <c r="Y15" t="s">
        <v>244</v>
      </c>
      <c r="Z15" s="20" t="s">
        <v>244</v>
      </c>
      <c r="AA15" s="20" t="s">
        <v>372</v>
      </c>
      <c r="AB15" s="20" t="s">
        <v>244</v>
      </c>
      <c r="AC15" s="20" t="s">
        <v>373</v>
      </c>
      <c r="AD15" s="20" t="s">
        <v>374</v>
      </c>
      <c r="AE15" t="s">
        <v>83</v>
      </c>
      <c r="AF15" t="s">
        <v>254</v>
      </c>
      <c r="AG15" t="s">
        <v>325</v>
      </c>
      <c r="AH15" t="s">
        <v>217</v>
      </c>
      <c r="AI15" t="s">
        <v>217</v>
      </c>
      <c r="AJ15" t="s">
        <v>217</v>
      </c>
      <c r="AK15" t="s">
        <v>312</v>
      </c>
      <c r="AL15" s="20" t="s">
        <v>600</v>
      </c>
      <c r="AM15" s="20" t="s">
        <v>601</v>
      </c>
      <c r="AN15" s="20" t="s">
        <v>602</v>
      </c>
      <c r="AO15" s="20" t="s">
        <v>603</v>
      </c>
      <c r="AP15" s="20" t="s">
        <v>603</v>
      </c>
      <c r="AQ15" s="20" t="s">
        <v>604</v>
      </c>
      <c r="AR15" s="20" t="s">
        <v>605</v>
      </c>
      <c r="AS15" s="20" t="s">
        <v>606</v>
      </c>
      <c r="AT15" s="20" t="s">
        <v>607</v>
      </c>
      <c r="AU15" s="20">
        <f t="shared" si="0"/>
        <v>29</v>
      </c>
      <c r="AV15" s="21" t="s">
        <v>608</v>
      </c>
      <c r="AW15" s="21" t="s">
        <v>608</v>
      </c>
      <c r="AX15" s="21" t="s">
        <v>609</v>
      </c>
      <c r="AY15" s="21" t="s">
        <v>609</v>
      </c>
      <c r="AZ15" s="21" t="s">
        <v>610</v>
      </c>
      <c r="BA15" s="21" t="s">
        <v>610</v>
      </c>
      <c r="BB15" s="20"/>
      <c r="BC15" s="20"/>
      <c r="BD15" s="20"/>
      <c r="BE15" s="20"/>
      <c r="BF15" s="21" t="s">
        <v>611</v>
      </c>
      <c r="BG15" s="21" t="s">
        <v>612</v>
      </c>
      <c r="BH15" s="20"/>
      <c r="BI15" s="20"/>
      <c r="BJ15" s="20"/>
      <c r="BK15" s="20"/>
      <c r="BL15" s="20"/>
      <c r="BM15" s="21" t="s">
        <v>613</v>
      </c>
      <c r="BN15" s="21" t="s">
        <v>613</v>
      </c>
      <c r="BO15" s="20"/>
      <c r="BP15" s="20"/>
      <c r="BQ15" s="20"/>
      <c r="BR15" s="21" t="s">
        <v>614</v>
      </c>
      <c r="BS15" s="21" t="s">
        <v>614</v>
      </c>
      <c r="BT15" s="21" t="s">
        <v>409</v>
      </c>
      <c r="BU15" s="21" t="s">
        <v>429</v>
      </c>
      <c r="BV15" s="20"/>
      <c r="BW15" s="20"/>
      <c r="BX15" s="20"/>
      <c r="BY15" s="20" t="s">
        <v>615</v>
      </c>
      <c r="BZ15" s="20"/>
      <c r="CA15" s="20"/>
      <c r="CB15" s="20"/>
      <c r="CC15" s="20"/>
      <c r="CD15" s="20"/>
      <c r="CE15" s="20"/>
      <c r="CF15"/>
      <c r="CG15" s="1" t="s">
        <v>816</v>
      </c>
    </row>
    <row r="16" spans="1:85" ht="12" customHeight="1" x14ac:dyDescent="0.25">
      <c r="A16" s="19" t="s">
        <v>115</v>
      </c>
      <c r="B16" s="19" t="s">
        <v>256</v>
      </c>
      <c r="C16" t="s">
        <v>313</v>
      </c>
      <c r="D16" s="20" t="s">
        <v>817</v>
      </c>
      <c r="E16" t="s">
        <v>313</v>
      </c>
      <c r="F16" s="20" t="s">
        <v>818</v>
      </c>
      <c r="G16" s="19" t="s">
        <v>306</v>
      </c>
      <c r="H16"/>
      <c r="I16"/>
      <c r="J16"/>
      <c r="K16"/>
      <c r="L16"/>
      <c r="M16"/>
      <c r="N16"/>
      <c r="O16"/>
      <c r="P16">
        <v>15</v>
      </c>
      <c r="Q16">
        <v>15</v>
      </c>
      <c r="R16" t="s">
        <v>223</v>
      </c>
      <c r="S16" t="s">
        <v>151</v>
      </c>
      <c r="T16" t="s">
        <v>16</v>
      </c>
      <c r="U16" t="s">
        <v>189</v>
      </c>
      <c r="V16" t="s">
        <v>79</v>
      </c>
      <c r="W16" t="s">
        <v>217</v>
      </c>
      <c r="X16" s="20" t="s">
        <v>70</v>
      </c>
      <c r="Y16" t="s">
        <v>280</v>
      </c>
      <c r="Z16" s="20" t="s">
        <v>280</v>
      </c>
      <c r="AA16" s="20" t="s">
        <v>28</v>
      </c>
      <c r="AB16" s="20" t="s">
        <v>280</v>
      </c>
      <c r="AC16" s="20" t="s">
        <v>280</v>
      </c>
      <c r="AD16" s="20" t="s">
        <v>375</v>
      </c>
      <c r="AE16" t="s">
        <v>30</v>
      </c>
      <c r="AF16" t="s">
        <v>210</v>
      </c>
      <c r="AG16" t="s">
        <v>121</v>
      </c>
      <c r="AH16" t="s">
        <v>57</v>
      </c>
      <c r="AI16" t="s">
        <v>119</v>
      </c>
      <c r="AJ16" t="s">
        <v>301</v>
      </c>
      <c r="AK16" t="s">
        <v>28</v>
      </c>
      <c r="AL16" s="20" t="s">
        <v>616</v>
      </c>
      <c r="AM16" s="20" t="s">
        <v>301</v>
      </c>
      <c r="AN16" s="20" t="s">
        <v>617</v>
      </c>
      <c r="AO16" s="20" t="s">
        <v>618</v>
      </c>
      <c r="AP16" s="20" t="s">
        <v>618</v>
      </c>
      <c r="AQ16" s="20" t="s">
        <v>619</v>
      </c>
      <c r="AR16" s="20" t="s">
        <v>620</v>
      </c>
      <c r="AS16" s="20" t="s">
        <v>621</v>
      </c>
      <c r="AT16" s="20" t="s">
        <v>622</v>
      </c>
      <c r="AU16" s="20">
        <f t="shared" si="0"/>
        <v>28</v>
      </c>
      <c r="AV16" s="21" t="s">
        <v>623</v>
      </c>
      <c r="AW16" s="21" t="s">
        <v>623</v>
      </c>
      <c r="AX16" s="21" t="s">
        <v>624</v>
      </c>
      <c r="AY16" s="21" t="s">
        <v>624</v>
      </c>
      <c r="AZ16" s="21" t="s">
        <v>625</v>
      </c>
      <c r="BA16" s="21" t="s">
        <v>625</v>
      </c>
      <c r="BB16" s="21" t="s">
        <v>626</v>
      </c>
      <c r="BC16" s="20"/>
      <c r="BD16" s="20"/>
      <c r="BE16" s="20"/>
      <c r="BF16" s="21" t="s">
        <v>627</v>
      </c>
      <c r="BG16" s="21" t="s">
        <v>628</v>
      </c>
      <c r="BH16" s="20"/>
      <c r="BI16" s="20"/>
      <c r="BJ16" s="20"/>
      <c r="BK16" s="20"/>
      <c r="BL16" s="20"/>
      <c r="BM16" s="20"/>
      <c r="BN16" s="20"/>
      <c r="BO16" s="20"/>
      <c r="BP16" s="20"/>
      <c r="BQ16" s="20"/>
      <c r="BR16" s="21" t="s">
        <v>626</v>
      </c>
      <c r="BS16" s="20"/>
      <c r="BT16" s="21" t="s">
        <v>409</v>
      </c>
      <c r="BU16" s="21" t="s">
        <v>410</v>
      </c>
      <c r="BV16" s="20"/>
      <c r="BW16" s="20"/>
      <c r="BX16" s="20"/>
      <c r="BY16" s="20" t="s">
        <v>629</v>
      </c>
      <c r="BZ16" s="20"/>
      <c r="CA16" s="20"/>
      <c r="CB16" s="20"/>
      <c r="CC16" s="20"/>
      <c r="CD16" s="20"/>
      <c r="CE16" s="20"/>
      <c r="CF16"/>
      <c r="CG16" s="1" t="s">
        <v>816</v>
      </c>
    </row>
    <row r="17" spans="1:85" ht="12" customHeight="1" x14ac:dyDescent="0.25">
      <c r="A17" s="19" t="s">
        <v>115</v>
      </c>
      <c r="B17" s="19" t="s">
        <v>256</v>
      </c>
      <c r="C17" t="s">
        <v>313</v>
      </c>
      <c r="D17" s="20" t="s">
        <v>817</v>
      </c>
      <c r="E17" t="s">
        <v>313</v>
      </c>
      <c r="F17" s="20" t="s">
        <v>818</v>
      </c>
      <c r="G17" s="19" t="s">
        <v>306</v>
      </c>
      <c r="H17"/>
      <c r="I17"/>
      <c r="J17"/>
      <c r="K17"/>
      <c r="L17"/>
      <c r="M17"/>
      <c r="N17"/>
      <c r="O17"/>
      <c r="P17">
        <v>16</v>
      </c>
      <c r="Q17">
        <v>16</v>
      </c>
      <c r="R17" t="s">
        <v>316</v>
      </c>
      <c r="S17" t="s">
        <v>37</v>
      </c>
      <c r="T17" t="s">
        <v>15</v>
      </c>
      <c r="U17" t="s">
        <v>164</v>
      </c>
      <c r="V17" t="s">
        <v>257</v>
      </c>
      <c r="W17" t="s">
        <v>217</v>
      </c>
      <c r="X17" s="20" t="s">
        <v>15</v>
      </c>
      <c r="Y17" t="s">
        <v>164</v>
      </c>
      <c r="Z17" s="20" t="s">
        <v>164</v>
      </c>
      <c r="AA17" s="20" t="s">
        <v>257</v>
      </c>
      <c r="AB17" s="20" t="s">
        <v>164</v>
      </c>
      <c r="AC17" s="20" t="s">
        <v>164</v>
      </c>
      <c r="AD17" s="20" t="s">
        <v>376</v>
      </c>
      <c r="AE17" t="s">
        <v>283</v>
      </c>
      <c r="AF17" t="s">
        <v>54</v>
      </c>
      <c r="AG17" t="s">
        <v>123</v>
      </c>
      <c r="AH17" t="s">
        <v>194</v>
      </c>
      <c r="AI17" t="s">
        <v>246</v>
      </c>
      <c r="AJ17" t="s">
        <v>217</v>
      </c>
      <c r="AK17" t="s">
        <v>217</v>
      </c>
      <c r="AL17" s="20" t="s">
        <v>630</v>
      </c>
      <c r="AM17" s="20" t="s">
        <v>81</v>
      </c>
      <c r="AN17" s="20" t="s">
        <v>631</v>
      </c>
      <c r="AO17" s="20" t="s">
        <v>632</v>
      </c>
      <c r="AP17" s="20" t="s">
        <v>632</v>
      </c>
      <c r="AQ17" s="20" t="s">
        <v>633</v>
      </c>
      <c r="AR17" s="20" t="s">
        <v>634</v>
      </c>
      <c r="AS17" s="20" t="s">
        <v>635</v>
      </c>
      <c r="AT17" s="20" t="s">
        <v>636</v>
      </c>
      <c r="AU17" s="20">
        <f t="shared" si="0"/>
        <v>29</v>
      </c>
      <c r="AV17" s="21" t="s">
        <v>637</v>
      </c>
      <c r="AW17" s="21" t="s">
        <v>637</v>
      </c>
      <c r="AX17" s="21" t="s">
        <v>638</v>
      </c>
      <c r="AY17" s="21" t="s">
        <v>638</v>
      </c>
      <c r="AZ17" s="21" t="s">
        <v>639</v>
      </c>
      <c r="BA17" s="21" t="s">
        <v>639</v>
      </c>
      <c r="BB17" s="21" t="s">
        <v>640</v>
      </c>
      <c r="BC17" s="20"/>
      <c r="BD17" s="20"/>
      <c r="BE17" s="20"/>
      <c r="BF17" s="21" t="s">
        <v>641</v>
      </c>
      <c r="BG17" s="21" t="s">
        <v>642</v>
      </c>
      <c r="BH17" s="21" t="s">
        <v>643</v>
      </c>
      <c r="BI17" s="21" t="s">
        <v>644</v>
      </c>
      <c r="BJ17" s="20"/>
      <c r="BK17" s="20"/>
      <c r="BL17" s="20"/>
      <c r="BM17" s="20"/>
      <c r="BN17" s="20"/>
      <c r="BO17" s="20"/>
      <c r="BP17" s="20"/>
      <c r="BQ17" s="21" t="s">
        <v>645</v>
      </c>
      <c r="BR17" s="21" t="s">
        <v>646</v>
      </c>
      <c r="BS17" s="21" t="s">
        <v>647</v>
      </c>
      <c r="BT17" s="21" t="s">
        <v>409</v>
      </c>
      <c r="BU17" s="21" t="s">
        <v>429</v>
      </c>
      <c r="BV17" s="20"/>
      <c r="BW17" s="20"/>
      <c r="BX17" s="20"/>
      <c r="BY17" s="20" t="s">
        <v>648</v>
      </c>
      <c r="BZ17" s="20"/>
      <c r="CA17" s="20"/>
      <c r="CB17" s="20"/>
      <c r="CC17" s="20"/>
      <c r="CD17" s="20"/>
      <c r="CE17" s="20"/>
      <c r="CF17"/>
      <c r="CG17" s="1" t="s">
        <v>816</v>
      </c>
    </row>
    <row r="18" spans="1:85" ht="12" customHeight="1" x14ac:dyDescent="0.25">
      <c r="A18" s="19" t="s">
        <v>115</v>
      </c>
      <c r="B18" s="19" t="s">
        <v>256</v>
      </c>
      <c r="C18" t="s">
        <v>313</v>
      </c>
      <c r="D18" s="20" t="s">
        <v>817</v>
      </c>
      <c r="E18" t="s">
        <v>313</v>
      </c>
      <c r="F18" s="20" t="s">
        <v>818</v>
      </c>
      <c r="G18" s="19" t="s">
        <v>306</v>
      </c>
      <c r="H18"/>
      <c r="I18"/>
      <c r="J18"/>
      <c r="K18"/>
      <c r="L18"/>
      <c r="M18"/>
      <c r="N18"/>
      <c r="O18"/>
      <c r="P18">
        <v>17</v>
      </c>
      <c r="Q18">
        <v>17</v>
      </c>
      <c r="R18" t="s">
        <v>238</v>
      </c>
      <c r="S18" t="s">
        <v>33</v>
      </c>
      <c r="T18" t="s">
        <v>233</v>
      </c>
      <c r="U18" t="s">
        <v>10</v>
      </c>
      <c r="V18" t="s">
        <v>233</v>
      </c>
      <c r="W18" t="s">
        <v>207</v>
      </c>
      <c r="X18" s="20" t="s">
        <v>346</v>
      </c>
      <c r="Y18" t="s">
        <v>64</v>
      </c>
      <c r="Z18" s="20" t="s">
        <v>64</v>
      </c>
      <c r="AA18" s="20" t="s">
        <v>377</v>
      </c>
      <c r="AB18" s="20" t="s">
        <v>64</v>
      </c>
      <c r="AC18" s="20" t="s">
        <v>64</v>
      </c>
      <c r="AD18" s="20" t="s">
        <v>378</v>
      </c>
      <c r="AE18" t="s">
        <v>265</v>
      </c>
      <c r="AF18" t="s">
        <v>289</v>
      </c>
      <c r="AG18" t="s">
        <v>307</v>
      </c>
      <c r="AH18" t="s">
        <v>217</v>
      </c>
      <c r="AI18" t="s">
        <v>217</v>
      </c>
      <c r="AJ18" t="s">
        <v>217</v>
      </c>
      <c r="AK18" t="s">
        <v>78</v>
      </c>
      <c r="AL18" s="20" t="s">
        <v>649</v>
      </c>
      <c r="AM18" s="20" t="s">
        <v>650</v>
      </c>
      <c r="AN18" s="20" t="s">
        <v>651</v>
      </c>
      <c r="AO18" s="20" t="s">
        <v>652</v>
      </c>
      <c r="AP18" s="20" t="s">
        <v>652</v>
      </c>
      <c r="AQ18" s="20" t="s">
        <v>653</v>
      </c>
      <c r="AR18" s="20" t="s">
        <v>654</v>
      </c>
      <c r="AS18" s="20" t="s">
        <v>655</v>
      </c>
      <c r="AT18" s="20" t="s">
        <v>656</v>
      </c>
      <c r="AU18" s="20">
        <f t="shared" si="0"/>
        <v>30</v>
      </c>
      <c r="AV18" s="21" t="s">
        <v>657</v>
      </c>
      <c r="AW18" s="21" t="s">
        <v>657</v>
      </c>
      <c r="AX18" s="21" t="s">
        <v>658</v>
      </c>
      <c r="AY18" s="21" t="s">
        <v>658</v>
      </c>
      <c r="AZ18" s="21" t="s">
        <v>78</v>
      </c>
      <c r="BA18" s="21" t="s">
        <v>78</v>
      </c>
      <c r="BB18" s="21" t="s">
        <v>659</v>
      </c>
      <c r="BC18" s="20"/>
      <c r="BD18" s="20"/>
      <c r="BE18" s="20"/>
      <c r="BF18" s="21" t="s">
        <v>660</v>
      </c>
      <c r="BG18" s="21" t="s">
        <v>661</v>
      </c>
      <c r="BH18" s="20"/>
      <c r="BI18" s="20"/>
      <c r="BJ18" s="20"/>
      <c r="BK18" s="20"/>
      <c r="BL18" s="20"/>
      <c r="BM18" s="20"/>
      <c r="BN18" s="20"/>
      <c r="BO18" s="20"/>
      <c r="BP18" s="20"/>
      <c r="BQ18" s="20"/>
      <c r="BR18" s="21" t="s">
        <v>662</v>
      </c>
      <c r="BS18" s="21" t="s">
        <v>663</v>
      </c>
      <c r="BT18" s="21" t="s">
        <v>409</v>
      </c>
      <c r="BU18" s="21" t="s">
        <v>429</v>
      </c>
      <c r="BV18" s="20"/>
      <c r="BW18" s="20"/>
      <c r="BX18" s="20"/>
      <c r="BY18" s="20" t="s">
        <v>664</v>
      </c>
      <c r="BZ18" s="20"/>
      <c r="CA18" s="20"/>
      <c r="CB18" s="20"/>
      <c r="CC18" s="20"/>
      <c r="CD18" s="20"/>
      <c r="CE18" s="20"/>
      <c r="CF18"/>
      <c r="CG18" s="1" t="s">
        <v>816</v>
      </c>
    </row>
    <row r="19" spans="1:85" ht="12" customHeight="1" x14ac:dyDescent="0.25">
      <c r="A19" s="19" t="s">
        <v>115</v>
      </c>
      <c r="B19" s="19" t="s">
        <v>256</v>
      </c>
      <c r="C19" t="s">
        <v>313</v>
      </c>
      <c r="D19" s="20" t="s">
        <v>817</v>
      </c>
      <c r="E19" t="s">
        <v>313</v>
      </c>
      <c r="F19" s="20" t="s">
        <v>818</v>
      </c>
      <c r="G19" s="19" t="s">
        <v>306</v>
      </c>
      <c r="H19"/>
      <c r="I19"/>
      <c r="J19"/>
      <c r="K19"/>
      <c r="L19"/>
      <c r="M19"/>
      <c r="N19"/>
      <c r="O19"/>
      <c r="P19">
        <v>18</v>
      </c>
      <c r="Q19">
        <v>18</v>
      </c>
      <c r="R19" t="s">
        <v>177</v>
      </c>
      <c r="S19" t="s">
        <v>285</v>
      </c>
      <c r="T19" t="s">
        <v>211</v>
      </c>
      <c r="U19" t="s">
        <v>8</v>
      </c>
      <c r="V19" t="s">
        <v>242</v>
      </c>
      <c r="W19" t="s">
        <v>217</v>
      </c>
      <c r="X19" s="20" t="s">
        <v>211</v>
      </c>
      <c r="Y19" t="s">
        <v>8</v>
      </c>
      <c r="Z19" s="20" t="s">
        <v>8</v>
      </c>
      <c r="AA19" s="20" t="s">
        <v>211</v>
      </c>
      <c r="AB19" s="20" t="s">
        <v>8</v>
      </c>
      <c r="AC19" s="20" t="s">
        <v>379</v>
      </c>
      <c r="AD19" s="20" t="s">
        <v>380</v>
      </c>
      <c r="AE19" t="s">
        <v>113</v>
      </c>
      <c r="AF19" t="s">
        <v>294</v>
      </c>
      <c r="AG19" t="s">
        <v>219</v>
      </c>
      <c r="AH19" t="s">
        <v>217</v>
      </c>
      <c r="AI19" t="s">
        <v>217</v>
      </c>
      <c r="AJ19" t="s">
        <v>217</v>
      </c>
      <c r="AK19" t="s">
        <v>217</v>
      </c>
      <c r="AL19" s="20" t="s">
        <v>465</v>
      </c>
      <c r="AM19" s="20"/>
      <c r="AN19" s="20"/>
      <c r="AO19" s="20" t="s">
        <v>665</v>
      </c>
      <c r="AP19" s="20" t="s">
        <v>665</v>
      </c>
      <c r="AQ19" s="20" t="s">
        <v>666</v>
      </c>
      <c r="AR19" s="20" t="s">
        <v>667</v>
      </c>
      <c r="AS19" s="20" t="s">
        <v>668</v>
      </c>
      <c r="AT19" s="20" t="s">
        <v>669</v>
      </c>
      <c r="AU19" s="20">
        <f t="shared" si="0"/>
        <v>30</v>
      </c>
      <c r="AV19" s="21" t="s">
        <v>471</v>
      </c>
      <c r="AW19" s="21" t="s">
        <v>471</v>
      </c>
      <c r="AX19" s="21" t="s">
        <v>670</v>
      </c>
      <c r="AY19" s="21" t="s">
        <v>670</v>
      </c>
      <c r="AZ19" s="21" t="s">
        <v>671</v>
      </c>
      <c r="BA19" s="21" t="s">
        <v>671</v>
      </c>
      <c r="BB19" s="21" t="s">
        <v>672</v>
      </c>
      <c r="BC19" s="20"/>
      <c r="BD19" s="20"/>
      <c r="BE19" s="20"/>
      <c r="BF19" s="20"/>
      <c r="BG19" s="20"/>
      <c r="BH19" s="20"/>
      <c r="BI19" s="20"/>
      <c r="BJ19" s="20"/>
      <c r="BK19" s="20"/>
      <c r="BL19" s="20"/>
      <c r="BM19" s="20"/>
      <c r="BN19" s="20"/>
      <c r="BO19" s="21" t="s">
        <v>672</v>
      </c>
      <c r="BP19" s="20"/>
      <c r="BQ19" s="20"/>
      <c r="BR19" s="21" t="s">
        <v>673</v>
      </c>
      <c r="BS19" s="21" t="s">
        <v>673</v>
      </c>
      <c r="BT19" s="21" t="s">
        <v>409</v>
      </c>
      <c r="BU19" s="21" t="s">
        <v>410</v>
      </c>
      <c r="BV19" s="20"/>
      <c r="BW19" s="20"/>
      <c r="BX19" s="20"/>
      <c r="BY19" s="20" t="s">
        <v>674</v>
      </c>
      <c r="BZ19" s="20"/>
      <c r="CA19" s="20"/>
      <c r="CB19" s="20"/>
      <c r="CC19" s="20"/>
      <c r="CD19" s="20"/>
      <c r="CE19" s="20"/>
      <c r="CF19"/>
      <c r="CG19" s="1" t="s">
        <v>816</v>
      </c>
    </row>
    <row r="20" spans="1:85" ht="12" customHeight="1" x14ac:dyDescent="0.25">
      <c r="A20" s="19" t="s">
        <v>115</v>
      </c>
      <c r="B20" s="19" t="s">
        <v>256</v>
      </c>
      <c r="C20" t="s">
        <v>313</v>
      </c>
      <c r="D20" s="20" t="s">
        <v>817</v>
      </c>
      <c r="E20" t="s">
        <v>313</v>
      </c>
      <c r="F20" s="20" t="s">
        <v>818</v>
      </c>
      <c r="G20" s="19" t="s">
        <v>306</v>
      </c>
      <c r="H20"/>
      <c r="I20"/>
      <c r="J20"/>
      <c r="K20"/>
      <c r="L20"/>
      <c r="M20"/>
      <c r="N20"/>
      <c r="O20"/>
      <c r="P20">
        <v>19</v>
      </c>
      <c r="Q20">
        <v>19</v>
      </c>
      <c r="R20" t="s">
        <v>84</v>
      </c>
      <c r="S20" t="s">
        <v>151</v>
      </c>
      <c r="T20" t="s">
        <v>16</v>
      </c>
      <c r="U20" t="s">
        <v>239</v>
      </c>
      <c r="V20" t="s">
        <v>213</v>
      </c>
      <c r="W20" t="s">
        <v>217</v>
      </c>
      <c r="X20" s="20" t="s">
        <v>16</v>
      </c>
      <c r="Y20" t="s">
        <v>239</v>
      </c>
      <c r="Z20" s="20" t="s">
        <v>239</v>
      </c>
      <c r="AA20" s="20" t="s">
        <v>213</v>
      </c>
      <c r="AB20" s="20" t="s">
        <v>239</v>
      </c>
      <c r="AC20" s="20" t="s">
        <v>239</v>
      </c>
      <c r="AD20" s="20" t="s">
        <v>381</v>
      </c>
      <c r="AE20" t="s">
        <v>90</v>
      </c>
      <c r="AF20" t="s">
        <v>324</v>
      </c>
      <c r="AG20" t="s">
        <v>73</v>
      </c>
      <c r="AH20" t="s">
        <v>217</v>
      </c>
      <c r="AI20" t="s">
        <v>117</v>
      </c>
      <c r="AJ20" t="s">
        <v>217</v>
      </c>
      <c r="AK20" t="s">
        <v>217</v>
      </c>
      <c r="AL20" s="20" t="s">
        <v>675</v>
      </c>
      <c r="AM20" s="20"/>
      <c r="AN20" s="20"/>
      <c r="AO20" s="20" t="s">
        <v>676</v>
      </c>
      <c r="AP20" s="20" t="s">
        <v>676</v>
      </c>
      <c r="AQ20" s="20" t="s">
        <v>677</v>
      </c>
      <c r="AR20" s="20" t="s">
        <v>678</v>
      </c>
      <c r="AS20" s="20" t="s">
        <v>679</v>
      </c>
      <c r="AT20" s="20" t="s">
        <v>680</v>
      </c>
      <c r="AU20" s="20">
        <f t="shared" si="0"/>
        <v>27</v>
      </c>
      <c r="AV20" s="21" t="s">
        <v>681</v>
      </c>
      <c r="AW20" s="21" t="s">
        <v>681</v>
      </c>
      <c r="AX20" s="21" t="s">
        <v>682</v>
      </c>
      <c r="AY20" s="21" t="s">
        <v>682</v>
      </c>
      <c r="AZ20" s="21" t="s">
        <v>683</v>
      </c>
      <c r="BA20" s="21" t="s">
        <v>683</v>
      </c>
      <c r="BB20" s="21" t="s">
        <v>684</v>
      </c>
      <c r="BC20" s="21" t="s">
        <v>685</v>
      </c>
      <c r="BD20" s="21" t="s">
        <v>686</v>
      </c>
      <c r="BE20" s="20"/>
      <c r="BF20" s="21" t="s">
        <v>687</v>
      </c>
      <c r="BG20" s="21" t="s">
        <v>688</v>
      </c>
      <c r="BH20" s="20"/>
      <c r="BI20" s="20"/>
      <c r="BJ20" s="20"/>
      <c r="BK20" s="20"/>
      <c r="BL20" s="20"/>
      <c r="BM20" s="21" t="s">
        <v>689</v>
      </c>
      <c r="BN20" s="21" t="s">
        <v>689</v>
      </c>
      <c r="BO20" s="20"/>
      <c r="BP20" s="20"/>
      <c r="BQ20" s="21" t="s">
        <v>477</v>
      </c>
      <c r="BR20" s="21" t="s">
        <v>690</v>
      </c>
      <c r="BS20" s="21" t="s">
        <v>691</v>
      </c>
      <c r="BT20" s="21" t="s">
        <v>462</v>
      </c>
      <c r="BU20" s="21" t="s">
        <v>410</v>
      </c>
      <c r="BV20" s="21" t="s">
        <v>463</v>
      </c>
      <c r="BW20" s="20"/>
      <c r="BX20" s="21" t="s">
        <v>692</v>
      </c>
      <c r="BY20" s="20" t="s">
        <v>693</v>
      </c>
      <c r="BZ20" s="20"/>
      <c r="CA20" s="20"/>
      <c r="CB20" s="20"/>
      <c r="CC20" s="20"/>
      <c r="CD20" s="20"/>
      <c r="CE20" s="20"/>
      <c r="CF20"/>
      <c r="CG20" s="1" t="s">
        <v>816</v>
      </c>
    </row>
    <row r="21" spans="1:85" ht="12" customHeight="1" x14ac:dyDescent="0.25">
      <c r="A21" s="19" t="s">
        <v>115</v>
      </c>
      <c r="B21" s="19" t="s">
        <v>256</v>
      </c>
      <c r="C21" t="s">
        <v>313</v>
      </c>
      <c r="D21" s="20" t="s">
        <v>817</v>
      </c>
      <c r="E21" t="s">
        <v>313</v>
      </c>
      <c r="F21" s="20" t="s">
        <v>818</v>
      </c>
      <c r="G21" s="19" t="s">
        <v>306</v>
      </c>
      <c r="H21"/>
      <c r="I21"/>
      <c r="J21"/>
      <c r="K21"/>
      <c r="L21"/>
      <c r="M21"/>
      <c r="N21"/>
      <c r="O21"/>
      <c r="P21">
        <v>20</v>
      </c>
      <c r="Q21">
        <v>20</v>
      </c>
      <c r="R21" t="s">
        <v>180</v>
      </c>
      <c r="S21" t="s">
        <v>151</v>
      </c>
      <c r="T21" t="s">
        <v>16</v>
      </c>
      <c r="U21" t="s">
        <v>234</v>
      </c>
      <c r="V21" t="s">
        <v>79</v>
      </c>
      <c r="W21" t="s">
        <v>217</v>
      </c>
      <c r="X21" s="20" t="s">
        <v>70</v>
      </c>
      <c r="Y21" t="s">
        <v>278</v>
      </c>
      <c r="Z21" s="20" t="s">
        <v>278</v>
      </c>
      <c r="AA21" s="20" t="s">
        <v>28</v>
      </c>
      <c r="AB21" s="20" t="s">
        <v>278</v>
      </c>
      <c r="AC21" s="20" t="s">
        <v>278</v>
      </c>
      <c r="AD21" s="20" t="s">
        <v>382</v>
      </c>
      <c r="AE21" t="s">
        <v>304</v>
      </c>
      <c r="AF21" t="s">
        <v>29</v>
      </c>
      <c r="AG21" t="s">
        <v>258</v>
      </c>
      <c r="AH21" t="s">
        <v>217</v>
      </c>
      <c r="AI21" t="s">
        <v>94</v>
      </c>
      <c r="AJ21" t="s">
        <v>217</v>
      </c>
      <c r="AK21" t="s">
        <v>217</v>
      </c>
      <c r="AL21" s="20" t="s">
        <v>694</v>
      </c>
      <c r="AM21" s="20"/>
      <c r="AN21" s="20"/>
      <c r="AO21" s="20" t="s">
        <v>695</v>
      </c>
      <c r="AP21" s="20" t="s">
        <v>695</v>
      </c>
      <c r="AQ21" s="20" t="s">
        <v>696</v>
      </c>
      <c r="AR21" s="20" t="s">
        <v>697</v>
      </c>
      <c r="AS21" s="20" t="s">
        <v>698</v>
      </c>
      <c r="AT21" s="20" t="s">
        <v>699</v>
      </c>
      <c r="AU21" s="20">
        <f t="shared" si="0"/>
        <v>30</v>
      </c>
      <c r="AV21" s="21" t="s">
        <v>700</v>
      </c>
      <c r="AW21" s="21" t="s">
        <v>701</v>
      </c>
      <c r="AX21" s="21" t="s">
        <v>402</v>
      </c>
      <c r="AY21" s="20"/>
      <c r="AZ21" s="21" t="s">
        <v>702</v>
      </c>
      <c r="BA21" s="21" t="s">
        <v>702</v>
      </c>
      <c r="BB21" s="21" t="s">
        <v>703</v>
      </c>
      <c r="BC21" s="20"/>
      <c r="BD21" s="20"/>
      <c r="BE21" s="20"/>
      <c r="BF21" s="21" t="s">
        <v>704</v>
      </c>
      <c r="BG21" s="21" t="s">
        <v>705</v>
      </c>
      <c r="BH21" s="20"/>
      <c r="BI21" s="20"/>
      <c r="BJ21" s="21" t="s">
        <v>706</v>
      </c>
      <c r="BK21" s="21" t="s">
        <v>707</v>
      </c>
      <c r="BL21" s="20"/>
      <c r="BM21" s="20"/>
      <c r="BN21" s="20"/>
      <c r="BO21" s="20"/>
      <c r="BP21" s="20"/>
      <c r="BQ21" s="20"/>
      <c r="BR21" s="21" t="s">
        <v>708</v>
      </c>
      <c r="BS21" s="21" t="s">
        <v>709</v>
      </c>
      <c r="BT21" s="21" t="s">
        <v>409</v>
      </c>
      <c r="BU21" s="21" t="s">
        <v>429</v>
      </c>
      <c r="BV21" s="21" t="s">
        <v>463</v>
      </c>
      <c r="BW21" s="20"/>
      <c r="BX21" s="20"/>
      <c r="BY21" s="20" t="s">
        <v>710</v>
      </c>
      <c r="BZ21" s="20"/>
      <c r="CA21" s="20"/>
      <c r="CB21" s="20"/>
      <c r="CC21" s="20"/>
      <c r="CD21" s="20"/>
      <c r="CE21" s="20"/>
      <c r="CF21"/>
      <c r="CG21" s="1" t="s">
        <v>816</v>
      </c>
    </row>
    <row r="22" spans="1:85" ht="12" customHeight="1" x14ac:dyDescent="0.25">
      <c r="A22" s="19" t="s">
        <v>115</v>
      </c>
      <c r="B22" s="19" t="s">
        <v>256</v>
      </c>
      <c r="C22" t="s">
        <v>313</v>
      </c>
      <c r="D22" s="20" t="s">
        <v>817</v>
      </c>
      <c r="E22" t="s">
        <v>313</v>
      </c>
      <c r="F22" s="20" t="s">
        <v>818</v>
      </c>
      <c r="G22" s="19" t="s">
        <v>306</v>
      </c>
      <c r="H22"/>
      <c r="I22"/>
      <c r="J22"/>
      <c r="K22"/>
      <c r="L22"/>
      <c r="M22"/>
      <c r="N22"/>
      <c r="O22"/>
      <c r="P22">
        <v>21</v>
      </c>
      <c r="Q22">
        <v>21</v>
      </c>
      <c r="R22" t="s">
        <v>336</v>
      </c>
      <c r="S22" t="s">
        <v>151</v>
      </c>
      <c r="T22" t="s">
        <v>16</v>
      </c>
      <c r="U22" t="s">
        <v>53</v>
      </c>
      <c r="V22" t="s">
        <v>213</v>
      </c>
      <c r="W22" t="s">
        <v>217</v>
      </c>
      <c r="X22" s="20" t="s">
        <v>16</v>
      </c>
      <c r="Y22" t="s">
        <v>53</v>
      </c>
      <c r="Z22" s="20" t="s">
        <v>53</v>
      </c>
      <c r="AA22" s="20" t="s">
        <v>213</v>
      </c>
      <c r="AB22" s="20" t="s">
        <v>53</v>
      </c>
      <c r="AC22" s="20" t="s">
        <v>53</v>
      </c>
      <c r="AD22" s="20" t="s">
        <v>383</v>
      </c>
      <c r="AE22" t="s">
        <v>130</v>
      </c>
      <c r="AF22" t="s">
        <v>45</v>
      </c>
      <c r="AG22" t="s">
        <v>124</v>
      </c>
      <c r="AH22" t="s">
        <v>217</v>
      </c>
      <c r="AI22" t="s">
        <v>158</v>
      </c>
      <c r="AJ22" t="s">
        <v>217</v>
      </c>
      <c r="AK22" t="s">
        <v>213</v>
      </c>
      <c r="AL22" s="20" t="s">
        <v>711</v>
      </c>
      <c r="AM22" s="20"/>
      <c r="AN22" s="20"/>
      <c r="AO22" s="20" t="s">
        <v>712</v>
      </c>
      <c r="AP22" s="20" t="s">
        <v>712</v>
      </c>
      <c r="AQ22" s="20" t="s">
        <v>713</v>
      </c>
      <c r="AR22" s="20" t="s">
        <v>714</v>
      </c>
      <c r="AS22" s="20" t="s">
        <v>715</v>
      </c>
      <c r="AT22" s="20" t="s">
        <v>716</v>
      </c>
      <c r="AU22" s="20">
        <f t="shared" si="0"/>
        <v>29</v>
      </c>
      <c r="AV22" s="21" t="s">
        <v>717</v>
      </c>
      <c r="AW22" s="21" t="s">
        <v>717</v>
      </c>
      <c r="AX22" s="21" t="s">
        <v>718</v>
      </c>
      <c r="AY22" s="21" t="s">
        <v>718</v>
      </c>
      <c r="AZ22" s="20"/>
      <c r="BA22" s="20"/>
      <c r="BB22" s="21" t="s">
        <v>719</v>
      </c>
      <c r="BC22" s="20"/>
      <c r="BD22" s="20"/>
      <c r="BE22" s="20"/>
      <c r="BF22" s="20"/>
      <c r="BG22" s="20"/>
      <c r="BH22" s="20"/>
      <c r="BI22" s="20"/>
      <c r="BJ22" s="21" t="s">
        <v>720</v>
      </c>
      <c r="BK22" s="21" t="s">
        <v>721</v>
      </c>
      <c r="BL22" s="20"/>
      <c r="BM22" s="20"/>
      <c r="BN22" s="20"/>
      <c r="BO22" s="20"/>
      <c r="BP22" s="20"/>
      <c r="BQ22" s="21" t="s">
        <v>722</v>
      </c>
      <c r="BR22" s="21" t="s">
        <v>723</v>
      </c>
      <c r="BS22" s="21" t="s">
        <v>724</v>
      </c>
      <c r="BT22" s="21" t="s">
        <v>409</v>
      </c>
      <c r="BU22" s="21" t="s">
        <v>410</v>
      </c>
      <c r="BV22" s="21" t="s">
        <v>463</v>
      </c>
      <c r="BW22" s="20"/>
      <c r="BX22" s="21" t="s">
        <v>725</v>
      </c>
      <c r="BY22" s="20" t="s">
        <v>726</v>
      </c>
      <c r="BZ22" s="20"/>
      <c r="CA22" s="20"/>
      <c r="CB22" s="20"/>
      <c r="CC22" s="20"/>
      <c r="CD22" s="20"/>
      <c r="CE22" s="20"/>
      <c r="CF22"/>
      <c r="CG22" s="1" t="s">
        <v>816</v>
      </c>
    </row>
    <row r="23" spans="1:85" ht="12" customHeight="1" x14ac:dyDescent="0.25">
      <c r="A23" s="19" t="s">
        <v>115</v>
      </c>
      <c r="B23" s="19" t="s">
        <v>256</v>
      </c>
      <c r="C23" t="s">
        <v>313</v>
      </c>
      <c r="D23" s="20" t="s">
        <v>817</v>
      </c>
      <c r="E23" t="s">
        <v>313</v>
      </c>
      <c r="F23" s="20" t="s">
        <v>818</v>
      </c>
      <c r="G23" s="19" t="s">
        <v>306</v>
      </c>
      <c r="H23"/>
      <c r="I23"/>
      <c r="J23"/>
      <c r="K23"/>
      <c r="L23"/>
      <c r="M23"/>
      <c r="N23"/>
      <c r="O23"/>
      <c r="P23">
        <v>22</v>
      </c>
      <c r="Q23">
        <v>22</v>
      </c>
      <c r="R23" t="s">
        <v>335</v>
      </c>
      <c r="S23" t="s">
        <v>151</v>
      </c>
      <c r="T23" t="s">
        <v>16</v>
      </c>
      <c r="U23" t="s">
        <v>23</v>
      </c>
      <c r="V23" t="s">
        <v>102</v>
      </c>
      <c r="W23" t="s">
        <v>217</v>
      </c>
      <c r="X23" s="20" t="s">
        <v>345</v>
      </c>
      <c r="Y23" t="s">
        <v>138</v>
      </c>
      <c r="Z23" s="20" t="s">
        <v>138</v>
      </c>
      <c r="AA23" s="20" t="s">
        <v>365</v>
      </c>
      <c r="AB23" s="20" t="s">
        <v>138</v>
      </c>
      <c r="AC23" s="20">
        <v>303054</v>
      </c>
      <c r="AD23" s="20" t="s">
        <v>384</v>
      </c>
      <c r="AE23" t="s">
        <v>146</v>
      </c>
      <c r="AF23" t="s">
        <v>68</v>
      </c>
      <c r="AG23" t="s">
        <v>184</v>
      </c>
      <c r="AH23" t="s">
        <v>184</v>
      </c>
      <c r="AI23" t="s">
        <v>42</v>
      </c>
      <c r="AJ23" t="s">
        <v>82</v>
      </c>
      <c r="AK23" t="s">
        <v>217</v>
      </c>
      <c r="AL23" s="20" t="s">
        <v>524</v>
      </c>
      <c r="AM23" s="20" t="s">
        <v>82</v>
      </c>
      <c r="AN23" s="20" t="s">
        <v>525</v>
      </c>
      <c r="AO23" s="20" t="s">
        <v>727</v>
      </c>
      <c r="AP23" s="20" t="s">
        <v>727</v>
      </c>
      <c r="AQ23" s="20" t="s">
        <v>728</v>
      </c>
      <c r="AR23" s="20" t="s">
        <v>729</v>
      </c>
      <c r="AS23" s="20" t="s">
        <v>730</v>
      </c>
      <c r="AT23" s="20" t="s">
        <v>731</v>
      </c>
      <c r="AU23" s="20">
        <f t="shared" si="0"/>
        <v>29</v>
      </c>
      <c r="AV23" s="21" t="s">
        <v>531</v>
      </c>
      <c r="AW23" s="21" t="s">
        <v>531</v>
      </c>
      <c r="AX23" s="21" t="s">
        <v>532</v>
      </c>
      <c r="AY23" s="21" t="s">
        <v>532</v>
      </c>
      <c r="AZ23" s="21" t="s">
        <v>533</v>
      </c>
      <c r="BA23" s="21" t="s">
        <v>533</v>
      </c>
      <c r="BB23" s="21" t="s">
        <v>534</v>
      </c>
      <c r="BC23" s="20"/>
      <c r="BD23" s="20"/>
      <c r="BE23" s="20"/>
      <c r="BF23" s="21" t="s">
        <v>732</v>
      </c>
      <c r="BG23" s="21" t="s">
        <v>733</v>
      </c>
      <c r="BH23" s="20"/>
      <c r="BI23" s="20"/>
      <c r="BJ23" s="20"/>
      <c r="BK23" s="20"/>
      <c r="BL23" s="20"/>
      <c r="BM23" s="21" t="s">
        <v>537</v>
      </c>
      <c r="BN23" s="21" t="s">
        <v>537</v>
      </c>
      <c r="BO23" s="21" t="s">
        <v>538</v>
      </c>
      <c r="BP23" s="21" t="s">
        <v>538</v>
      </c>
      <c r="BQ23" s="21" t="s">
        <v>539</v>
      </c>
      <c r="BR23" s="21" t="s">
        <v>540</v>
      </c>
      <c r="BS23" s="21" t="s">
        <v>541</v>
      </c>
      <c r="BT23" s="20"/>
      <c r="BU23" s="21" t="s">
        <v>410</v>
      </c>
      <c r="BV23" s="20"/>
      <c r="BW23" s="20"/>
      <c r="BX23" s="20"/>
      <c r="BY23" s="20" t="s">
        <v>734</v>
      </c>
      <c r="BZ23" s="20"/>
      <c r="CA23" s="20"/>
      <c r="CB23" s="20"/>
      <c r="CC23" s="20"/>
      <c r="CD23" s="20"/>
      <c r="CE23" s="20"/>
      <c r="CF23"/>
      <c r="CG23" s="1" t="s">
        <v>816</v>
      </c>
    </row>
    <row r="24" spans="1:85" ht="12" customHeight="1" x14ac:dyDescent="0.25">
      <c r="A24" s="19" t="s">
        <v>115</v>
      </c>
      <c r="B24" s="19" t="s">
        <v>256</v>
      </c>
      <c r="C24" t="s">
        <v>313</v>
      </c>
      <c r="D24" s="20" t="s">
        <v>817</v>
      </c>
      <c r="E24" t="s">
        <v>313</v>
      </c>
      <c r="F24" s="20" t="s">
        <v>818</v>
      </c>
      <c r="G24" s="19" t="s">
        <v>306</v>
      </c>
      <c r="H24"/>
      <c r="I24"/>
      <c r="J24"/>
      <c r="K24"/>
      <c r="L24"/>
      <c r="M24"/>
      <c r="N24"/>
      <c r="O24"/>
      <c r="P24">
        <v>23</v>
      </c>
      <c r="Q24">
        <v>23</v>
      </c>
      <c r="R24" t="s">
        <v>166</v>
      </c>
      <c r="S24" t="s">
        <v>142</v>
      </c>
      <c r="T24" t="s">
        <v>150</v>
      </c>
      <c r="U24" t="s">
        <v>284</v>
      </c>
      <c r="V24" t="s">
        <v>141</v>
      </c>
      <c r="W24" t="s">
        <v>217</v>
      </c>
      <c r="X24" s="20" t="s">
        <v>150</v>
      </c>
      <c r="Y24" t="s">
        <v>284</v>
      </c>
      <c r="Z24" s="20" t="s">
        <v>284</v>
      </c>
      <c r="AA24" s="20" t="s">
        <v>385</v>
      </c>
      <c r="AB24" s="20" t="s">
        <v>284</v>
      </c>
      <c r="AC24" s="20" t="s">
        <v>284</v>
      </c>
      <c r="AD24" s="20" t="s">
        <v>386</v>
      </c>
      <c r="AE24" t="s">
        <v>179</v>
      </c>
      <c r="AF24" t="s">
        <v>334</v>
      </c>
      <c r="AG24" t="s">
        <v>305</v>
      </c>
      <c r="AH24" t="s">
        <v>317</v>
      </c>
      <c r="AI24" t="s">
        <v>246</v>
      </c>
      <c r="AJ24" t="s">
        <v>81</v>
      </c>
      <c r="AK24" t="s">
        <v>47</v>
      </c>
      <c r="AL24" s="20" t="s">
        <v>630</v>
      </c>
      <c r="AM24" s="20" t="s">
        <v>81</v>
      </c>
      <c r="AN24" s="20" t="s">
        <v>631</v>
      </c>
      <c r="AO24" s="20" t="s">
        <v>735</v>
      </c>
      <c r="AP24" s="20" t="s">
        <v>735</v>
      </c>
      <c r="AQ24" s="20" t="s">
        <v>736</v>
      </c>
      <c r="AR24" s="20" t="s">
        <v>737</v>
      </c>
      <c r="AS24" s="20" t="s">
        <v>738</v>
      </c>
      <c r="AT24" s="20" t="s">
        <v>739</v>
      </c>
      <c r="AU24" s="20">
        <f t="shared" si="0"/>
        <v>30</v>
      </c>
      <c r="AV24" s="21" t="s">
        <v>638</v>
      </c>
      <c r="AW24" s="21" t="s">
        <v>638</v>
      </c>
      <c r="AX24" s="21" t="s">
        <v>637</v>
      </c>
      <c r="AY24" s="21" t="s">
        <v>637</v>
      </c>
      <c r="AZ24" s="21" t="s">
        <v>47</v>
      </c>
      <c r="BA24" s="21" t="s">
        <v>47</v>
      </c>
      <c r="BB24" s="21" t="s">
        <v>740</v>
      </c>
      <c r="BC24" s="20"/>
      <c r="BD24" s="20"/>
      <c r="BE24" s="20"/>
      <c r="BF24" s="21" t="s">
        <v>741</v>
      </c>
      <c r="BG24" s="21" t="s">
        <v>742</v>
      </c>
      <c r="BH24" s="21" t="s">
        <v>743</v>
      </c>
      <c r="BI24" s="21" t="s">
        <v>744</v>
      </c>
      <c r="BJ24" s="20"/>
      <c r="BK24" s="20"/>
      <c r="BL24" s="20"/>
      <c r="BM24" s="20"/>
      <c r="BN24" s="20"/>
      <c r="BO24" s="20"/>
      <c r="BP24" s="20"/>
      <c r="BQ24" s="20"/>
      <c r="BR24" s="21" t="s">
        <v>745</v>
      </c>
      <c r="BS24" s="21" t="s">
        <v>746</v>
      </c>
      <c r="BT24" s="21" t="s">
        <v>462</v>
      </c>
      <c r="BU24" s="21" t="s">
        <v>429</v>
      </c>
      <c r="BV24" s="20"/>
      <c r="BW24" s="20"/>
      <c r="BX24" s="20"/>
      <c r="BY24" s="20" t="s">
        <v>747</v>
      </c>
      <c r="BZ24" s="20"/>
      <c r="CA24" s="20"/>
      <c r="CB24" s="20"/>
      <c r="CC24" s="20"/>
      <c r="CD24" s="20"/>
      <c r="CE24" s="20"/>
      <c r="CF24"/>
      <c r="CG24" s="1" t="s">
        <v>816</v>
      </c>
    </row>
    <row r="25" spans="1:85" ht="12" customHeight="1" x14ac:dyDescent="0.25">
      <c r="A25" s="19" t="s">
        <v>115</v>
      </c>
      <c r="B25" s="19" t="s">
        <v>256</v>
      </c>
      <c r="C25" t="s">
        <v>313</v>
      </c>
      <c r="D25" s="20" t="s">
        <v>817</v>
      </c>
      <c r="E25" t="s">
        <v>313</v>
      </c>
      <c r="F25" s="20" t="s">
        <v>818</v>
      </c>
      <c r="G25" s="19" t="s">
        <v>306</v>
      </c>
      <c r="H25"/>
      <c r="I25"/>
      <c r="J25"/>
      <c r="K25"/>
      <c r="L25"/>
      <c r="M25"/>
      <c r="N25"/>
      <c r="O25"/>
      <c r="P25">
        <v>24</v>
      </c>
      <c r="Q25">
        <v>24</v>
      </c>
      <c r="R25" t="s">
        <v>276</v>
      </c>
      <c r="S25" t="s">
        <v>151</v>
      </c>
      <c r="T25" t="s">
        <v>16</v>
      </c>
      <c r="U25" t="s">
        <v>2</v>
      </c>
      <c r="V25" t="s">
        <v>315</v>
      </c>
      <c r="W25" t="s">
        <v>55</v>
      </c>
      <c r="X25" s="20" t="s">
        <v>344</v>
      </c>
      <c r="Y25" t="s">
        <v>65</v>
      </c>
      <c r="Z25" s="20" t="s">
        <v>65</v>
      </c>
      <c r="AA25" s="20" t="s">
        <v>361</v>
      </c>
      <c r="AB25" s="20" t="s">
        <v>65</v>
      </c>
      <c r="AC25" s="20" t="s">
        <v>65</v>
      </c>
      <c r="AD25" s="20" t="s">
        <v>387</v>
      </c>
      <c r="AE25" t="s">
        <v>322</v>
      </c>
      <c r="AF25" t="s">
        <v>34</v>
      </c>
      <c r="AG25" t="s">
        <v>125</v>
      </c>
      <c r="AH25" t="s">
        <v>125</v>
      </c>
      <c r="AI25" t="s">
        <v>314</v>
      </c>
      <c r="AJ25" t="s">
        <v>241</v>
      </c>
      <c r="AK25" t="s">
        <v>4</v>
      </c>
      <c r="AL25" s="20" t="s">
        <v>748</v>
      </c>
      <c r="AM25" s="20" t="s">
        <v>241</v>
      </c>
      <c r="AN25" s="20" t="s">
        <v>749</v>
      </c>
      <c r="AO25" s="20" t="s">
        <v>750</v>
      </c>
      <c r="AP25" s="20" t="s">
        <v>750</v>
      </c>
      <c r="AQ25" s="20" t="s">
        <v>751</v>
      </c>
      <c r="AR25" s="20" t="s">
        <v>752</v>
      </c>
      <c r="AS25" s="20" t="s">
        <v>753</v>
      </c>
      <c r="AT25" s="20" t="s">
        <v>754</v>
      </c>
      <c r="AU25" s="20">
        <f t="shared" si="0"/>
        <v>27</v>
      </c>
      <c r="AV25" s="21" t="s">
        <v>755</v>
      </c>
      <c r="AW25" s="21" t="s">
        <v>755</v>
      </c>
      <c r="AX25" s="21" t="s">
        <v>488</v>
      </c>
      <c r="AY25" s="21" t="s">
        <v>488</v>
      </c>
      <c r="AZ25" s="21" t="s">
        <v>756</v>
      </c>
      <c r="BA25" s="21" t="s">
        <v>756</v>
      </c>
      <c r="BB25" s="21" t="s">
        <v>454</v>
      </c>
      <c r="BC25" s="20"/>
      <c r="BD25" s="20"/>
      <c r="BE25" s="20"/>
      <c r="BF25" s="21" t="s">
        <v>757</v>
      </c>
      <c r="BG25" s="21" t="s">
        <v>758</v>
      </c>
      <c r="BH25" s="20"/>
      <c r="BI25" s="20"/>
      <c r="BJ25" s="20"/>
      <c r="BK25" s="20"/>
      <c r="BL25" s="20"/>
      <c r="BM25" s="21" t="s">
        <v>759</v>
      </c>
      <c r="BN25" s="21" t="s">
        <v>759</v>
      </c>
      <c r="BO25" s="20"/>
      <c r="BP25" s="20"/>
      <c r="BQ25" s="21" t="s">
        <v>459</v>
      </c>
      <c r="BR25" s="21" t="s">
        <v>760</v>
      </c>
      <c r="BS25" s="21" t="s">
        <v>761</v>
      </c>
      <c r="BT25" s="21" t="s">
        <v>409</v>
      </c>
      <c r="BU25" s="21" t="s">
        <v>429</v>
      </c>
      <c r="BV25" s="21" t="s">
        <v>463</v>
      </c>
      <c r="BW25" s="20"/>
      <c r="BX25" s="20"/>
      <c r="BY25" s="20" t="s">
        <v>762</v>
      </c>
      <c r="BZ25" s="20"/>
      <c r="CA25" s="20"/>
      <c r="CB25" s="20"/>
      <c r="CC25" s="20"/>
      <c r="CD25" s="20"/>
      <c r="CE25" s="20"/>
      <c r="CF25"/>
      <c r="CG25" s="1" t="s">
        <v>816</v>
      </c>
    </row>
    <row r="26" spans="1:85" ht="12" customHeight="1" x14ac:dyDescent="0.25">
      <c r="A26" s="19" t="s">
        <v>115</v>
      </c>
      <c r="B26" s="19" t="s">
        <v>256</v>
      </c>
      <c r="C26" t="s">
        <v>313</v>
      </c>
      <c r="D26" s="20" t="s">
        <v>817</v>
      </c>
      <c r="E26" t="s">
        <v>313</v>
      </c>
      <c r="F26" s="20" t="s">
        <v>818</v>
      </c>
      <c r="G26" s="19" t="s">
        <v>306</v>
      </c>
      <c r="H26"/>
      <c r="I26"/>
      <c r="J26"/>
      <c r="K26"/>
      <c r="L26"/>
      <c r="M26"/>
      <c r="N26"/>
      <c r="O26"/>
      <c r="P26">
        <v>25</v>
      </c>
      <c r="Q26">
        <v>25</v>
      </c>
      <c r="R26" t="s">
        <v>26</v>
      </c>
      <c r="S26" t="s">
        <v>202</v>
      </c>
      <c r="T26" t="s">
        <v>204</v>
      </c>
      <c r="U26" t="s">
        <v>292</v>
      </c>
      <c r="V26" t="s">
        <v>204</v>
      </c>
      <c r="W26" t="s">
        <v>268</v>
      </c>
      <c r="X26" s="20" t="s">
        <v>204</v>
      </c>
      <c r="Y26" t="s">
        <v>292</v>
      </c>
      <c r="Z26" s="20" t="s">
        <v>292</v>
      </c>
      <c r="AA26" s="20" t="s">
        <v>357</v>
      </c>
      <c r="AB26" s="20" t="s">
        <v>292</v>
      </c>
      <c r="AC26" s="20" t="s">
        <v>388</v>
      </c>
      <c r="AD26" s="20" t="s">
        <v>389</v>
      </c>
      <c r="AE26" t="s">
        <v>86</v>
      </c>
      <c r="AF26" t="s">
        <v>135</v>
      </c>
      <c r="AG26" t="s">
        <v>326</v>
      </c>
      <c r="AH26" t="s">
        <v>326</v>
      </c>
      <c r="AI26" t="s">
        <v>302</v>
      </c>
      <c r="AJ26" t="s">
        <v>217</v>
      </c>
      <c r="AK26" t="s">
        <v>203</v>
      </c>
      <c r="AL26" s="20" t="s">
        <v>465</v>
      </c>
      <c r="AM26" s="20"/>
      <c r="AN26" s="20"/>
      <c r="AO26" s="20" t="s">
        <v>763</v>
      </c>
      <c r="AP26" s="20" t="s">
        <v>763</v>
      </c>
      <c r="AQ26" s="20" t="s">
        <v>764</v>
      </c>
      <c r="AR26" s="20" t="s">
        <v>765</v>
      </c>
      <c r="AS26" s="20" t="s">
        <v>766</v>
      </c>
      <c r="AT26" s="20" t="s">
        <v>767</v>
      </c>
      <c r="AU26" s="20">
        <f t="shared" si="0"/>
        <v>28</v>
      </c>
      <c r="AV26" s="21" t="s">
        <v>471</v>
      </c>
      <c r="AW26" s="21" t="s">
        <v>471</v>
      </c>
      <c r="AX26" s="21" t="s">
        <v>453</v>
      </c>
      <c r="AY26" s="21" t="s">
        <v>453</v>
      </c>
      <c r="AZ26" s="21" t="s">
        <v>203</v>
      </c>
      <c r="BA26" s="21" t="s">
        <v>203</v>
      </c>
      <c r="BB26" s="21" t="s">
        <v>472</v>
      </c>
      <c r="BC26" s="20"/>
      <c r="BD26" s="20"/>
      <c r="BE26" s="20"/>
      <c r="BF26" s="21" t="s">
        <v>475</v>
      </c>
      <c r="BG26" s="21" t="s">
        <v>476</v>
      </c>
      <c r="BH26" s="21" t="s">
        <v>768</v>
      </c>
      <c r="BI26" s="21" t="s">
        <v>769</v>
      </c>
      <c r="BJ26" s="20"/>
      <c r="BK26" s="20"/>
      <c r="BL26" s="20"/>
      <c r="BM26" s="20"/>
      <c r="BN26" s="20"/>
      <c r="BO26" s="20"/>
      <c r="BP26" s="20"/>
      <c r="BQ26" s="21" t="s">
        <v>770</v>
      </c>
      <c r="BR26" s="21" t="s">
        <v>478</v>
      </c>
      <c r="BS26" s="21" t="s">
        <v>479</v>
      </c>
      <c r="BT26" s="21" t="s">
        <v>409</v>
      </c>
      <c r="BU26" s="21" t="s">
        <v>410</v>
      </c>
      <c r="BV26" s="20"/>
      <c r="BW26" s="20"/>
      <c r="BX26" s="20"/>
      <c r="BY26" s="20" t="s">
        <v>771</v>
      </c>
      <c r="BZ26" s="20"/>
      <c r="CA26" s="20"/>
      <c r="CB26" s="20"/>
      <c r="CC26" s="20"/>
      <c r="CD26" s="20"/>
      <c r="CE26" s="20"/>
      <c r="CF26"/>
      <c r="CG26" s="1" t="s">
        <v>816</v>
      </c>
    </row>
    <row r="27" spans="1:85" ht="12" customHeight="1" x14ac:dyDescent="0.25">
      <c r="A27" s="19" t="s">
        <v>115</v>
      </c>
      <c r="B27" s="19" t="s">
        <v>256</v>
      </c>
      <c r="C27" t="s">
        <v>313</v>
      </c>
      <c r="D27" s="20" t="s">
        <v>817</v>
      </c>
      <c r="E27" t="s">
        <v>313</v>
      </c>
      <c r="F27" s="20" t="s">
        <v>818</v>
      </c>
      <c r="G27" s="19" t="s">
        <v>306</v>
      </c>
      <c r="H27"/>
      <c r="I27"/>
      <c r="J27"/>
      <c r="K27"/>
      <c r="L27"/>
      <c r="M27"/>
      <c r="N27"/>
      <c r="O27"/>
      <c r="P27">
        <v>26</v>
      </c>
      <c r="Q27">
        <v>26</v>
      </c>
      <c r="R27" t="s">
        <v>187</v>
      </c>
      <c r="S27" t="s">
        <v>151</v>
      </c>
      <c r="T27" t="s">
        <v>16</v>
      </c>
      <c r="U27" t="s">
        <v>131</v>
      </c>
      <c r="V27" t="s">
        <v>40</v>
      </c>
      <c r="W27" t="s">
        <v>293</v>
      </c>
      <c r="X27" s="20" t="s">
        <v>347</v>
      </c>
      <c r="Y27" t="s">
        <v>220</v>
      </c>
      <c r="Z27" s="20" t="s">
        <v>220</v>
      </c>
      <c r="AA27" s="20" t="s">
        <v>390</v>
      </c>
      <c r="AB27" s="20" t="s">
        <v>220</v>
      </c>
      <c r="AC27" s="20" t="s">
        <v>220</v>
      </c>
      <c r="AD27" s="20" t="s">
        <v>391</v>
      </c>
      <c r="AE27" t="s">
        <v>240</v>
      </c>
      <c r="AF27" t="s">
        <v>140</v>
      </c>
      <c r="AG27" t="s">
        <v>330</v>
      </c>
      <c r="AH27" t="s">
        <v>330</v>
      </c>
      <c r="AI27" t="s">
        <v>259</v>
      </c>
      <c r="AJ27" t="s">
        <v>106</v>
      </c>
      <c r="AK27" t="s">
        <v>43</v>
      </c>
      <c r="AL27" s="20" t="s">
        <v>772</v>
      </c>
      <c r="AM27" s="20"/>
      <c r="AN27" s="20"/>
      <c r="AO27" s="20" t="s">
        <v>773</v>
      </c>
      <c r="AP27" s="20" t="s">
        <v>773</v>
      </c>
      <c r="AQ27" s="20" t="s">
        <v>774</v>
      </c>
      <c r="AR27" s="20" t="s">
        <v>775</v>
      </c>
      <c r="AS27" s="20" t="s">
        <v>776</v>
      </c>
      <c r="AT27" s="20" t="s">
        <v>777</v>
      </c>
      <c r="AU27" s="20">
        <f t="shared" si="0"/>
        <v>28</v>
      </c>
      <c r="AV27" s="21" t="s">
        <v>778</v>
      </c>
      <c r="AW27" s="21" t="s">
        <v>778</v>
      </c>
      <c r="AX27" s="21" t="s">
        <v>779</v>
      </c>
      <c r="AY27" s="21" t="s">
        <v>779</v>
      </c>
      <c r="AZ27" s="21" t="s">
        <v>780</v>
      </c>
      <c r="BA27" s="21" t="s">
        <v>780</v>
      </c>
      <c r="BB27" s="21" t="s">
        <v>781</v>
      </c>
      <c r="BC27" s="21" t="s">
        <v>782</v>
      </c>
      <c r="BD27" s="20">
        <v>5</v>
      </c>
      <c r="BE27" s="21" t="s">
        <v>783</v>
      </c>
      <c r="BF27" s="21" t="s">
        <v>784</v>
      </c>
      <c r="BG27" s="21" t="s">
        <v>785</v>
      </c>
      <c r="BH27" s="20"/>
      <c r="BI27" s="20"/>
      <c r="BJ27" s="20"/>
      <c r="BK27" s="20"/>
      <c r="BL27" s="20"/>
      <c r="BM27" s="21" t="s">
        <v>786</v>
      </c>
      <c r="BN27" s="21" t="s">
        <v>786</v>
      </c>
      <c r="BO27" s="20"/>
      <c r="BP27" s="20"/>
      <c r="BQ27" s="21" t="s">
        <v>787</v>
      </c>
      <c r="BR27" s="21" t="s">
        <v>788</v>
      </c>
      <c r="BS27" s="21" t="s">
        <v>789</v>
      </c>
      <c r="BT27" s="21" t="s">
        <v>462</v>
      </c>
      <c r="BU27" s="21" t="s">
        <v>410</v>
      </c>
      <c r="BV27" s="21" t="s">
        <v>463</v>
      </c>
      <c r="BW27" s="20"/>
      <c r="BX27" s="20"/>
      <c r="BY27" s="20" t="s">
        <v>790</v>
      </c>
      <c r="BZ27" s="20"/>
      <c r="CA27" s="20"/>
      <c r="CB27" s="20"/>
      <c r="CC27" s="20"/>
      <c r="CD27" s="20"/>
      <c r="CE27" s="20"/>
      <c r="CF27"/>
      <c r="CG27" s="1" t="s">
        <v>816</v>
      </c>
    </row>
    <row r="28" spans="1:85" ht="12" customHeight="1" x14ac:dyDescent="0.25">
      <c r="A28" s="19" t="s">
        <v>115</v>
      </c>
      <c r="B28" s="19" t="s">
        <v>256</v>
      </c>
      <c r="C28" t="s">
        <v>313</v>
      </c>
      <c r="D28" s="20" t="s">
        <v>817</v>
      </c>
      <c r="E28" t="s">
        <v>313</v>
      </c>
      <c r="F28" s="20" t="s">
        <v>818</v>
      </c>
      <c r="G28" s="19" t="s">
        <v>306</v>
      </c>
      <c r="H28"/>
      <c r="I28"/>
      <c r="J28"/>
      <c r="K28"/>
      <c r="L28"/>
      <c r="M28"/>
      <c r="N28"/>
      <c r="O28"/>
      <c r="P28">
        <v>27</v>
      </c>
      <c r="Q28">
        <v>27</v>
      </c>
      <c r="R28" t="s">
        <v>175</v>
      </c>
      <c r="S28" t="s">
        <v>151</v>
      </c>
      <c r="T28" t="s">
        <v>16</v>
      </c>
      <c r="U28" t="s">
        <v>69</v>
      </c>
      <c r="V28" t="s">
        <v>1</v>
      </c>
      <c r="W28" t="s">
        <v>217</v>
      </c>
      <c r="X28" s="20" t="s">
        <v>348</v>
      </c>
      <c r="Y28" t="s">
        <v>105</v>
      </c>
      <c r="Z28" s="20" t="s">
        <v>105</v>
      </c>
      <c r="AA28" s="20" t="s">
        <v>1</v>
      </c>
      <c r="AB28" s="20" t="s">
        <v>105</v>
      </c>
      <c r="AC28" s="20" t="s">
        <v>105</v>
      </c>
      <c r="AD28" s="20" t="s">
        <v>392</v>
      </c>
      <c r="AE28" t="s">
        <v>74</v>
      </c>
      <c r="AF28" t="s">
        <v>247</v>
      </c>
      <c r="AG28" t="s">
        <v>198</v>
      </c>
      <c r="AH28" t="s">
        <v>217</v>
      </c>
      <c r="AI28" t="s">
        <v>217</v>
      </c>
      <c r="AJ28" t="s">
        <v>217</v>
      </c>
      <c r="AK28" t="s">
        <v>217</v>
      </c>
      <c r="AL28" s="20" t="s">
        <v>396</v>
      </c>
      <c r="AM28" s="20"/>
      <c r="AN28" s="20"/>
      <c r="AO28" s="20" t="s">
        <v>791</v>
      </c>
      <c r="AP28" s="20" t="s">
        <v>791</v>
      </c>
      <c r="AQ28" s="20" t="s">
        <v>792</v>
      </c>
      <c r="AR28" s="20" t="s">
        <v>793</v>
      </c>
      <c r="AS28" s="20" t="s">
        <v>794</v>
      </c>
      <c r="AT28" s="20" t="s">
        <v>795</v>
      </c>
      <c r="AU28" s="20">
        <f t="shared" si="0"/>
        <v>28</v>
      </c>
      <c r="AV28" s="21" t="s">
        <v>700</v>
      </c>
      <c r="AW28" s="21" t="s">
        <v>796</v>
      </c>
      <c r="AX28" s="21" t="s">
        <v>403</v>
      </c>
      <c r="AY28" s="20"/>
      <c r="AZ28" s="20"/>
      <c r="BA28" s="20"/>
      <c r="BB28" s="21" t="s">
        <v>797</v>
      </c>
      <c r="BC28" s="21" t="s">
        <v>798</v>
      </c>
      <c r="BD28" s="21" t="s">
        <v>798</v>
      </c>
      <c r="BE28" s="20"/>
      <c r="BF28" s="21" t="s">
        <v>799</v>
      </c>
      <c r="BG28" s="21" t="s">
        <v>800</v>
      </c>
      <c r="BH28" s="20"/>
      <c r="BI28" s="20"/>
      <c r="BJ28" s="20"/>
      <c r="BK28" s="20"/>
      <c r="BL28" s="20"/>
      <c r="BM28" s="20"/>
      <c r="BN28" s="20"/>
      <c r="BO28" s="20"/>
      <c r="BP28" s="20"/>
      <c r="BQ28" s="20"/>
      <c r="BR28" s="21" t="s">
        <v>801</v>
      </c>
      <c r="BS28" s="21" t="s">
        <v>802</v>
      </c>
      <c r="BT28" s="20"/>
      <c r="BU28" s="20"/>
      <c r="BV28" s="21" t="s">
        <v>463</v>
      </c>
      <c r="BW28" s="20"/>
      <c r="BX28" s="21" t="s">
        <v>803</v>
      </c>
      <c r="BY28" s="20" t="s">
        <v>804</v>
      </c>
      <c r="BZ28" s="20"/>
      <c r="CA28" s="20"/>
      <c r="CB28" s="20"/>
      <c r="CC28" s="20"/>
      <c r="CD28" s="20"/>
      <c r="CE28" s="20"/>
      <c r="CF28"/>
      <c r="CG28" s="1" t="s">
        <v>816</v>
      </c>
    </row>
    <row r="29" spans="1:85" ht="12" customHeight="1" x14ac:dyDescent="0.25">
      <c r="A29" s="19" t="s">
        <v>115</v>
      </c>
      <c r="B29" s="19" t="s">
        <v>256</v>
      </c>
      <c r="C29" t="s">
        <v>313</v>
      </c>
      <c r="D29" s="20" t="s">
        <v>817</v>
      </c>
      <c r="E29" t="s">
        <v>313</v>
      </c>
      <c r="F29" s="20" t="s">
        <v>818</v>
      </c>
      <c r="G29" s="19" t="s">
        <v>306</v>
      </c>
      <c r="H29"/>
      <c r="I29"/>
      <c r="J29"/>
      <c r="K29"/>
      <c r="L29"/>
      <c r="M29"/>
      <c r="N29"/>
      <c r="O29"/>
      <c r="P29">
        <v>28</v>
      </c>
      <c r="Q29">
        <v>28</v>
      </c>
      <c r="R29" t="s">
        <v>229</v>
      </c>
      <c r="S29" t="s">
        <v>151</v>
      </c>
      <c r="T29" t="s">
        <v>16</v>
      </c>
      <c r="U29" t="s">
        <v>22</v>
      </c>
      <c r="V29" t="s">
        <v>213</v>
      </c>
      <c r="W29" t="s">
        <v>217</v>
      </c>
      <c r="X29" s="21" t="s">
        <v>349</v>
      </c>
      <c r="Y29" t="s">
        <v>206</v>
      </c>
      <c r="Z29" s="20" t="s">
        <v>206</v>
      </c>
      <c r="AA29" s="21" t="s">
        <v>393</v>
      </c>
      <c r="AB29" s="20" t="s">
        <v>206</v>
      </c>
      <c r="AC29" s="20" t="s">
        <v>394</v>
      </c>
      <c r="AD29" s="20" t="s">
        <v>395</v>
      </c>
      <c r="AE29" t="s">
        <v>208</v>
      </c>
      <c r="AF29" t="s">
        <v>263</v>
      </c>
      <c r="AG29" t="s">
        <v>217</v>
      </c>
      <c r="AH29" t="s">
        <v>217</v>
      </c>
      <c r="AI29" t="s">
        <v>217</v>
      </c>
      <c r="AJ29" t="s">
        <v>217</v>
      </c>
      <c r="AK29" t="s">
        <v>217</v>
      </c>
      <c r="AL29" s="20" t="s">
        <v>805</v>
      </c>
      <c r="AM29" s="20"/>
      <c r="AN29" s="20"/>
      <c r="AO29" s="20" t="s">
        <v>806</v>
      </c>
      <c r="AP29" s="20" t="s">
        <v>806</v>
      </c>
      <c r="AQ29" s="20" t="s">
        <v>807</v>
      </c>
      <c r="AR29" s="20" t="s">
        <v>808</v>
      </c>
      <c r="AS29" s="20" t="s">
        <v>809</v>
      </c>
      <c r="AT29" s="20" t="s">
        <v>810</v>
      </c>
      <c r="AU29" s="20">
        <f t="shared" si="0"/>
        <v>30</v>
      </c>
      <c r="AV29" s="21" t="s">
        <v>811</v>
      </c>
      <c r="AW29" s="21" t="s">
        <v>811</v>
      </c>
      <c r="AX29" s="21" t="s">
        <v>812</v>
      </c>
      <c r="AY29" s="21" t="s">
        <v>812</v>
      </c>
      <c r="AZ29" s="20"/>
      <c r="BA29" s="20"/>
      <c r="BB29" s="21" t="s">
        <v>813</v>
      </c>
      <c r="BC29" s="20"/>
      <c r="BD29" s="20"/>
      <c r="BE29" s="20"/>
      <c r="BF29" s="20"/>
      <c r="BG29" s="20"/>
      <c r="BH29" s="20"/>
      <c r="BI29" s="20"/>
      <c r="BJ29" s="20"/>
      <c r="BK29" s="20"/>
      <c r="BL29" s="20"/>
      <c r="BM29" s="21" t="s">
        <v>814</v>
      </c>
      <c r="BN29" s="21" t="s">
        <v>814</v>
      </c>
      <c r="BO29" s="20"/>
      <c r="BP29" s="20"/>
      <c r="BQ29" s="21" t="s">
        <v>459</v>
      </c>
      <c r="BR29" s="21" t="s">
        <v>813</v>
      </c>
      <c r="BS29" s="20"/>
      <c r="BT29" s="21" t="s">
        <v>462</v>
      </c>
      <c r="BU29" s="21" t="s">
        <v>410</v>
      </c>
      <c r="BV29" s="21" t="s">
        <v>463</v>
      </c>
      <c r="BW29" s="20"/>
      <c r="BX29" s="20"/>
      <c r="BY29" s="20" t="s">
        <v>815</v>
      </c>
      <c r="BZ29" s="20"/>
      <c r="CA29" s="20"/>
      <c r="CB29" s="20"/>
      <c r="CC29" s="20"/>
      <c r="CD29" s="20"/>
      <c r="CE29" s="20"/>
      <c r="CF29"/>
      <c r="CG29" s="1" t="s">
        <v>816</v>
      </c>
    </row>
  </sheetData>
  <sortState ref="A2:CH29">
    <sortCondition ref="P2:P29"/>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2023-07-14T12:21:41Z</dcterms:modified>
</cp:coreProperties>
</file>