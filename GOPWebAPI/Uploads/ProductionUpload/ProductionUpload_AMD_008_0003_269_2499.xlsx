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0601CDD6-2606-4ACF-A3E4-DA1BCEDE8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<sst xmlns="http://schemas.openxmlformats.org/spreadsheetml/2006/main" count="280" uniqueCount="96">
  <si>
    <t>HEALIN 7.5% SCRUB 500ML</t>
  </si>
  <si>
    <t>SYQ</t>
  </si>
  <si>
    <t>Production User</t>
  </si>
  <si>
    <t>Activities</t>
  </si>
  <si>
    <t>Classification</t>
  </si>
  <si>
    <t>YES</t>
  </si>
  <si>
    <t>TA* 60-4.8 SU RELOAD STAPLER TTA6048S MEDTRONIC</t>
  </si>
  <si>
    <t>P</t>
  </si>
  <si>
    <t>PRODUCT CREATED TIM</t>
  </si>
  <si>
    <t>RESPONSIBLE PERSON</t>
  </si>
  <si>
    <t>MIMS Hospital Kannur- Pharmacy OP IO, MIMS Hospital Kannur- Pharmacy IP IO</t>
  </si>
  <si>
    <t>REQUEST DATE</t>
  </si>
  <si>
    <t>UNIT</t>
  </si>
  <si>
    <t>PATIENT PLATE ELECTRODE RETURN ADULT # E7507 POLYHESIVE II FOR VALLEYLAB CAUTERY</t>
  </si>
  <si>
    <t>LOCKING SCREW SATR DRIVE 5MM X 26MM.-J J 04.005.516-SYNTHES</t>
  </si>
  <si>
    <t>REMARKS IF ISSUES MARK AS "E"</t>
  </si>
  <si>
    <t>M</t>
  </si>
  <si>
    <t>Aster Prime Hospital IP, Aster Prime Hospital OP</t>
  </si>
  <si>
    <t>Lenangio 5mg Capsule</t>
  </si>
  <si>
    <t>SLNO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</si>
  <si>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</si>
  <si>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</si>
  <si>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</si>
  <si>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</si>
  <si>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</si>
  <si>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</si>
  <si>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COMBIHALE FB 200 MG REDICAPS</t>
  </si>
  <si>
    <t>NO</t>
  </si>
  <si>
    <t>PROCESSED CATEGORY</t>
  </si>
  <si>
    <t>REQUEST TIME</t>
  </si>
  <si>
    <t>ICOLYTE P 500ML INFUSION</t>
  </si>
  <si>
    <t>EXPERT FEM NAIL 9MM L340.-J J 04.013.348.-SYNTHES</t>
  </si>
  <si>
    <t>Status</t>
  </si>
  <si>
    <t>CMI Hospital IP, CMI Hospital OP, Whitefield Hospital IP, Whitefield Hospital OP, RV Hospital IP, RV Hospital OP</t>
  </si>
  <si>
    <t>TENS NAIL 2MM - T374A20 – HARDIK</t>
  </si>
  <si>
    <t>LOCKING BOLT 4.9 x 56MM – 3003.56 – YOGESWAR</t>
  </si>
  <si>
    <t>DIAPRIDE - M1 - TABLETS</t>
  </si>
  <si>
    <t>COMBIHALE FB 400 MG REDICAPS</t>
  </si>
  <si>
    <t>Aster Mother OP</t>
  </si>
  <si>
    <t>GIVEN ITEM NAME</t>
  </si>
  <si>
    <t>PROCESSED Y/N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</si>
  <si>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</si>
  <si>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COMMENTS</t>
  </si>
  <si>
    <t>MIMS Hospital Calicut- Pharmacy OP, MIMS Hospital Calicut- Pharmacy IP</t>
  </si>
  <si>
    <t>LOCKING BOLT 4.9 x 48MM – 3003.48 – YOGESWAR</t>
  </si>
  <si>
    <t>HEALIN 5% SOLUTION 500ML</t>
  </si>
  <si>
    <t>4.0MM CANULATED SCREW SHOFT THREAD 36MM - T306.36 - HARDIK</t>
  </si>
  <si>
    <t>FINAL PRODUCT CREATED ITEM NAME</t>
  </si>
  <si>
    <t>Production Comments</t>
  </si>
  <si>
    <t>CONSIGNMENT</t>
  </si>
  <si>
    <t>424.641 LCP 4.5/5 NARROW 14HO L260 TI</t>
  </si>
  <si>
    <t xml:space="preserve">TAT </t>
  </si>
  <si>
    <t>VITDEE 800 VIT D3 DROPS 30ML</t>
  </si>
  <si>
    <t>NEW</t>
  </si>
  <si>
    <t>C</t>
  </si>
  <si>
    <t>Direct / Prostheses And Implants / Orthopedic Trauma Implants / Intramedullary Nail Or Rod</t>
  </si>
  <si>
    <t>SNEHAJA</t>
  </si>
  <si>
    <t>Y</t>
  </si>
  <si>
    <t>TENS NAIL 2MM T374A20 -HARDIK</t>
  </si>
  <si>
    <t>3-D-AR3-XX-CI14-XX09-00132</t>
  </si>
  <si>
    <t>Direct / Prostheses And Implants / Orthopedic Trauma Implants / Intramedullary Nail Locking Bolt</t>
  </si>
  <si>
    <t>BOLT 4.9MM X 48MM LOCKING 3003.48 -YOGESWAR</t>
  </si>
  <si>
    <t>3-D-AR2-XX-GH82-XX09-00052</t>
  </si>
  <si>
    <t>BOLT 4.9MM X 56MM LOCKING 3003.56 -YOGESWAR</t>
  </si>
  <si>
    <t>3-D-AR2-XX-GH82-XX09-00053</t>
  </si>
  <si>
    <t>MODIFY-REJECTED</t>
  </si>
  <si>
    <t>Direct / Medical Consumables / Medical Consumables Miscellaneous / Sanitizer and Disinfectant / Disinfectant liquid</t>
  </si>
  <si>
    <t>MODIFY</t>
  </si>
  <si>
    <t>p</t>
  </si>
  <si>
    <t>VITAMIN D3 DROPS 800IU/ML 30ML</t>
  </si>
  <si>
    <t>Direct / Pharmaceutical Drugs / Respiratory System / Antiasthmatic &amp; Copd Preparations / BUDESONIDE +FORMOTEROL</t>
  </si>
  <si>
    <t>COMBIHALE FB 400 REDICAPS</t>
  </si>
  <si>
    <t>3-A-CH55-AO-DG83-CK32-X-00001</t>
  </si>
  <si>
    <t>COMBIHALE FB 200 REDICAPS</t>
  </si>
  <si>
    <t>3-A-CH55-AO-DG83-AZ30-X-00001</t>
  </si>
  <si>
    <t>Direct / Pharmaceutical Drugs / Intravenous &amp; Other Sterile Solutions / Intravenous &amp; Other Sterile Solutions / DEXTROSE + SODIUM ACETATE + POTASSIUM CHLORIDE + MAGNESIUM CHLORIDE + DIPOT HYDROGEN PHOSPHATE</t>
  </si>
  <si>
    <t>3-A-AW81-DD-CR08-BS70-X-00001</t>
  </si>
  <si>
    <t>Direct.Pharmaceutical Drugs.Endocrine &amp; Metabolic System.Antidiabetic Agents.GLIMEPIRIDE + METFORMIN HCL</t>
  </si>
  <si>
    <t>DIAPRIDE M 1MG/500MG TABLET</t>
  </si>
  <si>
    <t>3-A-BF27-HW-DP25-AU76-X-00001</t>
  </si>
  <si>
    <t>DUPLICATE REQUEST</t>
  </si>
  <si>
    <t>Direct / Prostheses And Implants / Orthopedic Trauma Implants / Bone Screw</t>
  </si>
  <si>
    <t>SCREW 4.0MM X 36MM CANULATED SHORT THREAD T306.36 -HARDIK</t>
  </si>
  <si>
    <t>3-D-AQ8-XX-CI14-XX09-00558</t>
  </si>
  <si>
    <t>04.013.348 EXPERT RETROGRADE L9*340</t>
  </si>
  <si>
    <t>3-D-AR3-XX-BM24-XX09-00016</t>
  </si>
  <si>
    <t>LOCKING SCREW 5MMX26MM (TAN) REF.04.005.516-SYNTHES</t>
  </si>
  <si>
    <t>Direct / Pharmaceutical Drugs / Oncology / Immunological Chemotherapy / LENALIDOMIDE</t>
  </si>
  <si>
    <t>LENANGIO 5MG CAPSULE</t>
  </si>
  <si>
    <t>3-A-BK81-AO-BP17-BV20-X-00001</t>
  </si>
  <si>
    <t>Direct / Medical Consumables / Electrodes / Electrodes / Electrodes, Other</t>
  </si>
  <si>
    <t>Direct / Prostheses And Implants / Orthopedic Trauma Implants / Bone Plate</t>
  </si>
  <si>
    <t>PLATE 4.5MM X 5MM X 260MM 14 HOLES TI NARROW LCP 424.641 -JOHNSON &amp; JOHNSON</t>
  </si>
  <si>
    <t>3-D-AQ7-XX-CT05-XX09-00368</t>
  </si>
  <si>
    <t>Direct / Medical &amp; Surgical Instruments / Medical Tissue Closure And Related Products / Stapler and Accessories / Stapler and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</si>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</sst>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20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0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/>
    <xf numFmtId="0" fontId="0" fillId="0" borderId="1" xfId="0" applyAlignment="1">
      <alignment horizontal="center"/>
    </xf>
    <xf numFmtId="14" fontId="10" fillId="0" borderId="1" xfId="0" applyNumberFormat="1" applyFont="1"/>
    <xf numFmtId="20" fontId="10" fillId="0" borderId="1" xfId="0" applyNumberFormat="1" applyFont="1"/>
    <xf numFmtId="0" fontId="11" fillId="0" borderId="1" xfId="0" applyFont="1"/>
    <xf numFmtId="20" fontId="0" fillId="0" borderId="1" xfId="0" applyNumberFormat="1" applyAlignment="1">
      <alignment horizontal="center"/>
    </xf>
    <xf numFmtId="14" fontId="0" fillId="0" borderId="1" xfId="0" applyNumberFormat="1" applyAlignment="1">
      <alignment horizontal="center"/>
    </xf>
    <xf numFmtId="0" fontId="6" fillId="0" borderId="1" xfId="0" applyFont="1" applyAlignment="1">
      <alignment horizontal="left"/>
    </xf>
    <xf numFmtId="0" fontId="0" fillId="0" borderId="2" xfId="0" applyBorder="1"/>
    <xf numFmtId="0" fontId="1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>
      <selection activeCell="W2" sqref="W2:W1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5.6640625" style="1" customWidth="1"/>
    <col min="9" max="9" width="73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19</v>
      </c>
      <c r="B1" s="2" t="s">
        <v>2</v>
      </c>
      <c r="C1" s="2" t="s">
        <v>3</v>
      </c>
      <c r="D1" s="3" t="s">
        <v>11</v>
      </c>
      <c r="E1" s="3" t="s">
        <v>29</v>
      </c>
      <c r="F1" s="3" t="s">
        <v>21</v>
      </c>
      <c r="G1" s="3" t="s">
        <v>49</v>
      </c>
      <c r="H1" s="3" t="s">
        <v>12</v>
      </c>
      <c r="I1" s="3" t="s">
        <v>39</v>
      </c>
      <c r="J1" s="4" t="s">
        <v>23</v>
      </c>
      <c r="K1" s="4" t="s">
        <v>28</v>
      </c>
      <c r="L1" s="4" t="s">
        <v>22</v>
      </c>
      <c r="M1" s="4" t="s">
        <v>9</v>
      </c>
      <c r="N1" s="4" t="s">
        <v>40</v>
      </c>
      <c r="O1" s="4" t="s">
        <v>24</v>
      </c>
      <c r="P1" s="4" t="s">
        <v>8</v>
      </c>
      <c r="Q1" s="4" t="s">
        <v>47</v>
      </c>
      <c r="R1" s="4" t="s">
        <v>20</v>
      </c>
      <c r="S1" s="4" t="s">
        <v>51</v>
      </c>
      <c r="T1" s="4" t="s">
        <v>15</v>
      </c>
      <c r="U1" s="4" t="s">
        <v>42</v>
      </c>
      <c r="V1" s="1" t="s">
        <v>32</v>
      </c>
      <c r="W1" s="1" t="s">
        <v>48</v>
      </c>
    </row>
    <row r="2" spans="1:23" ht="12" customHeight="1" x14ac:dyDescent="0.3">
      <c r="A2" s="5">
        <v>49</v>
      </c>
      <c r="B2" s="5" t="s">
        <v>1</v>
      </c>
      <c r="C2" s="5" t="s">
        <v>4</v>
      </c>
      <c r="D2" s="6">
        <v>45055</v>
      </c>
      <c r="E2" s="7">
        <v>0.41319444444444398</v>
      </c>
      <c r="F2" s="7" t="s">
        <v>16</v>
      </c>
      <c r="G2" s="5" t="s">
        <v>5</v>
      </c>
      <c r="H2" s="5" t="s">
        <v>10</v>
      </c>
      <c r="I2" s="5" t="s">
        <v>34</v>
      </c>
      <c r="J2" t="s">
        <v>53</v>
      </c>
      <c r="K2" t="s">
        <v>54</v>
      </c>
      <c r="L2" s="11" t="s">
        <v>55</v>
      </c>
      <c r="M2" t="s">
        <v>56</v>
      </c>
      <c r="N2" s="12" t="s">
        <v>57</v>
      </c>
      <c r="O2" s="13">
        <v>45055</v>
      </c>
      <c r="P2" s="14">
        <v>0.64861111111111114</v>
      </c>
      <c r="Q2" t="s">
        <v>58</v>
      </c>
      <c r="R2" s="15" t="s">
        <v>59</v>
      </c>
      <c r="S2" s="16">
        <f t="shared" ref="S2:S19" si="0">P2-E2</f>
        <v>0.23541666666666716</v>
      </c>
      <c r="T2" s="5"/>
      <c r="U2" s="5"/>
      <c r="V2" s="1" t="s">
        <v>95</v>
      </c>
      <c r="W2" s="1" t="s">
        <v>95</v>
      </c>
    </row>
    <row r="3" spans="1:23" ht="12" customHeight="1" x14ac:dyDescent="0.3">
      <c r="A3" s="5">
        <v>50</v>
      </c>
      <c r="B3" s="5" t="s">
        <v>1</v>
      </c>
      <c r="C3" s="5" t="s">
        <v>4</v>
      </c>
      <c r="D3" s="6">
        <v>45055</v>
      </c>
      <c r="E3" s="7">
        <v>0.41388888888888897</v>
      </c>
      <c r="F3" s="7" t="s">
        <v>16</v>
      </c>
      <c r="G3" s="5" t="s">
        <v>5</v>
      </c>
      <c r="H3" s="5" t="s">
        <v>10</v>
      </c>
      <c r="I3" s="5" t="s">
        <v>44</v>
      </c>
      <c r="J3" t="s">
        <v>53</v>
      </c>
      <c r="K3" t="s">
        <v>54</v>
      </c>
      <c r="L3" s="11" t="s">
        <v>60</v>
      </c>
      <c r="M3" t="s">
        <v>56</v>
      </c>
      <c r="N3" s="12" t="s">
        <v>57</v>
      </c>
      <c r="O3" s="13">
        <v>45055</v>
      </c>
      <c r="P3" s="14">
        <v>0.64930555555555558</v>
      </c>
      <c r="Q3" s="15" t="s">
        <v>61</v>
      </c>
      <c r="R3" s="15" t="s">
        <v>62</v>
      </c>
      <c r="S3" s="16">
        <f t="shared" si="0"/>
        <v>0.23541666666666661</v>
      </c>
      <c r="T3" s="5"/>
      <c r="U3" s="5"/>
      <c r="V3" s="1" t="s">
        <v>95</v>
      </c>
      <c r="W3" s="1" t="s">
        <v>95</v>
      </c>
    </row>
    <row r="4" spans="1:23" ht="12" customHeight="1" x14ac:dyDescent="0.3">
      <c r="A4" s="5">
        <v>51</v>
      </c>
      <c r="B4" s="5" t="s">
        <v>1</v>
      </c>
      <c r="C4" s="5" t="s">
        <v>4</v>
      </c>
      <c r="D4" s="6">
        <v>45055</v>
      </c>
      <c r="E4" s="7">
        <v>0.41458333333333303</v>
      </c>
      <c r="F4" s="7" t="s">
        <v>16</v>
      </c>
      <c r="G4" s="5" t="s">
        <v>5</v>
      </c>
      <c r="H4" s="5" t="s">
        <v>10</v>
      </c>
      <c r="I4" s="5" t="s">
        <v>35</v>
      </c>
      <c r="J4" t="s">
        <v>53</v>
      </c>
      <c r="K4" t="s">
        <v>54</v>
      </c>
      <c r="L4" s="11" t="s">
        <v>60</v>
      </c>
      <c r="M4" t="s">
        <v>56</v>
      </c>
      <c r="N4" s="12" t="s">
        <v>57</v>
      </c>
      <c r="O4" s="13">
        <v>45055</v>
      </c>
      <c r="P4" s="14">
        <v>0.64930555555555558</v>
      </c>
      <c r="Q4" s="15" t="s">
        <v>63</v>
      </c>
      <c r="R4" s="15" t="s">
        <v>64</v>
      </c>
      <c r="S4" s="16">
        <f t="shared" si="0"/>
        <v>0.23472222222222255</v>
      </c>
      <c r="T4" s="5"/>
      <c r="U4" s="5"/>
      <c r="V4" s="1" t="s">
        <v>95</v>
      </c>
      <c r="W4" s="1" t="s">
        <v>95</v>
      </c>
    </row>
    <row r="5" spans="1:23" ht="12" customHeight="1" x14ac:dyDescent="0.3">
      <c r="A5" s="5">
        <v>52</v>
      </c>
      <c r="B5" s="5" t="s">
        <v>1</v>
      </c>
      <c r="C5" s="5" t="s">
        <v>4</v>
      </c>
      <c r="D5" s="6">
        <v>45055</v>
      </c>
      <c r="E5" s="9">
        <v>0.49722222222222201</v>
      </c>
      <c r="F5" s="7" t="s">
        <v>16</v>
      </c>
      <c r="G5" s="5" t="s">
        <v>27</v>
      </c>
      <c r="H5" s="5" t="s">
        <v>17</v>
      </c>
      <c r="I5" s="5" t="s">
        <v>45</v>
      </c>
      <c r="J5" t="s">
        <v>65</v>
      </c>
      <c r="K5" t="s">
        <v>16</v>
      </c>
      <c r="L5" s="11" t="s">
        <v>66</v>
      </c>
      <c r="M5" t="s">
        <v>56</v>
      </c>
      <c r="N5" s="12" t="s">
        <v>57</v>
      </c>
      <c r="O5" s="17"/>
      <c r="P5" s="16"/>
      <c r="Q5"/>
      <c r="R5"/>
      <c r="S5" s="16">
        <f t="shared" si="0"/>
        <v>-0.49722222222222201</v>
      </c>
      <c r="T5" s="5"/>
      <c r="U5" s="5"/>
      <c r="V5" s="1" t="s">
        <v>95</v>
      </c>
      <c r="W5" s="1" t="s">
        <v>95</v>
      </c>
    </row>
    <row r="6" spans="1:23" ht="12" customHeight="1" x14ac:dyDescent="0.3">
      <c r="A6" s="5">
        <v>53</v>
      </c>
      <c r="B6" s="5" t="s">
        <v>1</v>
      </c>
      <c r="C6" s="5" t="s">
        <v>4</v>
      </c>
      <c r="D6" s="6">
        <v>45055</v>
      </c>
      <c r="E6" s="9">
        <v>0.49861111111111101</v>
      </c>
      <c r="F6" s="7" t="s">
        <v>16</v>
      </c>
      <c r="G6" s="5" t="s">
        <v>27</v>
      </c>
      <c r="H6" s="5" t="s">
        <v>17</v>
      </c>
      <c r="I6" s="5" t="s">
        <v>0</v>
      </c>
      <c r="J6" t="s">
        <v>65</v>
      </c>
      <c r="K6" t="s">
        <v>16</v>
      </c>
      <c r="L6" s="11" t="s">
        <v>66</v>
      </c>
      <c r="M6" t="s">
        <v>56</v>
      </c>
      <c r="N6" s="12" t="s">
        <v>57</v>
      </c>
      <c r="O6" s="17"/>
      <c r="P6" s="16"/>
      <c r="Q6"/>
      <c r="R6"/>
      <c r="S6" s="16">
        <f t="shared" si="0"/>
        <v>-0.49861111111111101</v>
      </c>
      <c r="T6" s="5"/>
      <c r="U6" s="5"/>
      <c r="V6" s="1" t="s">
        <v>95</v>
      </c>
      <c r="W6" s="1" t="s">
        <v>95</v>
      </c>
    </row>
    <row r="7" spans="1:23" ht="12" customHeight="1" x14ac:dyDescent="0.3">
      <c r="A7" s="5">
        <v>54</v>
      </c>
      <c r="B7" s="5" t="s">
        <v>1</v>
      </c>
      <c r="C7" s="5" t="s">
        <v>4</v>
      </c>
      <c r="D7" s="6">
        <v>45055</v>
      </c>
      <c r="E7" s="9">
        <v>0.50972222222222197</v>
      </c>
      <c r="F7" s="7" t="s">
        <v>7</v>
      </c>
      <c r="G7" s="5" t="s">
        <v>27</v>
      </c>
      <c r="H7" s="8" t="s">
        <v>38</v>
      </c>
      <c r="I7" s="8" t="s">
        <v>52</v>
      </c>
      <c r="J7" t="s">
        <v>67</v>
      </c>
      <c r="K7" t="s">
        <v>68</v>
      </c>
      <c r="L7"/>
      <c r="M7" t="s">
        <v>56</v>
      </c>
      <c r="N7" s="12" t="s">
        <v>57</v>
      </c>
      <c r="O7" s="17"/>
      <c r="P7" s="16"/>
      <c r="Q7" t="s">
        <v>69</v>
      </c>
      <c r="R7"/>
      <c r="S7" s="16">
        <f t="shared" si="0"/>
        <v>-0.50972222222222197</v>
      </c>
      <c r="T7" s="5"/>
      <c r="U7" s="5"/>
      <c r="V7" s="1" t="s">
        <v>95</v>
      </c>
      <c r="W7" s="1" t="s">
        <v>95</v>
      </c>
    </row>
    <row r="8" spans="1:23" ht="12" customHeight="1" x14ac:dyDescent="0.3">
      <c r="A8" s="5">
        <v>55</v>
      </c>
      <c r="B8" s="5" t="s">
        <v>1</v>
      </c>
      <c r="C8" s="5" t="s">
        <v>4</v>
      </c>
      <c r="D8" s="6">
        <v>45055</v>
      </c>
      <c r="E8" s="9">
        <v>0.52013888888888904</v>
      </c>
      <c r="F8" s="7" t="s">
        <v>7</v>
      </c>
      <c r="G8" s="5" t="s">
        <v>27</v>
      </c>
      <c r="H8" s="8" t="s">
        <v>10</v>
      </c>
      <c r="I8" s="8" t="s">
        <v>37</v>
      </c>
      <c r="J8" t="s">
        <v>53</v>
      </c>
      <c r="K8" t="s">
        <v>7</v>
      </c>
      <c r="L8" s="18" t="s">
        <v>70</v>
      </c>
      <c r="M8" t="s">
        <v>56</v>
      </c>
      <c r="N8" s="12" t="s">
        <v>57</v>
      </c>
      <c r="O8" s="13">
        <v>45055</v>
      </c>
      <c r="P8" s="14">
        <v>0.65069444444444446</v>
      </c>
      <c r="Q8" t="s">
        <v>71</v>
      </c>
      <c r="R8" s="15" t="s">
        <v>72</v>
      </c>
      <c r="S8" s="16">
        <f t="shared" si="0"/>
        <v>0.13055555555555542</v>
      </c>
      <c r="T8" s="5"/>
      <c r="U8" s="5"/>
      <c r="V8" s="1" t="s">
        <v>95</v>
      </c>
      <c r="W8" s="1" t="s">
        <v>95</v>
      </c>
    </row>
    <row r="9" spans="1:23" ht="12" customHeight="1" x14ac:dyDescent="0.3">
      <c r="A9" s="5">
        <v>56</v>
      </c>
      <c r="B9" s="5" t="s">
        <v>1</v>
      </c>
      <c r="C9" s="5" t="s">
        <v>4</v>
      </c>
      <c r="D9" s="6">
        <v>45055</v>
      </c>
      <c r="E9" s="9">
        <v>0.51805555555555605</v>
      </c>
      <c r="F9" s="7" t="s">
        <v>7</v>
      </c>
      <c r="G9" s="5" t="s">
        <v>27</v>
      </c>
      <c r="H9" s="8" t="s">
        <v>10</v>
      </c>
      <c r="I9" s="8" t="s">
        <v>26</v>
      </c>
      <c r="J9" t="s">
        <v>53</v>
      </c>
      <c r="K9" t="s">
        <v>7</v>
      </c>
      <c r="L9" s="18" t="s">
        <v>70</v>
      </c>
      <c r="M9" t="s">
        <v>56</v>
      </c>
      <c r="N9" s="12" t="s">
        <v>57</v>
      </c>
      <c r="O9" s="13">
        <v>45055</v>
      </c>
      <c r="P9" s="14">
        <v>0.65069444444444446</v>
      </c>
      <c r="Q9" t="s">
        <v>73</v>
      </c>
      <c r="R9" s="15" t="s">
        <v>74</v>
      </c>
      <c r="S9" s="16">
        <f t="shared" si="0"/>
        <v>0.13263888888888842</v>
      </c>
      <c r="T9" s="5"/>
      <c r="U9" s="5"/>
      <c r="V9" s="1" t="s">
        <v>95</v>
      </c>
      <c r="W9" s="1" t="s">
        <v>95</v>
      </c>
    </row>
    <row r="10" spans="1:23" ht="12" customHeight="1" x14ac:dyDescent="0.3">
      <c r="A10" s="5">
        <v>57</v>
      </c>
      <c r="B10" s="5" t="s">
        <v>1</v>
      </c>
      <c r="C10" s="5" t="s">
        <v>4</v>
      </c>
      <c r="D10" s="6">
        <v>45055</v>
      </c>
      <c r="E10" s="9">
        <v>0.54236111111111096</v>
      </c>
      <c r="F10" s="7" t="s">
        <v>7</v>
      </c>
      <c r="G10" s="5" t="s">
        <v>27</v>
      </c>
      <c r="H10" s="10" t="s">
        <v>10</v>
      </c>
      <c r="I10" s="10" t="s">
        <v>30</v>
      </c>
      <c r="J10" t="s">
        <v>53</v>
      </c>
      <c r="K10" t="s">
        <v>7</v>
      </c>
      <c r="L10" t="s">
        <v>75</v>
      </c>
      <c r="M10" t="s">
        <v>56</v>
      </c>
      <c r="N10" s="12" t="s">
        <v>57</v>
      </c>
      <c r="O10" s="13">
        <v>45055</v>
      </c>
      <c r="P10" s="14">
        <v>0.72638888888888886</v>
      </c>
      <c r="Q10" s="15" t="s">
        <v>30</v>
      </c>
      <c r="R10" s="15" t="s">
        <v>76</v>
      </c>
      <c r="S10" s="16">
        <f t="shared" si="0"/>
        <v>0.1840277777777779</v>
      </c>
      <c r="T10" s="5"/>
      <c r="U10" s="5"/>
      <c r="V10" s="1" t="s">
        <v>95</v>
      </c>
      <c r="W10" s="1" t="s">
        <v>95</v>
      </c>
    </row>
    <row r="11" spans="1:23" ht="12" customHeight="1" x14ac:dyDescent="0.3">
      <c r="A11" s="5">
        <v>58</v>
      </c>
      <c r="B11" s="5" t="s">
        <v>1</v>
      </c>
      <c r="C11" s="5" t="s">
        <v>4</v>
      </c>
      <c r="D11" s="6">
        <v>45055</v>
      </c>
      <c r="E11" s="9">
        <v>0.55625000000000002</v>
      </c>
      <c r="F11" s="7" t="s">
        <v>7</v>
      </c>
      <c r="G11" s="5" t="s">
        <v>27</v>
      </c>
      <c r="H11" s="8" t="s">
        <v>41</v>
      </c>
      <c r="I11" s="8" t="s">
        <v>36</v>
      </c>
      <c r="J11" t="s">
        <v>67</v>
      </c>
      <c r="K11" t="s">
        <v>68</v>
      </c>
      <c r="L11" s="19" t="s">
        <v>77</v>
      </c>
      <c r="M11" t="s">
        <v>56</v>
      </c>
      <c r="N11" s="12" t="s">
        <v>57</v>
      </c>
      <c r="O11" s="13">
        <v>45055</v>
      </c>
      <c r="P11" s="14">
        <v>0.63263888888888886</v>
      </c>
      <c r="Q11" t="s">
        <v>78</v>
      </c>
      <c r="R11" s="15" t="s">
        <v>79</v>
      </c>
      <c r="S11" s="16">
        <f t="shared" si="0"/>
        <v>7.638888888888884E-2</v>
      </c>
      <c r="T11" s="5"/>
      <c r="U11" s="5"/>
      <c r="V11" s="1" t="s">
        <v>95</v>
      </c>
      <c r="W11" s="1" t="s">
        <v>95</v>
      </c>
    </row>
    <row r="12" spans="1:23" ht="12" customHeight="1" x14ac:dyDescent="0.3">
      <c r="A12" s="5">
        <v>59</v>
      </c>
      <c r="B12" s="5" t="s">
        <v>1</v>
      </c>
      <c r="C12" s="5" t="s">
        <v>4</v>
      </c>
      <c r="D12" s="6">
        <v>45055</v>
      </c>
      <c r="E12" s="9">
        <v>0.55694444444444402</v>
      </c>
      <c r="F12" s="7" t="s">
        <v>7</v>
      </c>
      <c r="G12" s="5" t="s">
        <v>27</v>
      </c>
      <c r="H12" s="8" t="s">
        <v>41</v>
      </c>
      <c r="I12" s="8" t="s">
        <v>36</v>
      </c>
      <c r="J12" t="s">
        <v>80</v>
      </c>
      <c r="K12"/>
      <c r="L12"/>
      <c r="M12" t="s">
        <v>56</v>
      </c>
      <c r="N12" s="12" t="s">
        <v>57</v>
      </c>
      <c r="O12" s="17"/>
      <c r="P12" s="16"/>
      <c r="Q12"/>
      <c r="R12"/>
      <c r="S12" s="16">
        <f t="shared" si="0"/>
        <v>-0.55694444444444402</v>
      </c>
      <c r="T12" s="5"/>
      <c r="U12" s="5"/>
      <c r="V12" s="1" t="s">
        <v>95</v>
      </c>
      <c r="W12" s="1" t="s">
        <v>95</v>
      </c>
    </row>
    <row r="13" spans="1:23" ht="12" customHeight="1" x14ac:dyDescent="0.3">
      <c r="A13" s="5">
        <v>60</v>
      </c>
      <c r="B13" s="5" t="s">
        <v>1</v>
      </c>
      <c r="C13" s="5" t="s">
        <v>4</v>
      </c>
      <c r="D13" s="6">
        <v>45055</v>
      </c>
      <c r="E13" s="9">
        <v>0.62777777777777799</v>
      </c>
      <c r="F13" s="7" t="s">
        <v>16</v>
      </c>
      <c r="G13" s="5" t="s">
        <v>5</v>
      </c>
      <c r="H13" s="8" t="s">
        <v>33</v>
      </c>
      <c r="I13" s="8" t="s">
        <v>46</v>
      </c>
      <c r="J13" t="s">
        <v>53</v>
      </c>
      <c r="K13" t="s">
        <v>54</v>
      </c>
      <c r="L13" s="11" t="s">
        <v>81</v>
      </c>
      <c r="M13" t="s">
        <v>56</v>
      </c>
      <c r="N13" s="12" t="s">
        <v>57</v>
      </c>
      <c r="O13" s="13">
        <v>45055</v>
      </c>
      <c r="P13" s="14">
        <v>0.67083333333333339</v>
      </c>
      <c r="Q13" s="15" t="s">
        <v>82</v>
      </c>
      <c r="R13" s="15" t="s">
        <v>83</v>
      </c>
      <c r="S13" s="16">
        <f t="shared" si="0"/>
        <v>4.3055555555555403E-2</v>
      </c>
      <c r="T13" s="5"/>
      <c r="U13" s="5"/>
      <c r="V13" s="1" t="s">
        <v>95</v>
      </c>
      <c r="W13" s="1" t="s">
        <v>95</v>
      </c>
    </row>
    <row r="14" spans="1:23" ht="12" customHeight="1" x14ac:dyDescent="0.3">
      <c r="A14" s="5">
        <v>61</v>
      </c>
      <c r="B14" s="5" t="s">
        <v>1</v>
      </c>
      <c r="C14" s="5" t="s">
        <v>4</v>
      </c>
      <c r="D14" s="6">
        <v>45055</v>
      </c>
      <c r="E14" s="9">
        <v>0.63124999999999998</v>
      </c>
      <c r="F14" s="7" t="s">
        <v>16</v>
      </c>
      <c r="G14" s="5" t="s">
        <v>5</v>
      </c>
      <c r="H14" s="5" t="s">
        <v>43</v>
      </c>
      <c r="I14" s="5" t="s">
        <v>31</v>
      </c>
      <c r="J14" t="s">
        <v>67</v>
      </c>
      <c r="K14" t="s">
        <v>54</v>
      </c>
      <c r="L14" s="11" t="s">
        <v>55</v>
      </c>
      <c r="M14" t="s">
        <v>56</v>
      </c>
      <c r="N14" s="12" t="s">
        <v>57</v>
      </c>
      <c r="O14" s="13">
        <v>45055</v>
      </c>
      <c r="P14" s="14">
        <v>0.72569444444444453</v>
      </c>
      <c r="Q14" s="11" t="s">
        <v>84</v>
      </c>
      <c r="R14" s="15" t="s">
        <v>85</v>
      </c>
      <c r="S14" s="16">
        <f t="shared" si="0"/>
        <v>9.4444444444444553E-2</v>
      </c>
      <c r="T14" s="5"/>
      <c r="U14" s="5"/>
      <c r="V14" s="1" t="s">
        <v>95</v>
      </c>
      <c r="W14" s="1" t="s">
        <v>95</v>
      </c>
    </row>
    <row r="15" spans="1:23" ht="12" customHeight="1" x14ac:dyDescent="0.3">
      <c r="A15" s="5">
        <v>62</v>
      </c>
      <c r="B15" s="5" t="s">
        <v>1</v>
      </c>
      <c r="C15" s="5" t="s">
        <v>4</v>
      </c>
      <c r="D15" s="6">
        <v>45055</v>
      </c>
      <c r="E15" s="9">
        <v>0.63194444444444398</v>
      </c>
      <c r="F15" s="7" t="s">
        <v>16</v>
      </c>
      <c r="G15" s="5" t="s">
        <v>5</v>
      </c>
      <c r="H15" s="5" t="s">
        <v>43</v>
      </c>
      <c r="I15" s="5" t="s">
        <v>14</v>
      </c>
      <c r="J15" t="s">
        <v>67</v>
      </c>
      <c r="K15" t="s">
        <v>54</v>
      </c>
      <c r="L15" s="11" t="s">
        <v>81</v>
      </c>
      <c r="M15" t="s">
        <v>56</v>
      </c>
      <c r="N15" s="12" t="s">
        <v>57</v>
      </c>
      <c r="O15" s="17"/>
      <c r="P15" s="16"/>
      <c r="Q15" t="s">
        <v>86</v>
      </c>
      <c r="R15"/>
      <c r="S15" s="16">
        <f t="shared" si="0"/>
        <v>-0.63194444444444398</v>
      </c>
      <c r="T15" s="5"/>
      <c r="U15" s="5"/>
      <c r="V15" s="1" t="s">
        <v>95</v>
      </c>
      <c r="W15" s="1" t="s">
        <v>95</v>
      </c>
    </row>
    <row r="16" spans="1:23" ht="12" customHeight="1" x14ac:dyDescent="0.3">
      <c r="A16" s="5">
        <v>63</v>
      </c>
      <c r="B16" s="5" t="s">
        <v>1</v>
      </c>
      <c r="C16" s="5" t="s">
        <v>4</v>
      </c>
      <c r="D16" s="6">
        <v>45055</v>
      </c>
      <c r="E16" s="9">
        <v>0.69166666666666698</v>
      </c>
      <c r="F16" s="7" t="s">
        <v>7</v>
      </c>
      <c r="G16" s="5" t="s">
        <v>27</v>
      </c>
      <c r="H16" s="10" t="s">
        <v>33</v>
      </c>
      <c r="I16" s="10" t="s">
        <v>18</v>
      </c>
      <c r="J16" t="s">
        <v>67</v>
      </c>
      <c r="K16" t="s">
        <v>7</v>
      </c>
      <c r="L16" s="11" t="s">
        <v>87</v>
      </c>
      <c r="M16" t="s">
        <v>56</v>
      </c>
      <c r="N16" s="12" t="s">
        <v>57</v>
      </c>
      <c r="O16" s="13">
        <v>45055</v>
      </c>
      <c r="P16" s="14">
        <v>0.71180555555555547</v>
      </c>
      <c r="Q16" s="11" t="s">
        <v>88</v>
      </c>
      <c r="R16" s="15" t="s">
        <v>89</v>
      </c>
      <c r="S16" s="16">
        <f t="shared" si="0"/>
        <v>2.0138888888888484E-2</v>
      </c>
      <c r="T16" s="5"/>
      <c r="U16" s="5"/>
      <c r="V16" s="1" t="s">
        <v>95</v>
      </c>
      <c r="W16" s="1" t="s">
        <v>95</v>
      </c>
    </row>
    <row r="17" spans="1:23" ht="12" customHeight="1" x14ac:dyDescent="0.3">
      <c r="A17" s="5">
        <v>64</v>
      </c>
      <c r="B17" s="5" t="s">
        <v>1</v>
      </c>
      <c r="C17" s="5" t="s">
        <v>4</v>
      </c>
      <c r="D17" s="6">
        <v>45055</v>
      </c>
      <c r="E17" s="9">
        <v>0.74166666666666703</v>
      </c>
      <c r="F17" s="7" t="s">
        <v>16</v>
      </c>
      <c r="G17" s="5" t="s">
        <v>27</v>
      </c>
      <c r="H17" s="8" t="s">
        <v>25</v>
      </c>
      <c r="I17" s="5" t="s">
        <v>13</v>
      </c>
      <c r="J17" t="s">
        <v>67</v>
      </c>
      <c r="K17" t="s">
        <v>16</v>
      </c>
      <c r="L17" s="11" t="s">
        <v>90</v>
      </c>
      <c r="M17" t="s">
        <v>56</v>
      </c>
      <c r="N17" s="12" t="s">
        <v>57</v>
      </c>
      <c r="O17" s="17"/>
      <c r="P17" s="16"/>
      <c r="Q17" t="s">
        <v>13</v>
      </c>
      <c r="R17"/>
      <c r="S17" s="16">
        <f t="shared" si="0"/>
        <v>-0.74166666666666703</v>
      </c>
      <c r="T17" s="5"/>
      <c r="U17" s="5"/>
      <c r="V17" s="1" t="s">
        <v>95</v>
      </c>
      <c r="W17" s="1" t="s">
        <v>95</v>
      </c>
    </row>
    <row r="18" spans="1:23" ht="12" customHeight="1" x14ac:dyDescent="0.3">
      <c r="A18" s="5">
        <v>65</v>
      </c>
      <c r="B18" s="5" t="s">
        <v>1</v>
      </c>
      <c r="C18" s="5" t="s">
        <v>4</v>
      </c>
      <c r="D18" s="6">
        <v>45055</v>
      </c>
      <c r="E18" s="9">
        <v>0.74444444444444402</v>
      </c>
      <c r="F18" s="7" t="s">
        <v>16</v>
      </c>
      <c r="G18" s="5" t="s">
        <v>27</v>
      </c>
      <c r="H18" s="8" t="s">
        <v>41</v>
      </c>
      <c r="I18" s="8" t="s">
        <v>50</v>
      </c>
      <c r="J18" t="s">
        <v>53</v>
      </c>
      <c r="K18" t="s">
        <v>16</v>
      </c>
      <c r="L18" s="11" t="s">
        <v>91</v>
      </c>
      <c r="M18" t="s">
        <v>56</v>
      </c>
      <c r="N18" s="12" t="s">
        <v>57</v>
      </c>
      <c r="O18" s="13">
        <v>45055</v>
      </c>
      <c r="P18" s="14">
        <v>0.78125</v>
      </c>
      <c r="Q18" s="15" t="s">
        <v>92</v>
      </c>
      <c r="R18" s="15" t="s">
        <v>93</v>
      </c>
      <c r="S18" s="16">
        <f t="shared" si="0"/>
        <v>3.680555555555598E-2</v>
      </c>
      <c r="T18" s="5"/>
      <c r="U18" s="5"/>
      <c r="V18" s="1" t="s">
        <v>95</v>
      </c>
      <c r="W18" s="1" t="s">
        <v>95</v>
      </c>
    </row>
    <row r="19" spans="1:23" ht="12" customHeight="1" x14ac:dyDescent="0.3">
      <c r="A19" s="5">
        <v>66</v>
      </c>
      <c r="B19" s="5" t="s">
        <v>1</v>
      </c>
      <c r="C19" s="5" t="s">
        <v>4</v>
      </c>
      <c r="D19" s="6">
        <v>45055</v>
      </c>
      <c r="E19" s="9">
        <v>0.76319444444444395</v>
      </c>
      <c r="F19" s="7" t="s">
        <v>16</v>
      </c>
      <c r="G19" s="5" t="s">
        <v>27</v>
      </c>
      <c r="H19" s="8" t="s">
        <v>25</v>
      </c>
      <c r="I19" s="8" t="s">
        <v>6</v>
      </c>
      <c r="J19" t="s">
        <v>53</v>
      </c>
      <c r="K19" t="s">
        <v>16</v>
      </c>
      <c r="L19" s="11" t="s">
        <v>94</v>
      </c>
      <c r="M19" t="s">
        <v>56</v>
      </c>
      <c r="N19" s="12" t="s">
        <v>57</v>
      </c>
      <c r="O19" s="17"/>
      <c r="P19" s="16"/>
      <c r="Q19" s="20" t="s">
        <v>6</v>
      </c>
      <c r="R19"/>
      <c r="S19" s="16">
        <f t="shared" si="0"/>
        <v>-0.76319444444444395</v>
      </c>
      <c r="T19" s="5"/>
      <c r="U19" s="5"/>
      <c r="V19" s="1" t="s">
        <v>95</v>
      </c>
      <c r="W19" s="1" t="s">
        <v>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2023-05-09T14:51:18Z</dcterms:modified>
  <cp:category/>
</cp:coreProperties>
</file>