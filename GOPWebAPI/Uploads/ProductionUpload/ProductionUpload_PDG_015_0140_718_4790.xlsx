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Sheet1!$A$1:$CG$26</definedName>
  </definedNames>
  <calcPr calcId="145621"/>
  <webPublishing codePage="0"/>
</workbook>
</file>

<file path=xl/calcChain.xml><?xml version="1.0" encoding="utf-8"?>
<calcChain xmlns="http://schemas.openxmlformats.org/spreadsheetml/2006/main">
  <c r="AU26" i="1" l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<sst xmlns="http://schemas.openxmlformats.org/spreadsheetml/2006/main" count="1352" uniqueCount="621">
  <si>
    <t>42321519</t>
  </si>
  <si>
    <t>39309853</t>
  </si>
  <si>
    <t>66-IT-BP8P</t>
  </si>
  <si>
    <t>Sterile</t>
  </si>
  <si>
    <t>33145T</t>
  </si>
  <si>
    <t>EXTENSION TUBE FOR MCOMPASS CATHETER 5PACK</t>
  </si>
  <si>
    <t>MEDLINE INDUSTRIES INC</t>
  </si>
  <si>
    <t>COATED FEMORAL STEM PROSTHESIS MODULAR</t>
  </si>
  <si>
    <t>UNSPSC v24.0301</t>
  </si>
  <si>
    <t>Property</t>
  </si>
  <si>
    <t>ITEM</t>
  </si>
  <si>
    <t>DEVICE UTERINE SYSTEM JADA 2.0</t>
  </si>
  <si>
    <t>BSMH_SIZE</t>
  </si>
  <si>
    <t>PACIRA PHARMACEUTICALS INC</t>
  </si>
  <si>
    <t>102489</t>
  </si>
  <si>
    <t>Kendall DL Disposable Dual Connect Cable.</t>
  </si>
  <si>
    <t>TRAY V2 SPEC CLCTN NEPTUNE</t>
  </si>
  <si>
    <t>SPK11260 JACKSON KIT</t>
  </si>
  <si>
    <t>616508</t>
  </si>
  <si>
    <t>102491</t>
  </si>
  <si>
    <t>1202021</t>
  </si>
  <si>
    <t>SUPPORT WRIST MED LT 6.5-7.5IN</t>
  </si>
  <si>
    <t>PAD SURGILOCK 10 X 16 INCHES</t>
  </si>
  <si>
    <t>1208811</t>
  </si>
  <si>
    <t>1204502</t>
  </si>
  <si>
    <t>38929887</t>
  </si>
  <si>
    <t>ORGANON USA</t>
  </si>
  <si>
    <t>ASIS Description (Long  Desc 4000)</t>
  </si>
  <si>
    <t>Material</t>
  </si>
  <si>
    <t>1042960</t>
  </si>
  <si>
    <t>DE Code</t>
  </si>
  <si>
    <t>RefCat</t>
  </si>
  <si>
    <t>79-87217</t>
  </si>
  <si>
    <t>79-87207</t>
  </si>
  <si>
    <t>BSMH_AGE</t>
  </si>
  <si>
    <t>Job No</t>
  </si>
  <si>
    <t>1037839</t>
  </si>
  <si>
    <t>Short Desc 30</t>
  </si>
  <si>
    <t>482257</t>
  </si>
  <si>
    <t>2547788</t>
  </si>
  <si>
    <t>PrimaryDimension(IDXODXWXHXDXTHKXL)</t>
  </si>
  <si>
    <t>SALE</t>
  </si>
  <si>
    <t>11644210</t>
  </si>
  <si>
    <t>VEN-ITEM</t>
  </si>
  <si>
    <t>KIT PT PSTNG ALLEN JACKSON</t>
  </si>
  <si>
    <t>Description Duplicate</t>
  </si>
  <si>
    <t>SUPPORT ORTHOPAEDIC PALMAR STAY LARGE 7 IN LEFT WRIST HAND COCK LACE UP SPLINT ALUMINUM FLANNEL SUEDE BLACK PROCARE DISPOSABLE LACEUP</t>
  </si>
  <si>
    <t>015-Diff140-25</t>
  </si>
  <si>
    <t>0750-200-000</t>
  </si>
  <si>
    <t>500902</t>
  </si>
  <si>
    <t>CARTRIDGE GEN 2</t>
  </si>
  <si>
    <t>41300423</t>
  </si>
  <si>
    <t>Classification Remarks</t>
  </si>
  <si>
    <t>79-87218</t>
  </si>
  <si>
    <t>Long Description Creation | UNSPSC Classification</t>
  </si>
  <si>
    <t>BSMH Long 254 Desc</t>
  </si>
  <si>
    <t>1255580</t>
  </si>
  <si>
    <t>Latex</t>
  </si>
  <si>
    <t>MICROTARGETING SINGLE INSERTION TUBE WITH STYLET STERILE FOR USE WITH STEREOTACTIC FRAME</t>
  </si>
  <si>
    <t>11-302124</t>
  </si>
  <si>
    <t>C1776</t>
  </si>
  <si>
    <t>Customer Code</t>
  </si>
  <si>
    <t>SUPPORT ORTHOPEDIC PROCARE LACEUP XLARGE 7IN &gt; 8.5IN LEFT WRIST SINGLEPULL W/FLANNEL LINER SUEDE FLANNEL</t>
  </si>
  <si>
    <t>CATH MNOMTR ANORECTAL 5CH</t>
  </si>
  <si>
    <t>MDS251518LF</t>
  </si>
  <si>
    <t>41300426</t>
  </si>
  <si>
    <t>500894</t>
  </si>
  <si>
    <t>BSMH_Volume/Weight</t>
  </si>
  <si>
    <t>COVIDIEN LP &amp; SALES - CSC ONLY</t>
  </si>
  <si>
    <t>42241806</t>
  </si>
  <si>
    <t>42295406</t>
  </si>
  <si>
    <t>39375780</t>
  </si>
  <si>
    <t>NEPTUNE</t>
  </si>
  <si>
    <t>Potential / Duplicate Across Consolidated</t>
  </si>
  <si>
    <t>MICROTARGETING</t>
  </si>
  <si>
    <t>HCPCS Description</t>
  </si>
  <si>
    <t>ZIMMER US INC</t>
  </si>
  <si>
    <t>SUPPORT ORTHOPAEDIC PALMAR STAY XLARGE 7 IN LEFT WRIST HAND LACE UP ALUMINUM FLANNEL SUEDE BLACK PROCARE DISPOSABLE</t>
  </si>
  <si>
    <t>Accepted Date</t>
  </si>
  <si>
    <t>SUPPORT ORTHOPAEDIC PALMAR STAY SMALL 7 IN RIGHT WRIST HAND COCK LACE UP SPLINT ALUMINUM FLANNEL SUEDE BLACK PROCARE DISPOSABLE</t>
  </si>
  <si>
    <t>SPONGE GAUZE X-RAY LAP 18X18IN</t>
  </si>
  <si>
    <t>LongDescription</t>
  </si>
  <si>
    <t>Production User</t>
  </si>
  <si>
    <t>2476890</t>
  </si>
  <si>
    <t>79-87233</t>
  </si>
  <si>
    <t>Volume/Weight</t>
  </si>
  <si>
    <t>Remarks</t>
  </si>
  <si>
    <t>A6402</t>
  </si>
  <si>
    <t>500899</t>
  </si>
  <si>
    <t>KIT DEFOGGING 150MM TROCARS</t>
  </si>
  <si>
    <t>1206647</t>
  </si>
  <si>
    <t>102490</t>
  </si>
  <si>
    <t>1205232</t>
  </si>
  <si>
    <t>STIMULATOR NRV GEN 2 SMART TIP</t>
  </si>
  <si>
    <t>12353139</t>
  </si>
  <si>
    <t>Start Date</t>
  </si>
  <si>
    <t>102484</t>
  </si>
  <si>
    <t>Ref#</t>
  </si>
  <si>
    <t>39345300</t>
  </si>
  <si>
    <t>SlNo</t>
  </si>
  <si>
    <t>MANUF-NBR</t>
  </si>
  <si>
    <t>COVIDIEN</t>
  </si>
  <si>
    <t>KIT SPEC CLCTN NEPTUNE</t>
  </si>
  <si>
    <t>39424657</t>
  </si>
  <si>
    <t>QE Comments</t>
  </si>
  <si>
    <t>PDG</t>
  </si>
  <si>
    <t>SUPPORT ORTHOPAEDIC PALMAR STAY LARGE 7 IN RIGHT WRIST HAND COCK LACE UP SPLINT ALUMINUM FLANNEL SUEDE BLACK PROCARE DISPOSABLE</t>
  </si>
  <si>
    <t>ProdigoReferenceID</t>
  </si>
  <si>
    <t>SUPPORT ORTHOPAEDIC PALMAR STAY MEDIUM 7 IN LEFT WRIST HAND COCK LACE UP SPLINT ALUMINUM FLANNEL SUEDE BLACK PROCARE DISPOSABLE LACEUP</t>
  </si>
  <si>
    <t>1047196</t>
  </si>
  <si>
    <t/>
  </si>
  <si>
    <t>79-87203</t>
  </si>
  <si>
    <t>102492</t>
  </si>
  <si>
    <t>Corrected By</t>
  </si>
  <si>
    <t>Verified MFR Num</t>
  </si>
  <si>
    <t>CATHETER MANOMETRY MCOMPASS BIOFEEDBACK CHANNELX2</t>
  </si>
  <si>
    <t>1202044</t>
  </si>
  <si>
    <t>Len</t>
  </si>
  <si>
    <t>SUPPORT WRIST SM LT 5.5-6.5IN</t>
  </si>
  <si>
    <t>Quality A/R</t>
  </si>
  <si>
    <t>SE Code</t>
  </si>
  <si>
    <t>30978</t>
  </si>
  <si>
    <t>C1713</t>
  </si>
  <si>
    <t>37763905</t>
  </si>
  <si>
    <t>Modifier</t>
  </si>
  <si>
    <t>ENDURE INDUSTRIES INC</t>
  </si>
  <si>
    <t>ORGANON LLC</t>
  </si>
  <si>
    <t>L3908</t>
  </si>
  <si>
    <t>SPLINT1-10</t>
  </si>
  <si>
    <t>Ref</t>
  </si>
  <si>
    <t>102483</t>
  </si>
  <si>
    <t>MANUF-CODE</t>
  </si>
  <si>
    <t>BSMH_SecondaryDimension(IDXODXLXWXHXDXTHK)</t>
  </si>
  <si>
    <t>BSMH_Material</t>
  </si>
  <si>
    <t>Secondary Dimension(IDXODXWXHXDXTHKXL)</t>
  </si>
  <si>
    <t>2531077</t>
  </si>
  <si>
    <t>102481</t>
  </si>
  <si>
    <t>ENDURE INDUSTRIES</t>
  </si>
  <si>
    <t>RMD-002-006</t>
  </si>
  <si>
    <t>RMD-002-004</t>
  </si>
  <si>
    <t>ITEMMAST#DESCRIPTION</t>
  </si>
  <si>
    <t>672588</t>
  </si>
  <si>
    <t>RMD-002-003</t>
  </si>
  <si>
    <t>STRYKER MEDICAL INSTRUM (ACI)</t>
  </si>
  <si>
    <t>BSMH_Adjective</t>
  </si>
  <si>
    <t>500897</t>
  </si>
  <si>
    <t>Disposable</t>
  </si>
  <si>
    <t>SUPPORT ORTHOPAEDIC PALMAR STAY LARGE 7 IN LEFT WRIST HAND COCK LACE UP SPLINT ALUMINUM FLANNEL SUEDE BLACK PROCARE DISPOSABLE</t>
  </si>
  <si>
    <t>Sort Comment</t>
  </si>
  <si>
    <t>MANUF-DIVISION</t>
  </si>
  <si>
    <t>DJ ORTHOPEDICS LLC</t>
  </si>
  <si>
    <t>SUPPORT ORTHOPAEDIC PALMAR STAY SMALL 7 IN RIGHT WRIST HAND COCK LACE UP SPLINT ALUMINUM FLANNEL SUEDE BLACK PROCARE DISPOSABLE LACEUP</t>
  </si>
  <si>
    <t>SUPPORT ORTHOPEDIC PROCARE LACEUP XLARGE 7IN &gt; 8.5IN RIGHT WRIST SINGLEPULL W/FLANNEL LINER SUEDE FLANNEL</t>
  </si>
  <si>
    <t>BSMH_PrimaryDimension(IDXODXLXWXHXDXTHK)</t>
  </si>
  <si>
    <t>Packaging Comment</t>
  </si>
  <si>
    <t>41300425</t>
  </si>
  <si>
    <t>500900</t>
  </si>
  <si>
    <t>76452</t>
  </si>
  <si>
    <t>SYSTEM LAPAROSCOPIC CLEANING INNOVATIVE DEFOGGING SEE SHARP</t>
  </si>
  <si>
    <t>SUPPORT ORTHOPAEDIC PALMAR STAY XLARGE 7 IN RIGHT WRIST HAND LACE UP ALUMINUM FLANNEL SUEDE BLACK PROCARE DISPOSABLE</t>
  </si>
  <si>
    <t>SPK11260</t>
  </si>
  <si>
    <t>TUBE EXTN MCOMPASS CATH</t>
  </si>
  <si>
    <t>MEDSPIRA LLC</t>
  </si>
  <si>
    <t>SL1016</t>
  </si>
  <si>
    <t>XODUS MEDICAL INC</t>
  </si>
  <si>
    <t>Activities</t>
  </si>
  <si>
    <t>QE Code</t>
  </si>
  <si>
    <t>79-87205</t>
  </si>
  <si>
    <t>500903</t>
  </si>
  <si>
    <t>SUPPORT WRIST XSM L10IN FOR 5565IN LEFT HAND SUEDE FLANNEL PERFORATED LACE UP SINGLE PULL CLOSURE</t>
  </si>
  <si>
    <t>Conc</t>
  </si>
  <si>
    <t>V2 SPECIMEN COLLECTION TRAY</t>
  </si>
  <si>
    <t>102488</t>
  </si>
  <si>
    <t>MEDICALOCK CORPORATION</t>
  </si>
  <si>
    <t>Location</t>
  </si>
  <si>
    <t>Size</t>
  </si>
  <si>
    <t>TUBE INSRTN STRTC MICRO TGT</t>
  </si>
  <si>
    <t>Orlando Long 300 Desc</t>
  </si>
  <si>
    <t>Status</t>
  </si>
  <si>
    <t>CABLE DISP 9 FT 10 PIN</t>
  </si>
  <si>
    <t>URL</t>
  </si>
  <si>
    <t>1045394</t>
  </si>
  <si>
    <t>1044930</t>
  </si>
  <si>
    <t>Verified MFR Name</t>
  </si>
  <si>
    <t>SUPPORT WRIST LRG RT 6.5-7.5IN</t>
  </si>
  <si>
    <t>CATH BIOFEEDBACK 2 CHANNEL</t>
  </si>
  <si>
    <t>33843599</t>
  </si>
  <si>
    <t>STRYKER SALES</t>
  </si>
  <si>
    <t>BOLT ORTHOPEDIC 6.9X24 MM LATERAL TROCHANTERIC ARCOS</t>
  </si>
  <si>
    <t>BSMH_Modifier</t>
  </si>
  <si>
    <t>FHC INC</t>
  </si>
  <si>
    <t>ARCOS</t>
  </si>
  <si>
    <t>1010921</t>
  </si>
  <si>
    <t>500895</t>
  </si>
  <si>
    <t>Color</t>
  </si>
  <si>
    <t>SUPPORT WRIST MED RT 6.5-7.5IN</t>
  </si>
  <si>
    <t>SUPPORT ORTHOPAEDIC PALMAR STAY MEDIUM 7 IN RIGHT WRIST HAND COCK LACE UP SPLINT ALUMINUM FLANNEL SUEDE BLACK PROCARE DISPOSABLE LACEUP</t>
  </si>
  <si>
    <t>PROCARE</t>
  </si>
  <si>
    <t>102487</t>
  </si>
  <si>
    <t>504001</t>
  </si>
  <si>
    <t>42296816</t>
  </si>
  <si>
    <t>PACIRA PHARMACEUTICALS</t>
  </si>
  <si>
    <t>MEDLINE INDUSTRIES</t>
  </si>
  <si>
    <t>102482</t>
  </si>
  <si>
    <t>0750-210-000</t>
  </si>
  <si>
    <t>1601 STT2190STIM-5</t>
  </si>
  <si>
    <t>2543358</t>
  </si>
  <si>
    <t>HCPCS</t>
  </si>
  <si>
    <t>698813</t>
  </si>
  <si>
    <t>BrandName1</t>
  </si>
  <si>
    <t>102493</t>
  </si>
  <si>
    <t>2543359</t>
  </si>
  <si>
    <t>BSMH_NOUN</t>
  </si>
  <si>
    <t>GlobalUNSPSC</t>
  </si>
  <si>
    <t>VENDOR</t>
  </si>
  <si>
    <t>79-87208</t>
  </si>
  <si>
    <t>500896</t>
  </si>
  <si>
    <t>BSMH_Location</t>
  </si>
  <si>
    <t>IMP BOLT TROCH ARCOS HIP REV</t>
  </si>
  <si>
    <t>SPLINT NASAL DOYLE 67X25MM</t>
  </si>
  <si>
    <t>500901</t>
  </si>
  <si>
    <t>11-302109</t>
  </si>
  <si>
    <t>102480</t>
  </si>
  <si>
    <t>42241520</t>
  </si>
  <si>
    <t>BrandName</t>
  </si>
  <si>
    <t>SUPPORT WRIST SM RT 5.5-6.5IN</t>
  </si>
  <si>
    <t>SEE SHARP</t>
  </si>
  <si>
    <t>HENRY SCHEIN INC</t>
  </si>
  <si>
    <t>102486</t>
  </si>
  <si>
    <t>BSMH_Gender</t>
  </si>
  <si>
    <t>Noun</t>
  </si>
  <si>
    <t>RefName</t>
  </si>
  <si>
    <t>APVENMAST#VENDOR-VNAME</t>
  </si>
  <si>
    <t>Final</t>
  </si>
  <si>
    <t>BUTTON ORTHOPAEDIC TROCHANTERIC 25 MM HIP MODULAR REVISION ARCOS</t>
  </si>
  <si>
    <t>1207175</t>
  </si>
  <si>
    <t>SPONGE LAPAROTOMY ABSORBENT DELUXE 18X18 IN PREWASHED DELINTED X RAY DETECTABLE COTTON WHITE STERILE LATEX FREE DISPOSABLE</t>
  </si>
  <si>
    <t>SUPPORT WRIST LRG LT 7.5-8.5IN</t>
  </si>
  <si>
    <t>IMP BUTTON TROCH ARCOS HIP REV</t>
  </si>
  <si>
    <t>HCPCS1</t>
  </si>
  <si>
    <t>615024</t>
  </si>
  <si>
    <t>Short Desc</t>
  </si>
  <si>
    <t>SYS INTRAUTERINE VAC JADA</t>
  </si>
  <si>
    <t>SUPPORT WRIST XLRG LT 8.5IN+</t>
  </si>
  <si>
    <t>SYSTEM LAPAROSCOPIC CLEANING INNOVATIVE DEFOGGING SEE SHARP LAPAROSCOPE &amp;</t>
  </si>
  <si>
    <t>102485</t>
  </si>
  <si>
    <t>12098018</t>
  </si>
  <si>
    <t>42295137</t>
  </si>
  <si>
    <t>CND</t>
  </si>
  <si>
    <t>BSMH_Property</t>
  </si>
  <si>
    <t>42282005</t>
  </si>
  <si>
    <t>574513</t>
  </si>
  <si>
    <t>ShortDescription</t>
  </si>
  <si>
    <t>CE Comments</t>
  </si>
  <si>
    <t>ININSTRUMENT PLATFORM 10 IN IN X 16 IN IN STERILE IN</t>
  </si>
  <si>
    <t>1045330</t>
  </si>
  <si>
    <t>Potential Duplicate</t>
  </si>
  <si>
    <t>12098016</t>
  </si>
  <si>
    <t>SUPPORT WRST XSM L10IN FOR 55 65IN L HND SUEDE FLANNEL PERF</t>
  </si>
  <si>
    <t>12098017</t>
  </si>
  <si>
    <t>Production Comments</t>
  </si>
  <si>
    <t>Miscellaneous</t>
  </si>
  <si>
    <t>1601CRX2111-10</t>
  </si>
  <si>
    <t>SUPPORT WRIST XLRG RT 8.5IN+</t>
  </si>
  <si>
    <t>SUPPORT ORTHOPAEDIC PALMAR STAY MEDIUM 7 IN RIGHT WRIST HAND COCK LACE UP SPLINT ALUMINUM FLANNEL SUEDE BLACK PROCARE DISPOSABLE</t>
  </si>
  <si>
    <t>JADA 2.0</t>
  </si>
  <si>
    <t>103705</t>
  </si>
  <si>
    <t>BIOMET ORTHOPEDICS INC</t>
  </si>
  <si>
    <t>BSMH_Packaging for drugs and solutions</t>
  </si>
  <si>
    <t>BSMH_Brandname</t>
  </si>
  <si>
    <t>1013267</t>
  </si>
  <si>
    <t>MEDSPIRA MCOMPASS 5 CHANNEL ANORECTAL MANOMETRY CATHETER</t>
  </si>
  <si>
    <t>1205882</t>
  </si>
  <si>
    <t>500898</t>
  </si>
  <si>
    <t>SE Comments</t>
  </si>
  <si>
    <t>SUPPORT ORTHOPAEDIC PALMAR STAY LARGE 7 IN RIGHT WRIST HAND COCK LACE UP SPLINT ALUMINUM FLANNEL SUEDE BLACK PROCARE DISPOSABLE LACEUP</t>
  </si>
  <si>
    <t>42143102</t>
  </si>
  <si>
    <t>79-87215</t>
  </si>
  <si>
    <t>678562</t>
  </si>
  <si>
    <t>SUPPORT ORTHOPAEDIC PALMAR STAY MEDIUM 7 IN LEFT WRIST HAND COCK LACE UP SPLINT ALUMINUM FLANNEL SUEDE BLACK PROCARE DISPOSABLE</t>
  </si>
  <si>
    <t>SOURCED</t>
  </si>
  <si>
    <t>UNSOURCED</t>
  </si>
  <si>
    <t>THIRD PARTY</t>
  </si>
  <si>
    <t>OK</t>
  </si>
  <si>
    <t>DJO INC</t>
  </si>
  <si>
    <t>ZIMMER BIOMET</t>
  </si>
  <si>
    <t>PACIRA</t>
  </si>
  <si>
    <t>ENDURE MEDICAL INC</t>
  </si>
  <si>
    <t>MEDICAL LOCK CORPORATION</t>
  </si>
  <si>
    <t>STRYKER CORP</t>
  </si>
  <si>
    <t>MEDTRONIC INC</t>
  </si>
  <si>
    <t>DJO</t>
  </si>
  <si>
    <t>7987217</t>
  </si>
  <si>
    <t>DJO_7987217</t>
  </si>
  <si>
    <t>7987218</t>
  </si>
  <si>
    <t>DJO_7987218</t>
  </si>
  <si>
    <t>JNJ</t>
  </si>
  <si>
    <t>11302109</t>
  </si>
  <si>
    <t>JNJ_11302109</t>
  </si>
  <si>
    <t>CRX2111-10</t>
  </si>
  <si>
    <t>CRX211110</t>
  </si>
  <si>
    <t>PACIRA_CRX211110</t>
  </si>
  <si>
    <t>MEDSPIRA</t>
  </si>
  <si>
    <t>RMD002004</t>
  </si>
  <si>
    <t>MEDSPIRA_RMD002004</t>
  </si>
  <si>
    <t>ENDURAPACK</t>
  </si>
  <si>
    <t>SPLINT110</t>
  </si>
  <si>
    <t>ENDURAPACK_SPLINT110</t>
  </si>
  <si>
    <t>7987207</t>
  </si>
  <si>
    <t>DJO_7987207</t>
  </si>
  <si>
    <t>STT2190STIM-5</t>
  </si>
  <si>
    <t>STT2190STIM5</t>
  </si>
  <si>
    <t>PACIRA_STT2190STIM5</t>
  </si>
  <si>
    <t>XODUS</t>
  </si>
  <si>
    <t>XODUS_SPK11260</t>
  </si>
  <si>
    <t>MEDICAL LOCK</t>
  </si>
  <si>
    <t>MEDICAL LOCK_SL1016</t>
  </si>
  <si>
    <t>ORGANON</t>
  </si>
  <si>
    <t>ORGANON_1047196</t>
  </si>
  <si>
    <t>7987203</t>
  </si>
  <si>
    <t>DJO_7987203</t>
  </si>
  <si>
    <t>STRYKER</t>
  </si>
  <si>
    <t>0750200000</t>
  </si>
  <si>
    <t>STRYKER_0750200000</t>
  </si>
  <si>
    <t>RMD002006</t>
  </si>
  <si>
    <t>MEDSPIRA_RMD002006</t>
  </si>
  <si>
    <t>RMD002003</t>
  </si>
  <si>
    <t>MEDSPIRA_RMD002003</t>
  </si>
  <si>
    <t>7987205</t>
  </si>
  <si>
    <t>DJO_7987205</t>
  </si>
  <si>
    <t>XODUS_30978</t>
  </si>
  <si>
    <t>MEDLINE</t>
  </si>
  <si>
    <t>MEDLINE_MDS251518LF</t>
  </si>
  <si>
    <t>7987215</t>
  </si>
  <si>
    <t>DJO_7987215</t>
  </si>
  <si>
    <t>7987208</t>
  </si>
  <si>
    <t>DJO_7987208</t>
  </si>
  <si>
    <t>MEDTRONIC</t>
  </si>
  <si>
    <t>MEDTRONIC_33145T</t>
  </si>
  <si>
    <t>66ITBP8P</t>
  </si>
  <si>
    <t>FHC INC_66ITBP8P</t>
  </si>
  <si>
    <t>7987233</t>
  </si>
  <si>
    <t>DJO_7987233</t>
  </si>
  <si>
    <t>0750210000</t>
  </si>
  <si>
    <t>STRYKER_0750210000</t>
  </si>
  <si>
    <t>11302124</t>
  </si>
  <si>
    <t>JNJ_11302124</t>
  </si>
  <si>
    <t>42241806  Forearm or wrist or thumb orthopedic softgoods</t>
  </si>
  <si>
    <t>WRIST HAND ORTHOSIS, WRIST EXTENSION CONTROL COCK-UP, NON MOLDED, PREFABRICATED, INCLUDES FITTING AND ADJUSTMENT</t>
  </si>
  <si>
    <t>LACE-UP WRIST SUPPORT Left 7.5 - 8.5 7 Large</t>
  </si>
  <si>
    <t>SUPPORT, ORTHOPAEDIC, WRIST, LARGE, 7.5-8.5 IN, 7 IN, LEFT HAND, LACE-UP, PERFORATED, PALMAR STAY, COCK, SPLINT, SINGLE PULL CLOSURE, ALUMINUM, SUEDE, FLANNEL, PROCARE, DISPOSABLE</t>
  </si>
  <si>
    <t>SUPPORT, ORTHOPEDIC, PROCARE, LARGE, 7.5-8.5IN, 7IN, ALUMINUM, SUEDE, FLANNEL, LEFT HAND, WRIST, LACE-UP, PERFORATED, PALMAR STAY, COCK, SPLINT, SINGLE PULL CLOSURE, DISPOSABLE</t>
  </si>
  <si>
    <t>SPPRT, ORTHO, PRCRE, LRG, 7.5-8.5IN, 7IN, ALUM, SUEDE, FLANNEL, LT HND, WRIST, LACE-UP, PERFORATED, PALMAR STAY, COCK, SPLINT, SGL PULL CLSR, DISP</t>
  </si>
  <si>
    <t>SUPPORT, ORTHO, LRG, 8.5IN, 7IN</t>
  </si>
  <si>
    <t>SUPPORT</t>
  </si>
  <si>
    <t>ORTHOPEDIC</t>
  </si>
  <si>
    <t>ORTHOPAEDIC</t>
  </si>
  <si>
    <t>WRIST</t>
  </si>
  <si>
    <t>LARGE, 7.5-8.5IN</t>
  </si>
  <si>
    <t>LARGE, 7.5-8.5 IN</t>
  </si>
  <si>
    <t>7IN</t>
  </si>
  <si>
    <t>7 IN</t>
  </si>
  <si>
    <t>ALUMINUM, SUEDE, FLANNEL</t>
  </si>
  <si>
    <t>LEFT HAND, WRIST</t>
  </si>
  <si>
    <t>LEFT HAND</t>
  </si>
  <si>
    <t>LACE-UP, PERFORATED, PALMAR STAY, COCK, SPLINT, SINGLE PULL CLOSURE</t>
  </si>
  <si>
    <t>DISPOSABLE</t>
  </si>
  <si>
    <t>https://www.djoglobal.com/products/procare/lace-wrist-support</t>
  </si>
  <si>
    <t>LACE-UP WRIST SUPPORT Left 8.5 7 X-Large</t>
  </si>
  <si>
    <t>SUPPORT, ORTHOPAEDIC, WRIST, XLARGE, 8.5+ IN, 7 IN, LEFT HAND, LACE-UP, PERFORATED, PALMAR STAY, COCK, SPLINT, SINGLE PULL CLOSURE, ALUMINUM, SUEDE, FLANNEL, PROCARE, DISPOSABLE</t>
  </si>
  <si>
    <t>SUPPORT, ORTHOPEDIC, PROCARE, EXTRA LARGE, +8.5IN, 7IN, ALUMINUM, SUEDE, FLANNEL, LEFT HAND, WRIST, LACE-UP, PERFORATED, PALMAR STAY, COCK, SPLINT, SINGLE PULL CLOSURE, DISPOSABLE</t>
  </si>
  <si>
    <t>SPPRT, ORTHO, PRCRE, XLRG, +8.5IN, 7IN, ALUM, SUEDE, FLANNEL, LT HND, WRIST, LACE-UP, PERFORATED, PALMAR STAY, COCK, SPLINT, SGL PULL CLSR, DISP</t>
  </si>
  <si>
    <t>SUPPORT, ORTHO, XLRG, +8.5IN, 7IN</t>
  </si>
  <si>
    <t>EXTRA LARGE, +8.5IN</t>
  </si>
  <si>
    <t>XLARGE, 8.5+ IN</t>
  </si>
  <si>
    <t>42296816  Orthopedic surgical instruments</t>
  </si>
  <si>
    <t>Trochanteric Button – 25 mm</t>
  </si>
  <si>
    <t>BUTTON, ORTHOPAEDIC, TROCHANTERIC, 25 MM, FEMORAL, HIP, REVISION, COATED, MODULAR, STERILE, ARCOS, LATEX</t>
  </si>
  <si>
    <t>BUTTON, ORTHOPEDIC, ARCOS, 25MM, TROCHANTERIC, FEMORAL, HIP, REVISION, COATED, MODULAR, STERILE, LATEX</t>
  </si>
  <si>
    <t>BTN, ORTHO, ARCOS, 25MM, TROCH, FEM, HIP, REV, COATD, MDLR, STRL, LTX</t>
  </si>
  <si>
    <t>BUTTON, ORTHO, ARCOS, 25MM, TROCH</t>
  </si>
  <si>
    <t>BUTTON</t>
  </si>
  <si>
    <t>TROCHANTERIC</t>
  </si>
  <si>
    <t>25MM</t>
  </si>
  <si>
    <t>25 MM</t>
  </si>
  <si>
    <t>TROCHANTERIC, FEMORAL, HIP</t>
  </si>
  <si>
    <t>FEMORAL, HIP</t>
  </si>
  <si>
    <t>REVISION, COATED, MODULAR</t>
  </si>
  <si>
    <t>STERILE</t>
  </si>
  <si>
    <t>LATEX</t>
  </si>
  <si>
    <t>IMPLANT, STEM PROSTHESIS</t>
  </si>
  <si>
    <t>https://www.zimmerbiomet.com/content/dam/zimmer-biomet/medical-professionals/hip/arcos-modular-femoral-revision-system/0531.3-GLBL-en%20Arcos%20Modular%20Femoral%20Revision%20System%20Surg%20Tech-Ordering%20Information.pdf, https://accessgudid.nlm.nih.gov/devices/00880304539259</t>
  </si>
  <si>
    <t>42142127  Therapeutic cryo compression therapy system accessories</t>
  </si>
  <si>
    <t>CARTRIDGE, CRYOTHERAPY, GENERATION 2, IOVERA</t>
  </si>
  <si>
    <t>CARTRIDGE, CRYOTHERAPY, IOVERA, GENERATION 2</t>
  </si>
  <si>
    <t>CRTDG, CRYOTHERAPY, IOVERA, GENERATION 2</t>
  </si>
  <si>
    <t>CARTRIDGE, CRYOTHERAPY, IOVERA, 2</t>
  </si>
  <si>
    <t>CARTRIDGE</t>
  </si>
  <si>
    <t>CRYOTHERAPY</t>
  </si>
  <si>
    <t>IOVERA</t>
  </si>
  <si>
    <t>GENERATION 2</t>
  </si>
  <si>
    <t>URL NOT FOUND</t>
  </si>
  <si>
    <t>42143903  Colon catheters or rectal tubes</t>
  </si>
  <si>
    <t>Biofeedback 2-channel Disposable Catheter</t>
  </si>
  <si>
    <t>CATHETER, ANORECTAL, MANOMETRY, BIOFEEDBACK, 2 CHANNEL, NON STERILE, MCOMPASS, LATEX-FREE, DISPOSABLE</t>
  </si>
  <si>
    <t>CATHETER, ANORECTAL, MCOMPASS, MANOMETRY, BIOFEEDBACK, 2 CHANNEL, NON STERILE, LATEX FREE, DISPOSABLE</t>
  </si>
  <si>
    <t>CATH, ANORECT, MCOMPASS, MNOMTR, BIOFEEDBACK, 2 CHNL, NON STRL, LTXFREE, DISP</t>
  </si>
  <si>
    <t>CATH, ANORECT, MCOMPASS, MNOMTR, 2</t>
  </si>
  <si>
    <t>CATHETER</t>
  </si>
  <si>
    <t>ANORECTAL</t>
  </si>
  <si>
    <t>MCOMPASS</t>
  </si>
  <si>
    <t>MANOMETRY</t>
  </si>
  <si>
    <t>MANOMETRY, BIOFEEDBACK, 2 CHANNEL</t>
  </si>
  <si>
    <t>BIOFEEDBACK, 2 CHANNEL</t>
  </si>
  <si>
    <t>NON STERILE</t>
  </si>
  <si>
    <t>LATEX FREE</t>
  </si>
  <si>
    <t>https://shop.medspira.com/product/2-channel-disposable-catheter-5-pack/, https://accessgudid.nlm.nih.gov/devices/00851607003075</t>
  </si>
  <si>
    <t>42312402  Nasal splints or stents</t>
  </si>
  <si>
    <t>A4570</t>
  </si>
  <si>
    <t>SPLINT</t>
  </si>
  <si>
    <t>Doyle Nasal Splints</t>
  </si>
  <si>
    <t>SPLINT, NASAL, 67X25 MM, DOYLE</t>
  </si>
  <si>
    <t>SPLINT, NASAL, DOYLE, 25X67MM</t>
  </si>
  <si>
    <t>NASAL</t>
  </si>
  <si>
    <t>DOYLE</t>
  </si>
  <si>
    <t>25X67MM</t>
  </si>
  <si>
    <t>67X25 MM</t>
  </si>
  <si>
    <t>https://endureind.com/products/doyle-nasal-splints</t>
  </si>
  <si>
    <t>LACE-UP WRIST SUPPORT Right 7.5 - 8.5 7 Large</t>
  </si>
  <si>
    <t>SUPPORT, ORTHOPAEDIC, WRIST, LARGE, 7.5-8.5 IN, 7 IN, RIGHT HAND, LACE-UP, PERFORATED, PALMAR STAY, COCK, SPLINT, SINGLE PULL CLOSURE, ALUMINUM, SUEDE, FLANNEL, PROCARE, DISPOSABLE</t>
  </si>
  <si>
    <t>SUPPORT, ORTHOPEDIC, PROCARE, LARGE, 7.5-8.5IN, 7IN, ALUMINUM, SUEDE, FLANNEL, RIGHT HAND, WRIST, LACE-UP, PERFORATED, PALMAR STAY, COCK, SPLINT, SINGLE PULL CLOSURE, DISPOSABLE</t>
  </si>
  <si>
    <t>SPPRT, ORTHO, PRCRE, LRG, 7.5-8.5IN, 7IN, ALUM, SUEDE, FLANNEL, RT HND, WRIST, LACE-UP, PERFORATED, PALMAR STAY, COCK, SPLINT, SGL PULL CLSR, DISP</t>
  </si>
  <si>
    <t>RIGHT HAND, WRIST</t>
  </si>
  <si>
    <t>RIGHT HAND</t>
  </si>
  <si>
    <t>42295419  Surgical nerve stimulators</t>
  </si>
  <si>
    <t>SMART TIP STIMULATING (1X90MM) 5-PACK</t>
  </si>
  <si>
    <t>STIMULATOR, NERVE, SMART TIP, 1X90 MM, STIMULATING, GENERATION 2, STERILE, IOVERA, LATEX</t>
  </si>
  <si>
    <t>STIMULATOR, NERVE, IOVERA, 1X90MM, SMART TIP, STIMULATING, GENERATION 2, STERILE, LATEX</t>
  </si>
  <si>
    <t>STM, NRV, IOVERA, 1X90MM, SMART TIP, STIMULATING, GENERATION 2, STRL, LTX</t>
  </si>
  <si>
    <t>STIMULATOR, NRV, IOVERA, 1X90MM, 2</t>
  </si>
  <si>
    <t>STIMULATOR</t>
  </si>
  <si>
    <t>NERVE</t>
  </si>
  <si>
    <t>SMART TIP</t>
  </si>
  <si>
    <t>1X90MM</t>
  </si>
  <si>
    <t>1X90 MM</t>
  </si>
  <si>
    <t>SMART TIP, STIMULATING, GENERATION 2</t>
  </si>
  <si>
    <t>STIMULATING, GENERATION 2</t>
  </si>
  <si>
    <t>https://accessgudid.nlm.nih.gov/devices/00816287020286</t>
  </si>
  <si>
    <t>42211503  Positioning devices</t>
  </si>
  <si>
    <t>E0190</t>
  </si>
  <si>
    <t>POSITIONING CUSHION/PILLOW/WEDGE, ANY SHAPE OR SIZE, INCLUDES ALL COMPONENTS AND ACCESSORIES</t>
  </si>
  <si>
    <t>Jackson Kit</t>
  </si>
  <si>
    <t>PATIENT POSITIONING KIT, ALLEN JACKSON, NON STERILE, LATEX</t>
  </si>
  <si>
    <t>KIT, PATIENT POSITIONING, ALLEN JACKSON, NON STERILE, LATEX</t>
  </si>
  <si>
    <t>KIT, PT PSTNG, ALLEN JACKSON, NON STRL, LTX</t>
  </si>
  <si>
    <t>KIT, PT PSTNG, ALLEN JACKSON, LTX</t>
  </si>
  <si>
    <t>KIT</t>
  </si>
  <si>
    <t>PATIENT POSITIONING KIT</t>
  </si>
  <si>
    <t>PATIENT POSITIONING</t>
  </si>
  <si>
    <t>ALLEN JACKSON</t>
  </si>
  <si>
    <t>https://accessgudid.nlm.nih.gov/devices/00787551039689</t>
  </si>
  <si>
    <t>42312005  Medical adhesive strip or topical glue for skin closure</t>
  </si>
  <si>
    <t>PAD, TISSUE ADHESIVE, PLATFORM, 16X10 IN, STERILE, SURGILOCK, LATEX-FREE</t>
  </si>
  <si>
    <t>PAD, TISSUE ADHESIVE, SURGILOCK, 10X16IN, PLATFORM, STERILE, LATEX FREE</t>
  </si>
  <si>
    <t>PAD, TISS ADH, SURGILOCK, 10X16IN, PLATFORM, STRL, LTXFREE</t>
  </si>
  <si>
    <t>PAD, TISS ADH, SURGILOCK, 10X16IN</t>
  </si>
  <si>
    <t>PAD</t>
  </si>
  <si>
    <t>TISSUE ADHESIVE</t>
  </si>
  <si>
    <t>SURGILOCK</t>
  </si>
  <si>
    <t>PLATFORM</t>
  </si>
  <si>
    <t>10X16IN</t>
  </si>
  <si>
    <t>16X10 IN</t>
  </si>
  <si>
    <t>INSTRUMENT</t>
  </si>
  <si>
    <t>https://surgilock.com/, https://accessgudid.nlm.nih.gov/devices/00850047863003</t>
  </si>
  <si>
    <t>42143102  Uterine devices</t>
  </si>
  <si>
    <t>DEVICE, INTRAUTERINE, VACUUM, JADA 2.0</t>
  </si>
  <si>
    <t>DEVICE, INTRAUTERINE, JADA 2.0, VACUUM</t>
  </si>
  <si>
    <t>DEV, IU, JADA 2.0, VACUUM</t>
  </si>
  <si>
    <t>DEVICE, IU, JADA 2.0, VACUUM</t>
  </si>
  <si>
    <t>DEVICE</t>
  </si>
  <si>
    <t>INTRAUTERINE</t>
  </si>
  <si>
    <t>VACUUM</t>
  </si>
  <si>
    <t>SYSTEM</t>
  </si>
  <si>
    <t>LACE-UP WRIST SUPPORT Right 5.5 - 6.5 7 Small</t>
  </si>
  <si>
    <t>SUPPORT, ORTHOPAEDIC, WRIST, SMALL, 5.5-6.5 IN, 7 IN, RIGHT HAND, LACE-UP, PERFORATED, PALMAR STAY, COCK, SPLINT, SINGLE PULL CLOSURE, ALUMINUM, SUEDE, FLANNEL, PROCARE, DISPOSABLE</t>
  </si>
  <si>
    <t>SUPPORT, ORTHOPEDIC, PROCARE, SMALL, 5.5-6.5IN, 7IN, ALUMINUM, SUEDE, FLANNEL, RIGHT HAND, WRIST, LACE-UP, PERFORATED, PALMAR STAY, COCK, SPLINT, SINGLE PULL CLOSURE, DISPOSABLE</t>
  </si>
  <si>
    <t>SPPRT, ORTHO, PRCRE, SM, 5.5-6.5IN, 7IN, ALUM, SUEDE, FLANNEL, RT HND, WRIST, LACE-UP, PERFORATED, PALMAR STAY, COCK, SPLINT, SGL PULL CLSR, DISP</t>
  </si>
  <si>
    <t>SUPPORT, ORTHO, SM, 5.5-6.5IN, 7IN</t>
  </si>
  <si>
    <t>SMALL, 5.5-6.5IN</t>
  </si>
  <si>
    <t>SMALL, 5.5-6.5 IN</t>
  </si>
  <si>
    <t>42296402  Endoscopic fluid management systems or accessories</t>
  </si>
  <si>
    <t>V2 specimen collection manifold kit includes specimen collection tray (50 manifolds and 30 collection trays/box)</t>
  </si>
  <si>
    <t>SPECIMEN COLLECTION MANIFOLD KIT, V2, TRAY, NON STERILE, NEPTUNE, LATEX</t>
  </si>
  <si>
    <t>KIT, SPECIMEN COLLECTION MANIFOLD, NEPTUNE, V2, TRAY, NON STERILE, LATEX</t>
  </si>
  <si>
    <t>KIT, SPECIMN CLCTN MNFLD, NEPTUNE, V2, TRAY, NON STRL, LTX</t>
  </si>
  <si>
    <t>KIT, SPECIMN CLCTN MNFLD, TRAY</t>
  </si>
  <si>
    <t>SPECIMEN COLLECTION MANIFOLD KIT</t>
  </si>
  <si>
    <t>SPECIMEN COLLECTION MANIFOLD</t>
  </si>
  <si>
    <t>V2, TRAY</t>
  </si>
  <si>
    <t>https://www.stryker.com/content/dam/stryker/surgical/services/smart-equipment-management/resources/Neptune%20S%20Features%20and%20Benefits%20(5).pdf</t>
  </si>
  <si>
    <t>42143902  Fecal management systems or kits</t>
  </si>
  <si>
    <t>Extension Tube</t>
  </si>
  <si>
    <t>TUBE, EXTENSION, FOR MCOMPASS CATHETER, NON STERILE, LATEX-FREE</t>
  </si>
  <si>
    <t>TUBE, EXTENSION, FOR MCOMPASS CATHETER, NON STERILE, LATEX FREE</t>
  </si>
  <si>
    <t>TUBE, EXTSN, FOR MCOMPASS CATH, NON STRL, LTXFREE</t>
  </si>
  <si>
    <t>TUBE, EXTSN, FOR MCOMPASS CATH</t>
  </si>
  <si>
    <t>TUBE</t>
  </si>
  <si>
    <t>EXTENSION</t>
  </si>
  <si>
    <t>FOR MCOMPASS CATHETER</t>
  </si>
  <si>
    <t>5PACK</t>
  </si>
  <si>
    <t>https://shop.medspira.com/product/extension-tube-set-5-pack/, https://accessgudid.nlm.nih.gov/devices/00851607003181</t>
  </si>
  <si>
    <t>Classified Nearest to Commodity Level</t>
  </si>
  <si>
    <t>Anorectal Manometry 5-channel Disposable Catheter (5 Pack)</t>
  </si>
  <si>
    <t>CATHETER, ANORECTAL, MANOMETRY, 5 CHANNEL, NON STERILE, MCOMPASS, LATEX-FREE, DISPOSABLE</t>
  </si>
  <si>
    <t>CATHETER, ANORECTAL, MCOMPASS, MANOMETRY, 5 CHANNEL, NON STERILE, LATEX FREE, DISPOSABLE</t>
  </si>
  <si>
    <t>CATH, ANORECT, MCOMPASS, MNOMTR, 5 CHNL, NON STRL, LTXFREE, DISP</t>
  </si>
  <si>
    <t>CATH, ANORECT, MCOMPASS, 5 CHNL</t>
  </si>
  <si>
    <t>MANOMETRY, 5 CHANNEL</t>
  </si>
  <si>
    <t>5 CHANNEL</t>
  </si>
  <si>
    <t>https://shop.medspira.com/product/5-channel-disposable-catheter/, https://accessgudid.nlm.nih.gov/devices/00851607003037</t>
  </si>
  <si>
    <t>LACE-UP WRIST SUPPORT Right 6.5 - 7.5 7 Medium</t>
  </si>
  <si>
    <t>SUPPORT, ORTHOPAEDIC, WRIST, MEDIUM, 6.5-7.5 IN, 7 IN, RIGHT HAND, LACE-UP, PERFORATED, PALMAR STAY, COCK, SPLINT, SINGLE PULL CLOSURE, ALUMINUM, SUEDE, FLANNEL, PROCARE, DISPOSABLE</t>
  </si>
  <si>
    <t>SUPPORT, ORTHOPEDIC, PROCARE, MEDIUM, 6.5-7.5IN, 7IN, ALUMINUM, SUEDE, FLANNEL, RIGHT HAND, WRIST, LACE-UP, PERFORATED, PALMAR STAY, COCK, SPLINT, SINGLE PULL CLOSURE, DISPOSABLE</t>
  </si>
  <si>
    <t>SPPRT, ORTHO, PRCRE, MED, 6.5-7.5IN, 7IN, ALUM, SUEDE, FLANNEL, RT HND, WRIST, LACE-UP, PERFORATED, PALMAR STAY, COCK, SPLINT, SGL PULL CLSR, DISP</t>
  </si>
  <si>
    <t>SUPPORT, ORTHO, MED, 7.5IN, 7IN</t>
  </si>
  <si>
    <t>MEDIUM, 6.5-7.5IN</t>
  </si>
  <si>
    <t>MEDIUM, 6.5-7.5 IN</t>
  </si>
  <si>
    <t>42282005  Endoscope pull-through sponges or cleaning systems</t>
  </si>
  <si>
    <t>SEE SHARP KIT</t>
  </si>
  <si>
    <t>DEFOGGING KIT, LAPAROSCOPIC, CLEANING, CLOTH, SOLUTION, SWAB, INNOVATIVE, FOR 150 MM TROCAR, STERILE, SEE SHARP, LATEX</t>
  </si>
  <si>
    <t>KIT, DEFOGGING, SEE SHARP, LAPAROSCOPIC, CLEANING, CLOTH, SOLUTION, SWAB, INNOVATIVE, FOR 150MM TROCAR, STERILE, LATEX</t>
  </si>
  <si>
    <t>KIT, DEFOGGING, SEE SHRP, LPRSCPC, CLNG, CLOTH, SOL, SWAB, INNOVATIVE, FOR 150MM TROC, STRL, LTX</t>
  </si>
  <si>
    <t>KIT, DEFOGGING, SEE SHRP, LPRSCPC</t>
  </si>
  <si>
    <t>DEFOGGING KIT</t>
  </si>
  <si>
    <t>DEFOGGING</t>
  </si>
  <si>
    <t>LAPAROSCOPIC</t>
  </si>
  <si>
    <t>LAPAROSCOPIC, CLEANING, CLOTH, SOLUTION, SWAB, INNOVATIVE, FOR 150MM TROCAR</t>
  </si>
  <si>
    <t>CLEANING, CLOTH, SOLUTION, SWAB, INNOVATIVE, FOR 150 MM TROCAR</t>
  </si>
  <si>
    <t>https://xodusmedical.com/Product/30978, https://accessgudid.nlm.nih.gov/devices/00787551038729</t>
  </si>
  <si>
    <t>42295406  Laparotomy or surgical x ray detectable sponge or towel</t>
  </si>
  <si>
    <t>X-Ray Detect Lap Sponge 4Ply 18x18 200Ct</t>
  </si>
  <si>
    <t>SPONGE, LAPAROTOMY, ABSORBENT, 18X18 IN, GAUZE, X-RAY DETECTABLE, 4 PLY, DELUXE, PREWASHED, DELINTED, COTTON, WHITE, STERILE, LATEX-FREE, DISPOSABLE</t>
  </si>
  <si>
    <t>SPONGE, LAPAROTOMY, 18X18IN, COTTON, WHITE, ABSORBENT, GAUZE, X-RAY DETECTABLE, 4 PLY, DELUXE, PREWASHED, DELINTED, STERILE, LATEX FREE, DISPOSABLE</t>
  </si>
  <si>
    <t>SPONGE, LPRTMY, 18X18IN, COTTON, WHT, ABSBT, GAUZE, X-RAY DETECTABLE, 4 PLY, DEL, PREWASHED, DELINTED, STRL, LTXFREE, DISP</t>
  </si>
  <si>
    <t>SPONGE, LPRTMY, 18X18IN, COTTON</t>
  </si>
  <si>
    <t>SPONGE</t>
  </si>
  <si>
    <t>LAPAROTOMY</t>
  </si>
  <si>
    <t>ABSORBENT</t>
  </si>
  <si>
    <t>18X18IN</t>
  </si>
  <si>
    <t>18X18 IN</t>
  </si>
  <si>
    <t>COTTON</t>
  </si>
  <si>
    <t>WHITE</t>
  </si>
  <si>
    <t>ABSORBENT, GAUZE, X-RAY DETECTABLE, 4 PLY, DELUXE, PREWASHED, DELINTED</t>
  </si>
  <si>
    <t>GAUZE, X-RAY DETECTABLE, 4 PLY, DELUXE, PREWASHED, DELINTED</t>
  </si>
  <si>
    <t>https://athome.medline.com/en/medline-st-x-ray-detect-lap-sponge-4ply-18x18-200ct-mds251518lf</t>
  </si>
  <si>
    <t>LACE-UP WRIST SUPPORT Left 6.5 - 7.5 7 Medium</t>
  </si>
  <si>
    <t>SUPPORT, ORTHOPAEDIC, WRIST, MEDIUM, 6.5-7.5 IN, 7 IN, LEFT HAND, LACE-UP, PERFORATED, PALMAR STAY, COCK, SPLINT, SINGLE PULL CLOSURE, ALUMINUM, SUEDE, FLANNEL, PROCARE, DISPOSABLE</t>
  </si>
  <si>
    <t>SUPPORT, ORTHOPEDIC, PROCARE, MEDIUM, 6.5-7.5IN, 7IN, ALUMINUM, SUEDE, FLANNEL, LEFT HAND, WRIST, LACE-UP, PERFORATED, PALMAR STAY, COCK, SPLINT, SINGLE PULL CLOSURE, DISPOSABLE</t>
  </si>
  <si>
    <t>SPPRT, ORTHO, PRCRE, MED, 6.5-7.5IN, 7IN, ALUM, SUEDE, FLANNEL, LT HND, WRIST, LACE-UP, PERFORATED, PALMAR STAY, COCK, SPLINT, SGL PULL CLSR, DISP</t>
  </si>
  <si>
    <t>LACE-UP WRIST SUPPORT Right 8.5 7 X-Large</t>
  </si>
  <si>
    <t>SUPPORT, ORTHOPAEDIC, WRIST, XLARGE, 8.5+ IN, 7 IN, RIGHT HAND, LACE-UP, PERFORATED, PALMAR STAY, COCK, SPLINT, SINGLE PULL CLOSURE, ALUMINUM, SUEDE, FLANNEL, PROCARE, DISPOSABLE</t>
  </si>
  <si>
    <t>SUPPORT, ORTHOPEDIC, PROCARE, EXTRA LARGE, +8.5IN, 7IN, ALUMINUM, SUEDE, FLANNEL, RIGHT HAND, WRIST, LACE-UP, PERFORATED, PALMAR STAY, COCK, SPLINT, SINGLE PULL CLOSURE, DISPOSABLE</t>
  </si>
  <si>
    <t>SPPRT, ORTHO, PRCRE, XLRG, +8.5IN, 7IN, ALUM, SUEDE, FLANNEL, RT HND, WRIST, LACE-UP, PERFORATED, PALMAR STAY, COCK, SPLINT, SGL PULL CLSR, DISP</t>
  </si>
  <si>
    <t>42181702  Electrocardiography EKG adapters or cables or leads</t>
  </si>
  <si>
    <t>Disposable Dual connect cable only 108in</t>
  </si>
  <si>
    <t>CABLE, EKG, DUAL CONNECT, 9 FT, 10 PIN, NON STERILE, DL, LATEX, DISPOSABLE</t>
  </si>
  <si>
    <t>CABLE, EKG, DL, 9FT, DUAL CONNECT, 10 PIN, NON STERILE, LATEX, DISPOSABLE</t>
  </si>
  <si>
    <t>CBL, EKG, DL, 9FT, DUAL CONNECT, 10 PIN, NON STRL, LTX, DISP</t>
  </si>
  <si>
    <t>CABLE, EKG, DL, 9FT, DUAL, 10 PIN</t>
  </si>
  <si>
    <t>CABLE</t>
  </si>
  <si>
    <t>EKG</t>
  </si>
  <si>
    <t>DL</t>
  </si>
  <si>
    <t>DUAL CONNECT</t>
  </si>
  <si>
    <t>9FT</t>
  </si>
  <si>
    <t>9 FT</t>
  </si>
  <si>
    <t>DUAL CONNECT, 10 PIN</t>
  </si>
  <si>
    <t>10 PIN</t>
  </si>
  <si>
    <t>https://www.cardinalhealth.com/en/product-solutions/medical/patient-monitoring/electrocardiography/cardiology-cables-leads/kendall-dl-disposable-cable-lead-wire-system.html, https://accessgudid.nlm.nih.gov/devices/10884521212619</t>
  </si>
  <si>
    <t>42295477  Surgical nerve stimulator accessories</t>
  </si>
  <si>
    <t>MICROTARGETING SINGLE INSERTION TUBE WITH STYLET</t>
  </si>
  <si>
    <t>TUBE, INSERTION, SINGLE, WITH STYLET, FOR STEREOTACTIC FRAME, STERILE, MICROTARGETING, LATEX</t>
  </si>
  <si>
    <t>TUBE, INSERTION, MICROTARGETING, SINGLE, WITH STYLET, FOR STEREOTACTIC FRAME, STERILE, LATEX</t>
  </si>
  <si>
    <t>TUBE, INSRTN, MICROTARGETING, SGL, W/ STYLET, FOR STRTC FRAME, STRL, LTX</t>
  </si>
  <si>
    <t>TUBE, INSRTN, MICROTARGETING, LTX</t>
  </si>
  <si>
    <t>INSERTION</t>
  </si>
  <si>
    <t>SINGLE</t>
  </si>
  <si>
    <t>SINGLE, WITH STYLET, FOR STEREOTACTIC FRAME</t>
  </si>
  <si>
    <t>WITH STYLET, FOR STEREOTACTIC FRAME</t>
  </si>
  <si>
    <t>https://www.fh-co.com/quality-regulatory/, https://accessgudid.nlm.nih.gov/devices/00873263003329</t>
  </si>
  <si>
    <t>LACE-UP WRIST SUPPORT Left 5.5 - 6.5 10 Small</t>
  </si>
  <si>
    <t>SUPPORT, ORTHOPAEDIC, WRIST, SMALL, 5.5-6.5 IN, 10 IN, LEFT HAND, LACE-UP, PERFORATED, PALMAR STAY, COCK, SPLINT, SINGLE PULL CLOSURE, ALUMINUM, SUEDE, FLANNEL, PROCARE, DISPOSABLE</t>
  </si>
  <si>
    <t>SUPPORT, ORTHOPEDIC, PROCARE, SMALL, 5.5-6.5IN, 10IN, ALUMINUM, SUEDE, FLANNEL, LEFT HAND, WRIST, LACE-UP, PERFORATED, PALMAR STAY, COCK, SPLINT, SINGLE PULL CLOSURE, DISPOSABLE</t>
  </si>
  <si>
    <t>SPPRT, ORTHO, PRCRE, SM, 5.5-6.5IN, 10IN, ALUM, SUEDE, FLANNEL, LT HND, WRIST, LACE-UP, PERFORATED, PALMAR STAY, COCK, SPLINT, SGL PULL CLSR, DISP</t>
  </si>
  <si>
    <t>SUPPORT, ORTHO, SM, 6.5IN, 10IN</t>
  </si>
  <si>
    <t>10IN</t>
  </si>
  <si>
    <t>10 IN</t>
  </si>
  <si>
    <t>V2 specimen collection tray – 50 trays</t>
  </si>
  <si>
    <t>SPECIMEN COLLECTION TRAY, V2, NON STERILE, NEPTUNE, LATEX</t>
  </si>
  <si>
    <t>TRAY, SPECIMEN COLLECTION, NEPTUNE, V2, NON STERILE, LATEX</t>
  </si>
  <si>
    <t>TRAY, SPEC CLCTN, NEPTUNE, V2, NON STRL, LTX</t>
  </si>
  <si>
    <t>TRAY, SPEC CLCTN, NEPTUNE, V2, LTX</t>
  </si>
  <si>
    <t>TRAY</t>
  </si>
  <si>
    <t>SPECIMEN COLLECTION TRAY</t>
  </si>
  <si>
    <t>SPECIMEN COLLECTION</t>
  </si>
  <si>
    <t>V2</t>
  </si>
  <si>
    <t>https://www.stryker.com/content/dam/stryker/surgical/services/smart-equipment-management/resources/Neptune%20S%20Features%20and%20Benefits%20(5).pdf, https://accessgudid.nlm.nih.gov/devices/07613327562590</t>
  </si>
  <si>
    <t>42321519  Orthopedic bolts</t>
  </si>
  <si>
    <t>ANCHOR/SCREW FOR OPPOSING BONE-TO-BONE OR SOFT TISSUE-TO-BONE (IMPLANTABLE)</t>
  </si>
  <si>
    <t>Trochanteric Bolt 24 mm 6.9MM</t>
  </si>
  <si>
    <t>BOLT, ORTHOPAEDIC, TROCHANTERIC, 6.9X24 MM, LATERAL, FEMORAL, HIP, REVISION, COATED, MODULAR, STERILE, ARCOS, LATEX</t>
  </si>
  <si>
    <t>BOLT, ORTHOPEDIC, ARCOS, 6.9X24MM, TROCHANTERIC, LATERAL, FEMORAL, HIP, REVISION, COATED, MODULAR, STERILE, LATEX</t>
  </si>
  <si>
    <t>BOLT, ORTHO, ARCOS, 6.9X24MM, TROCH, LAT, FEM, HIP, REV, COATD, MDLR, STRL, LTX</t>
  </si>
  <si>
    <t>BOLT, ORTHO, ARCOS, 6.9X24MM, LAT</t>
  </si>
  <si>
    <t>BOLT</t>
  </si>
  <si>
    <t>6.9X24MM</t>
  </si>
  <si>
    <t>6.9X24 MM</t>
  </si>
  <si>
    <t>TROCHANTERIC, LATERAL, FEMORAL, HIP</t>
  </si>
  <si>
    <t>LATERAL, FEMORAL, HIP</t>
  </si>
  <si>
    <t>IMPLANT</t>
  </si>
  <si>
    <t>https://www.zimmerbiomet.com/content/dam/zimmer-biomet/medical-professionals/hip/arcos-modular-femoral-revision-system/0531.3-GLBL-en%20Arcos%20Modular%20Femoral%20Revision%20System%20Surg%20Tech-Ordering%20Information.pdf, https://accessgudid.nlm.nih.gov/devices/00880304474352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</si>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</sst>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4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1" xfId="0" applyFont="1" applyAlignment="1">
      <alignment horizontal="left"/>
    </xf>
    <xf numFmtId="49" fontId="8" fillId="0" borderId="1" xfId="0" applyNumberFormat="1" applyFont="1" applyAlignment="1">
      <alignment horizontal="left"/>
    </xf>
    <xf numFmtId="0" fontId="8" fillId="0" borderId="1" xfId="0" applyNumberFormat="1" applyFont="1" applyAlignment="1">
      <alignment horizontal="left"/>
    </xf>
    <xf numFmtId="0" fontId="8" fillId="0" borderId="1" xfId="0" applyNumberFormat="1" applyFont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4.7109375" style="1" customWidth="1"/>
    <col min="17" max="17" width="5.7109375" style="1" customWidth="1"/>
    <col min="18" max="18" width="8.140625" style="1" customWidth="1"/>
    <col min="19" max="19" width="9.140625" style="1" customWidth="1"/>
    <col min="20" max="20" width="31.42578125" style="1" customWidth="1"/>
    <col min="21" max="21" width="19.7109375" style="1" customWidth="1"/>
    <col min="22" max="22" width="27.28515625" style="1" customWidth="1"/>
    <col min="23" max="23" width="15.85546875" style="1" customWidth="1"/>
    <col min="24" max="24" width="17.42578125" style="1" customWidth="1"/>
    <col min="25" max="25" width="19.710937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3.5703125" style="1" customWidth="1"/>
    <col min="32" max="32" width="17.85546875" style="1" customWidth="1"/>
    <col min="33" max="33" width="143.140625" style="1" customWidth="1"/>
    <col min="34" max="34" width="135.85546875" style="1" customWidth="1"/>
    <col min="35" max="35" width="13.140625" style="1" customWidth="1"/>
    <col min="36" max="36" width="8.140625" style="1" customWidth="1"/>
    <col min="37" max="37" width="18.1406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61</v>
      </c>
      <c r="B1" s="3" t="s">
        <v>35</v>
      </c>
      <c r="C1" s="2" t="s">
        <v>120</v>
      </c>
      <c r="D1" s="2" t="s">
        <v>274</v>
      </c>
      <c r="E1" s="2" t="s">
        <v>82</v>
      </c>
      <c r="F1" s="2" t="s">
        <v>253</v>
      </c>
      <c r="G1" s="2" t="s">
        <v>165</v>
      </c>
      <c r="H1" s="2" t="s">
        <v>148</v>
      </c>
      <c r="I1" s="2" t="s">
        <v>30</v>
      </c>
      <c r="J1" s="2" t="s">
        <v>166</v>
      </c>
      <c r="K1" s="2" t="s">
        <v>104</v>
      </c>
      <c r="L1" s="2" t="s">
        <v>113</v>
      </c>
      <c r="M1" s="2" t="s">
        <v>95</v>
      </c>
      <c r="N1" s="2" t="s">
        <v>78</v>
      </c>
      <c r="O1" s="2" t="s">
        <v>119</v>
      </c>
      <c r="P1" s="4" t="s">
        <v>129</v>
      </c>
      <c r="Q1" s="4" t="s">
        <v>99</v>
      </c>
      <c r="R1" s="5" t="s">
        <v>10</v>
      </c>
      <c r="S1" s="5" t="s">
        <v>214</v>
      </c>
      <c r="T1" s="5" t="s">
        <v>232</v>
      </c>
      <c r="U1" s="5" t="s">
        <v>43</v>
      </c>
      <c r="V1" s="5" t="s">
        <v>131</v>
      </c>
      <c r="W1" s="5" t="s">
        <v>149</v>
      </c>
      <c r="X1" s="6" t="s">
        <v>183</v>
      </c>
      <c r="Y1" s="5" t="s">
        <v>100</v>
      </c>
      <c r="Z1" s="6" t="s">
        <v>114</v>
      </c>
      <c r="AA1" s="7" t="s">
        <v>231</v>
      </c>
      <c r="AB1" s="7" t="s">
        <v>31</v>
      </c>
      <c r="AC1" s="8" t="s">
        <v>97</v>
      </c>
      <c r="AD1" s="7" t="s">
        <v>170</v>
      </c>
      <c r="AE1" s="5" t="s">
        <v>140</v>
      </c>
      <c r="AF1" s="9" t="s">
        <v>107</v>
      </c>
      <c r="AG1" s="10" t="s">
        <v>81</v>
      </c>
      <c r="AH1" s="10" t="s">
        <v>252</v>
      </c>
      <c r="AI1" s="10" t="s">
        <v>213</v>
      </c>
      <c r="AJ1" s="10" t="s">
        <v>239</v>
      </c>
      <c r="AK1" s="10" t="s">
        <v>209</v>
      </c>
      <c r="AL1" s="6" t="s">
        <v>8</v>
      </c>
      <c r="AM1" s="11" t="s">
        <v>207</v>
      </c>
      <c r="AN1" s="11" t="s">
        <v>75</v>
      </c>
      <c r="AO1" s="12" t="s">
        <v>27</v>
      </c>
      <c r="AP1" s="12" t="s">
        <v>233</v>
      </c>
      <c r="AQ1" s="6" t="s">
        <v>55</v>
      </c>
      <c r="AR1" s="6" t="s">
        <v>177</v>
      </c>
      <c r="AS1" s="6" t="s">
        <v>241</v>
      </c>
      <c r="AT1" s="6" t="s">
        <v>37</v>
      </c>
      <c r="AU1" s="13" t="s">
        <v>117</v>
      </c>
      <c r="AV1" s="14" t="s">
        <v>230</v>
      </c>
      <c r="AW1" s="15" t="s">
        <v>212</v>
      </c>
      <c r="AX1" s="14" t="s">
        <v>124</v>
      </c>
      <c r="AY1" s="15" t="s">
        <v>189</v>
      </c>
      <c r="AZ1" s="14" t="s">
        <v>224</v>
      </c>
      <c r="BA1" s="15" t="s">
        <v>269</v>
      </c>
      <c r="BB1" s="15" t="s">
        <v>144</v>
      </c>
      <c r="BC1" s="14" t="s">
        <v>175</v>
      </c>
      <c r="BD1" s="15" t="s">
        <v>12</v>
      </c>
      <c r="BE1" s="15" t="s">
        <v>34</v>
      </c>
      <c r="BF1" s="14" t="s">
        <v>40</v>
      </c>
      <c r="BG1" s="15" t="s">
        <v>153</v>
      </c>
      <c r="BH1" s="14" t="s">
        <v>134</v>
      </c>
      <c r="BI1" s="15" t="s">
        <v>132</v>
      </c>
      <c r="BJ1" s="14" t="s">
        <v>85</v>
      </c>
      <c r="BK1" s="15" t="s">
        <v>67</v>
      </c>
      <c r="BL1" s="15" t="s">
        <v>229</v>
      </c>
      <c r="BM1" s="14" t="s">
        <v>28</v>
      </c>
      <c r="BN1" s="15" t="s">
        <v>133</v>
      </c>
      <c r="BO1" s="14" t="s">
        <v>174</v>
      </c>
      <c r="BP1" s="15" t="s">
        <v>217</v>
      </c>
      <c r="BQ1" s="14" t="s">
        <v>194</v>
      </c>
      <c r="BR1" s="14" t="s">
        <v>9</v>
      </c>
      <c r="BS1" s="15" t="s">
        <v>249</v>
      </c>
      <c r="BT1" s="14" t="s">
        <v>3</v>
      </c>
      <c r="BU1" s="14" t="s">
        <v>57</v>
      </c>
      <c r="BV1" s="14" t="s">
        <v>146</v>
      </c>
      <c r="BW1" s="15" t="s">
        <v>268</v>
      </c>
      <c r="BX1" s="14" t="s">
        <v>261</v>
      </c>
      <c r="BY1" s="16" t="s">
        <v>180</v>
      </c>
      <c r="BZ1" s="17" t="s">
        <v>256</v>
      </c>
      <c r="CA1" s="17" t="s">
        <v>45</v>
      </c>
      <c r="CB1" s="17" t="s">
        <v>154</v>
      </c>
      <c r="CC1" s="7" t="s">
        <v>86</v>
      </c>
      <c r="CD1" s="18" t="s">
        <v>52</v>
      </c>
      <c r="CE1" s="18" t="s">
        <v>73</v>
      </c>
      <c r="CF1" s="18" t="s">
        <v>260</v>
      </c>
      <c r="CG1" s="1" t="s">
        <v>178</v>
      </c>
    </row>
    <row r="2" spans="1:85" ht="12" customHeight="1" x14ac:dyDescent="0.25">
      <c r="A2" s="19" t="s">
        <v>105</v>
      </c>
      <c r="B2" s="19" t="s">
        <v>47</v>
      </c>
      <c r="C2" t="s">
        <v>248</v>
      </c>
      <c r="D2" s="20" t="s">
        <v>280</v>
      </c>
      <c r="E2" t="s">
        <v>248</v>
      </c>
      <c r="F2" s="20" t="s">
        <v>283</v>
      </c>
      <c r="G2" s="19" t="s">
        <v>54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88</v>
      </c>
      <c r="S2" t="s">
        <v>192</v>
      </c>
      <c r="T2" t="s">
        <v>227</v>
      </c>
      <c r="U2" t="s">
        <v>116</v>
      </c>
      <c r="V2" t="s">
        <v>150</v>
      </c>
      <c r="W2" t="s">
        <v>110</v>
      </c>
      <c r="X2" s="20" t="s">
        <v>284</v>
      </c>
      <c r="Y2" t="s">
        <v>32</v>
      </c>
      <c r="Z2" s="20" t="s">
        <v>32</v>
      </c>
      <c r="AA2" s="20" t="s">
        <v>291</v>
      </c>
      <c r="AB2" s="20" t="s">
        <v>32</v>
      </c>
      <c r="AC2" s="21" t="s">
        <v>292</v>
      </c>
      <c r="AD2" s="20" t="s">
        <v>293</v>
      </c>
      <c r="AE2" t="s">
        <v>237</v>
      </c>
      <c r="AF2" t="s">
        <v>278</v>
      </c>
      <c r="AG2" t="s">
        <v>46</v>
      </c>
      <c r="AH2" t="s">
        <v>147</v>
      </c>
      <c r="AI2" t="s">
        <v>223</v>
      </c>
      <c r="AJ2" t="s">
        <v>127</v>
      </c>
      <c r="AK2" t="s">
        <v>197</v>
      </c>
      <c r="AL2" s="20" t="s">
        <v>347</v>
      </c>
      <c r="AM2" s="20" t="s">
        <v>127</v>
      </c>
      <c r="AN2" s="20" t="s">
        <v>348</v>
      </c>
      <c r="AO2" s="20" t="s">
        <v>349</v>
      </c>
      <c r="AP2" s="20" t="s">
        <v>349</v>
      </c>
      <c r="AQ2" s="20" t="s">
        <v>350</v>
      </c>
      <c r="AR2" s="20" t="s">
        <v>351</v>
      </c>
      <c r="AS2" s="20" t="s">
        <v>352</v>
      </c>
      <c r="AT2" s="20" t="s">
        <v>353</v>
      </c>
      <c r="AU2" s="20">
        <f t="shared" ref="AU2:AU26" si="0">LEN(SUBSTITUTE(AT2, ", "," "))</f>
        <v>27</v>
      </c>
      <c r="AV2" s="22" t="s">
        <v>354</v>
      </c>
      <c r="AW2" s="22" t="s">
        <v>354</v>
      </c>
      <c r="AX2" s="22" t="s">
        <v>355</v>
      </c>
      <c r="AY2" s="22" t="s">
        <v>356</v>
      </c>
      <c r="AZ2" s="22" t="s">
        <v>197</v>
      </c>
      <c r="BA2" s="22" t="s">
        <v>197</v>
      </c>
      <c r="BB2" s="22" t="s">
        <v>357</v>
      </c>
      <c r="BC2" s="22" t="s">
        <v>358</v>
      </c>
      <c r="BD2" s="22" t="s">
        <v>359</v>
      </c>
      <c r="BE2" s="20"/>
      <c r="BF2" s="22" t="s">
        <v>360</v>
      </c>
      <c r="BG2" s="22" t="s">
        <v>361</v>
      </c>
      <c r="BH2" s="20"/>
      <c r="BI2" s="20"/>
      <c r="BJ2" s="20"/>
      <c r="BK2" s="20"/>
      <c r="BL2" s="20"/>
      <c r="BM2" s="22" t="s">
        <v>362</v>
      </c>
      <c r="BN2" s="22" t="s">
        <v>362</v>
      </c>
      <c r="BO2" s="22" t="s">
        <v>363</v>
      </c>
      <c r="BP2" s="22" t="s">
        <v>364</v>
      </c>
      <c r="BQ2" s="20"/>
      <c r="BR2" s="22" t="s">
        <v>365</v>
      </c>
      <c r="BS2" s="22" t="s">
        <v>365</v>
      </c>
      <c r="BT2" s="20"/>
      <c r="BU2" s="20"/>
      <c r="BV2" s="22" t="s">
        <v>366</v>
      </c>
      <c r="BW2" s="20"/>
      <c r="BX2" s="20"/>
      <c r="BY2" s="20" t="s">
        <v>367</v>
      </c>
      <c r="BZ2" s="20"/>
      <c r="CA2" s="20" t="s">
        <v>45</v>
      </c>
      <c r="CB2" s="20"/>
      <c r="CC2" s="20"/>
      <c r="CD2" s="20"/>
      <c r="CE2" s="20"/>
      <c r="CF2"/>
      <c r="CG2" s="1" t="s">
        <v>620</v>
      </c>
    </row>
    <row r="3" spans="1:85" ht="12" customHeight="1" x14ac:dyDescent="0.25">
      <c r="A3" s="19" t="s">
        <v>105</v>
      </c>
      <c r="B3" s="19" t="s">
        <v>47</v>
      </c>
      <c r="C3" t="s">
        <v>248</v>
      </c>
      <c r="D3" s="20" t="s">
        <v>280</v>
      </c>
      <c r="E3" t="s">
        <v>248</v>
      </c>
      <c r="F3" s="20" t="s">
        <v>283</v>
      </c>
      <c r="G3" s="19" t="s">
        <v>54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273</v>
      </c>
      <c r="S3" t="s">
        <v>192</v>
      </c>
      <c r="T3" t="s">
        <v>227</v>
      </c>
      <c r="U3" t="s">
        <v>23</v>
      </c>
      <c r="V3" t="s">
        <v>150</v>
      </c>
      <c r="W3" t="s">
        <v>110</v>
      </c>
      <c r="X3" s="20" t="s">
        <v>284</v>
      </c>
      <c r="Y3" t="s">
        <v>53</v>
      </c>
      <c r="Z3" s="20" t="s">
        <v>53</v>
      </c>
      <c r="AA3" s="20" t="s">
        <v>291</v>
      </c>
      <c r="AB3" s="20" t="s">
        <v>53</v>
      </c>
      <c r="AC3" s="21" t="s">
        <v>294</v>
      </c>
      <c r="AD3" s="20" t="s">
        <v>295</v>
      </c>
      <c r="AE3" t="s">
        <v>243</v>
      </c>
      <c r="AF3" t="s">
        <v>208</v>
      </c>
      <c r="AG3" t="s">
        <v>62</v>
      </c>
      <c r="AH3" t="s">
        <v>77</v>
      </c>
      <c r="AI3" t="s">
        <v>69</v>
      </c>
      <c r="AJ3" t="s">
        <v>127</v>
      </c>
      <c r="AK3" t="s">
        <v>197</v>
      </c>
      <c r="AL3" s="20" t="s">
        <v>347</v>
      </c>
      <c r="AM3" s="20" t="s">
        <v>127</v>
      </c>
      <c r="AN3" s="20" t="s">
        <v>348</v>
      </c>
      <c r="AO3" s="20" t="s">
        <v>368</v>
      </c>
      <c r="AP3" s="20" t="s">
        <v>368</v>
      </c>
      <c r="AQ3" s="20" t="s">
        <v>369</v>
      </c>
      <c r="AR3" s="20" t="s">
        <v>370</v>
      </c>
      <c r="AS3" s="20" t="s">
        <v>371</v>
      </c>
      <c r="AT3" s="20" t="s">
        <v>372</v>
      </c>
      <c r="AU3" s="20">
        <f t="shared" si="0"/>
        <v>29</v>
      </c>
      <c r="AV3" s="22" t="s">
        <v>354</v>
      </c>
      <c r="AW3" s="22" t="s">
        <v>354</v>
      </c>
      <c r="AX3" s="22" t="s">
        <v>355</v>
      </c>
      <c r="AY3" s="22" t="s">
        <v>356</v>
      </c>
      <c r="AZ3" s="22" t="s">
        <v>197</v>
      </c>
      <c r="BA3" s="22" t="s">
        <v>197</v>
      </c>
      <c r="BB3" s="22" t="s">
        <v>357</v>
      </c>
      <c r="BC3" s="22" t="s">
        <v>373</v>
      </c>
      <c r="BD3" s="22" t="s">
        <v>374</v>
      </c>
      <c r="BE3" s="20"/>
      <c r="BF3" s="22" t="s">
        <v>360</v>
      </c>
      <c r="BG3" s="22" t="s">
        <v>361</v>
      </c>
      <c r="BH3" s="20"/>
      <c r="BI3" s="20"/>
      <c r="BJ3" s="20"/>
      <c r="BK3" s="20"/>
      <c r="BL3" s="20"/>
      <c r="BM3" s="22" t="s">
        <v>362</v>
      </c>
      <c r="BN3" s="22" t="s">
        <v>362</v>
      </c>
      <c r="BO3" s="22" t="s">
        <v>363</v>
      </c>
      <c r="BP3" s="22" t="s">
        <v>364</v>
      </c>
      <c r="BQ3" s="20"/>
      <c r="BR3" s="22" t="s">
        <v>365</v>
      </c>
      <c r="BS3" s="22" t="s">
        <v>365</v>
      </c>
      <c r="BT3" s="20"/>
      <c r="BU3" s="20"/>
      <c r="BV3" s="22" t="s">
        <v>366</v>
      </c>
      <c r="BW3" s="20"/>
      <c r="BX3" s="20"/>
      <c r="BY3" s="20" t="s">
        <v>367</v>
      </c>
      <c r="BZ3" s="20"/>
      <c r="CA3" s="20" t="s">
        <v>45</v>
      </c>
      <c r="CB3" s="20"/>
      <c r="CC3" s="20"/>
      <c r="CD3" s="20"/>
      <c r="CE3" s="20"/>
      <c r="CF3"/>
      <c r="CG3" s="1" t="s">
        <v>620</v>
      </c>
    </row>
    <row r="4" spans="1:85" ht="12" customHeight="1" x14ac:dyDescent="0.25">
      <c r="A4" s="19" t="s">
        <v>105</v>
      </c>
      <c r="B4" s="19" t="s">
        <v>47</v>
      </c>
      <c r="C4" t="s">
        <v>248</v>
      </c>
      <c r="D4" s="20" t="s">
        <v>280</v>
      </c>
      <c r="E4" t="s">
        <v>248</v>
      </c>
      <c r="F4" s="20" t="s">
        <v>283</v>
      </c>
      <c r="G4" s="19" t="s">
        <v>54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228</v>
      </c>
      <c r="S4" t="s">
        <v>18</v>
      </c>
      <c r="T4" t="s">
        <v>76</v>
      </c>
      <c r="U4" t="s">
        <v>221</v>
      </c>
      <c r="V4" t="s">
        <v>267</v>
      </c>
      <c r="W4" t="s">
        <v>110</v>
      </c>
      <c r="X4" s="20" t="s">
        <v>285</v>
      </c>
      <c r="Y4" t="s">
        <v>221</v>
      </c>
      <c r="Z4" s="20" t="s">
        <v>221</v>
      </c>
      <c r="AA4" s="20" t="s">
        <v>296</v>
      </c>
      <c r="AB4" s="20" t="s">
        <v>221</v>
      </c>
      <c r="AC4" s="21" t="s">
        <v>297</v>
      </c>
      <c r="AD4" s="20" t="s">
        <v>298</v>
      </c>
      <c r="AE4" t="s">
        <v>238</v>
      </c>
      <c r="AF4" t="s">
        <v>94</v>
      </c>
      <c r="AG4" t="s">
        <v>7</v>
      </c>
      <c r="AH4" t="s">
        <v>234</v>
      </c>
      <c r="AI4" t="s">
        <v>200</v>
      </c>
      <c r="AJ4" t="s">
        <v>60</v>
      </c>
      <c r="AK4" t="s">
        <v>191</v>
      </c>
      <c r="AL4" s="20" t="s">
        <v>375</v>
      </c>
      <c r="AM4" s="20"/>
      <c r="AN4" s="20"/>
      <c r="AO4" s="20" t="s">
        <v>376</v>
      </c>
      <c r="AP4" s="20" t="s">
        <v>376</v>
      </c>
      <c r="AQ4" s="20" t="s">
        <v>377</v>
      </c>
      <c r="AR4" s="20" t="s">
        <v>378</v>
      </c>
      <c r="AS4" s="20" t="s">
        <v>379</v>
      </c>
      <c r="AT4" s="20" t="s">
        <v>380</v>
      </c>
      <c r="AU4" s="20">
        <f t="shared" si="0"/>
        <v>29</v>
      </c>
      <c r="AV4" s="22" t="s">
        <v>381</v>
      </c>
      <c r="AW4" s="22" t="s">
        <v>381</v>
      </c>
      <c r="AX4" s="22" t="s">
        <v>355</v>
      </c>
      <c r="AY4" s="22" t="s">
        <v>356</v>
      </c>
      <c r="AZ4" s="22" t="s">
        <v>191</v>
      </c>
      <c r="BA4" s="22" t="s">
        <v>191</v>
      </c>
      <c r="BB4" s="22" t="s">
        <v>382</v>
      </c>
      <c r="BC4" s="20"/>
      <c r="BD4" s="20"/>
      <c r="BE4" s="20"/>
      <c r="BF4" s="22" t="s">
        <v>383</v>
      </c>
      <c r="BG4" s="22" t="s">
        <v>384</v>
      </c>
      <c r="BH4" s="20"/>
      <c r="BI4" s="20"/>
      <c r="BJ4" s="20"/>
      <c r="BK4" s="20"/>
      <c r="BL4" s="20"/>
      <c r="BM4" s="20"/>
      <c r="BN4" s="20"/>
      <c r="BO4" s="22" t="s">
        <v>385</v>
      </c>
      <c r="BP4" s="22" t="s">
        <v>386</v>
      </c>
      <c r="BQ4" s="20"/>
      <c r="BR4" s="22" t="s">
        <v>387</v>
      </c>
      <c r="BS4" s="22" t="s">
        <v>387</v>
      </c>
      <c r="BT4" s="22" t="s">
        <v>388</v>
      </c>
      <c r="BU4" s="22" t="s">
        <v>389</v>
      </c>
      <c r="BV4" s="20"/>
      <c r="BW4" s="20"/>
      <c r="BX4" s="22" t="s">
        <v>390</v>
      </c>
      <c r="BY4" s="20" t="s">
        <v>391</v>
      </c>
      <c r="BZ4" s="20"/>
      <c r="CA4" s="20"/>
      <c r="CB4" s="20"/>
      <c r="CC4" s="20"/>
      <c r="CD4" s="20"/>
      <c r="CE4" s="20"/>
      <c r="CF4"/>
      <c r="CG4" s="1" t="s">
        <v>620</v>
      </c>
    </row>
    <row r="5" spans="1:85" ht="12" customHeight="1" x14ac:dyDescent="0.25">
      <c r="A5" s="19" t="s">
        <v>105</v>
      </c>
      <c r="B5" s="19" t="s">
        <v>47</v>
      </c>
      <c r="C5" t="s">
        <v>248</v>
      </c>
      <c r="D5" s="20" t="s">
        <v>281</v>
      </c>
      <c r="E5" t="s">
        <v>248</v>
      </c>
      <c r="F5" s="20" t="s">
        <v>283</v>
      </c>
      <c r="G5" s="19" t="s">
        <v>54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193</v>
      </c>
      <c r="S5" t="s">
        <v>29</v>
      </c>
      <c r="T5" t="s">
        <v>13</v>
      </c>
      <c r="U5" t="s">
        <v>262</v>
      </c>
      <c r="V5" t="s">
        <v>201</v>
      </c>
      <c r="W5" t="s">
        <v>110</v>
      </c>
      <c r="X5" s="20" t="s">
        <v>286</v>
      </c>
      <c r="Y5" t="s">
        <v>262</v>
      </c>
      <c r="Z5" s="20" t="s">
        <v>299</v>
      </c>
      <c r="AA5" s="20" t="s">
        <v>286</v>
      </c>
      <c r="AB5" s="20" t="s">
        <v>299</v>
      </c>
      <c r="AC5" s="21" t="s">
        <v>300</v>
      </c>
      <c r="AD5" s="20" t="s">
        <v>301</v>
      </c>
      <c r="AE5" t="s">
        <v>50</v>
      </c>
      <c r="AF5" t="s">
        <v>51</v>
      </c>
      <c r="AG5" t="s">
        <v>110</v>
      </c>
      <c r="AH5" t="s">
        <v>110</v>
      </c>
      <c r="AI5" t="s">
        <v>110</v>
      </c>
      <c r="AJ5" t="s">
        <v>110</v>
      </c>
      <c r="AK5" t="s">
        <v>110</v>
      </c>
      <c r="AL5" s="20" t="s">
        <v>392</v>
      </c>
      <c r="AM5" s="20"/>
      <c r="AN5" s="20"/>
      <c r="AO5" s="20" t="s">
        <v>50</v>
      </c>
      <c r="AP5" s="20" t="s">
        <v>50</v>
      </c>
      <c r="AQ5" s="20" t="s">
        <v>393</v>
      </c>
      <c r="AR5" s="20" t="s">
        <v>394</v>
      </c>
      <c r="AS5" s="20" t="s">
        <v>395</v>
      </c>
      <c r="AT5" s="20" t="s">
        <v>396</v>
      </c>
      <c r="AU5" s="20">
        <f t="shared" si="0"/>
        <v>30</v>
      </c>
      <c r="AV5" s="22" t="s">
        <v>397</v>
      </c>
      <c r="AW5" s="22" t="s">
        <v>397</v>
      </c>
      <c r="AX5" s="22" t="s">
        <v>398</v>
      </c>
      <c r="AY5" s="22" t="s">
        <v>398</v>
      </c>
      <c r="AZ5" s="23" t="s">
        <v>399</v>
      </c>
      <c r="BA5" s="23" t="s">
        <v>399</v>
      </c>
      <c r="BB5" s="22" t="s">
        <v>400</v>
      </c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2" t="s">
        <v>400</v>
      </c>
      <c r="BS5" s="20"/>
      <c r="BT5" s="20"/>
      <c r="BU5" s="20"/>
      <c r="BV5" s="20"/>
      <c r="BW5" s="20"/>
      <c r="BX5" s="20"/>
      <c r="BY5" s="20" t="s">
        <v>401</v>
      </c>
      <c r="BZ5" s="20"/>
      <c r="CA5" s="20"/>
      <c r="CB5" s="20"/>
      <c r="CC5" s="20"/>
      <c r="CD5" s="20"/>
      <c r="CE5" s="20"/>
      <c r="CF5"/>
      <c r="CG5" s="1" t="s">
        <v>620</v>
      </c>
    </row>
    <row r="6" spans="1:85" ht="12" customHeight="1" x14ac:dyDescent="0.25">
      <c r="A6" s="19" t="s">
        <v>105</v>
      </c>
      <c r="B6" s="19" t="s">
        <v>47</v>
      </c>
      <c r="C6" t="s">
        <v>248</v>
      </c>
      <c r="D6" s="20" t="s">
        <v>280</v>
      </c>
      <c r="E6" t="s">
        <v>248</v>
      </c>
      <c r="F6" s="20" t="s">
        <v>283</v>
      </c>
      <c r="G6" s="19" t="s">
        <v>54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136</v>
      </c>
      <c r="S6" t="s">
        <v>36</v>
      </c>
      <c r="T6" t="s">
        <v>162</v>
      </c>
      <c r="U6" t="s">
        <v>139</v>
      </c>
      <c r="V6" t="s">
        <v>162</v>
      </c>
      <c r="W6" t="s">
        <v>110</v>
      </c>
      <c r="X6" s="20" t="s">
        <v>162</v>
      </c>
      <c r="Y6" t="s">
        <v>139</v>
      </c>
      <c r="Z6" s="20" t="s">
        <v>139</v>
      </c>
      <c r="AA6" s="20" t="s">
        <v>302</v>
      </c>
      <c r="AB6" s="20" t="s">
        <v>139</v>
      </c>
      <c r="AC6" s="21" t="s">
        <v>303</v>
      </c>
      <c r="AD6" s="20" t="s">
        <v>304</v>
      </c>
      <c r="AE6" t="s">
        <v>185</v>
      </c>
      <c r="AF6" t="s">
        <v>259</v>
      </c>
      <c r="AG6" t="s">
        <v>115</v>
      </c>
      <c r="AH6" t="s">
        <v>110</v>
      </c>
      <c r="AI6" t="s">
        <v>247</v>
      </c>
      <c r="AJ6" t="s">
        <v>110</v>
      </c>
      <c r="AK6" t="s">
        <v>110</v>
      </c>
      <c r="AL6" s="20" t="s">
        <v>402</v>
      </c>
      <c r="AM6" s="20"/>
      <c r="AN6" s="20"/>
      <c r="AO6" s="20" t="s">
        <v>403</v>
      </c>
      <c r="AP6" s="20" t="s">
        <v>403</v>
      </c>
      <c r="AQ6" s="20" t="s">
        <v>404</v>
      </c>
      <c r="AR6" s="20" t="s">
        <v>405</v>
      </c>
      <c r="AS6" s="20" t="s">
        <v>406</v>
      </c>
      <c r="AT6" s="20" t="s">
        <v>407</v>
      </c>
      <c r="AU6" s="20">
        <f t="shared" si="0"/>
        <v>30</v>
      </c>
      <c r="AV6" s="22" t="s">
        <v>408</v>
      </c>
      <c r="AW6" s="22" t="s">
        <v>408</v>
      </c>
      <c r="AX6" s="22" t="s">
        <v>409</v>
      </c>
      <c r="AY6" s="22" t="s">
        <v>409</v>
      </c>
      <c r="AZ6" s="22" t="s">
        <v>410</v>
      </c>
      <c r="BA6" s="22" t="s">
        <v>410</v>
      </c>
      <c r="BB6" s="22" t="s">
        <v>411</v>
      </c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2" t="s">
        <v>412</v>
      </c>
      <c r="BS6" s="22" t="s">
        <v>413</v>
      </c>
      <c r="BT6" s="22" t="s">
        <v>414</v>
      </c>
      <c r="BU6" s="22" t="s">
        <v>415</v>
      </c>
      <c r="BV6" s="22" t="s">
        <v>366</v>
      </c>
      <c r="BW6" s="20"/>
      <c r="BX6" s="20"/>
      <c r="BY6" s="20" t="s">
        <v>416</v>
      </c>
      <c r="BZ6" s="20"/>
      <c r="CA6" s="20"/>
      <c r="CB6" s="20"/>
      <c r="CC6" s="20"/>
      <c r="CD6" s="20"/>
      <c r="CE6" s="20"/>
      <c r="CF6"/>
      <c r="CG6" s="1" t="s">
        <v>620</v>
      </c>
    </row>
    <row r="7" spans="1:85" ht="12" customHeight="1" x14ac:dyDescent="0.25">
      <c r="A7" s="19" t="s">
        <v>105</v>
      </c>
      <c r="B7" s="19" t="s">
        <v>47</v>
      </c>
      <c r="C7" t="s">
        <v>248</v>
      </c>
      <c r="D7" s="20" t="s">
        <v>280</v>
      </c>
      <c r="E7" t="s">
        <v>248</v>
      </c>
      <c r="F7" s="20" t="s">
        <v>283</v>
      </c>
      <c r="G7" s="19" t="s">
        <v>54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172</v>
      </c>
      <c r="S7" t="s">
        <v>181</v>
      </c>
      <c r="T7" t="s">
        <v>125</v>
      </c>
      <c r="U7" t="s">
        <v>128</v>
      </c>
      <c r="V7" t="s">
        <v>137</v>
      </c>
      <c r="W7" t="s">
        <v>110</v>
      </c>
      <c r="X7" s="20" t="s">
        <v>287</v>
      </c>
      <c r="Y7" t="s">
        <v>128</v>
      </c>
      <c r="Z7" s="20" t="s">
        <v>128</v>
      </c>
      <c r="AA7" s="20" t="s">
        <v>305</v>
      </c>
      <c r="AB7" s="20" t="s">
        <v>128</v>
      </c>
      <c r="AC7" s="21" t="s">
        <v>306</v>
      </c>
      <c r="AD7" s="20" t="s">
        <v>307</v>
      </c>
      <c r="AE7" t="s">
        <v>219</v>
      </c>
      <c r="AF7" t="s">
        <v>155</v>
      </c>
      <c r="AG7" t="s">
        <v>110</v>
      </c>
      <c r="AH7" t="s">
        <v>110</v>
      </c>
      <c r="AI7" t="s">
        <v>110</v>
      </c>
      <c r="AJ7" t="s">
        <v>110</v>
      </c>
      <c r="AK7" t="s">
        <v>110</v>
      </c>
      <c r="AL7" s="20" t="s">
        <v>417</v>
      </c>
      <c r="AM7" s="20" t="s">
        <v>418</v>
      </c>
      <c r="AN7" s="20" t="s">
        <v>419</v>
      </c>
      <c r="AO7" s="20" t="s">
        <v>420</v>
      </c>
      <c r="AP7" s="20" t="s">
        <v>420</v>
      </c>
      <c r="AQ7" s="20" t="s">
        <v>421</v>
      </c>
      <c r="AR7" s="20" t="s">
        <v>422</v>
      </c>
      <c r="AS7" s="20" t="s">
        <v>422</v>
      </c>
      <c r="AT7" s="20" t="s">
        <v>422</v>
      </c>
      <c r="AU7" s="20">
        <f t="shared" si="0"/>
        <v>26</v>
      </c>
      <c r="AV7" s="22" t="s">
        <v>419</v>
      </c>
      <c r="AW7" s="22" t="s">
        <v>419</v>
      </c>
      <c r="AX7" s="22" t="s">
        <v>423</v>
      </c>
      <c r="AY7" s="22" t="s">
        <v>423</v>
      </c>
      <c r="AZ7" s="22" t="s">
        <v>424</v>
      </c>
      <c r="BA7" s="22" t="s">
        <v>424</v>
      </c>
      <c r="BB7" s="20"/>
      <c r="BC7" s="20"/>
      <c r="BD7" s="20"/>
      <c r="BE7" s="20"/>
      <c r="BF7" s="22" t="s">
        <v>425</v>
      </c>
      <c r="BG7" s="22" t="s">
        <v>426</v>
      </c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 t="s">
        <v>427</v>
      </c>
      <c r="BZ7" s="20"/>
      <c r="CA7" s="20"/>
      <c r="CB7" s="20"/>
      <c r="CC7" s="20"/>
      <c r="CD7" s="20"/>
      <c r="CE7" s="20"/>
      <c r="CF7"/>
      <c r="CG7" s="1" t="s">
        <v>620</v>
      </c>
    </row>
    <row r="8" spans="1:85" ht="12" customHeight="1" x14ac:dyDescent="0.25">
      <c r="A8" s="19" t="s">
        <v>105</v>
      </c>
      <c r="B8" s="19" t="s">
        <v>47</v>
      </c>
      <c r="C8" t="s">
        <v>248</v>
      </c>
      <c r="D8" s="20" t="s">
        <v>280</v>
      </c>
      <c r="E8" t="s">
        <v>248</v>
      </c>
      <c r="F8" s="20" t="s">
        <v>283</v>
      </c>
      <c r="G8" s="19" t="s">
        <v>54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156</v>
      </c>
      <c r="S8" t="s">
        <v>192</v>
      </c>
      <c r="T8" t="s">
        <v>227</v>
      </c>
      <c r="U8" t="s">
        <v>235</v>
      </c>
      <c r="V8" t="s">
        <v>150</v>
      </c>
      <c r="W8" t="s">
        <v>110</v>
      </c>
      <c r="X8" s="20" t="s">
        <v>284</v>
      </c>
      <c r="Y8" t="s">
        <v>33</v>
      </c>
      <c r="Z8" s="20" t="s">
        <v>33</v>
      </c>
      <c r="AA8" s="20" t="s">
        <v>291</v>
      </c>
      <c r="AB8" s="20" t="s">
        <v>33</v>
      </c>
      <c r="AC8" s="21" t="s">
        <v>308</v>
      </c>
      <c r="AD8" s="20" t="s">
        <v>309</v>
      </c>
      <c r="AE8" t="s">
        <v>184</v>
      </c>
      <c r="AF8" t="s">
        <v>83</v>
      </c>
      <c r="AG8" t="s">
        <v>275</v>
      </c>
      <c r="AH8" t="s">
        <v>106</v>
      </c>
      <c r="AI8" t="s">
        <v>69</v>
      </c>
      <c r="AJ8" t="s">
        <v>127</v>
      </c>
      <c r="AK8" t="s">
        <v>197</v>
      </c>
      <c r="AL8" s="20" t="s">
        <v>347</v>
      </c>
      <c r="AM8" s="20" t="s">
        <v>127</v>
      </c>
      <c r="AN8" s="20" t="s">
        <v>348</v>
      </c>
      <c r="AO8" s="20" t="s">
        <v>428</v>
      </c>
      <c r="AP8" s="20" t="s">
        <v>428</v>
      </c>
      <c r="AQ8" s="20" t="s">
        <v>429</v>
      </c>
      <c r="AR8" s="20" t="s">
        <v>430</v>
      </c>
      <c r="AS8" s="20" t="s">
        <v>431</v>
      </c>
      <c r="AT8" s="20" t="s">
        <v>353</v>
      </c>
      <c r="AU8" s="20">
        <f t="shared" si="0"/>
        <v>27</v>
      </c>
      <c r="AV8" s="22" t="s">
        <v>354</v>
      </c>
      <c r="AW8" s="22" t="s">
        <v>354</v>
      </c>
      <c r="AX8" s="22" t="s">
        <v>355</v>
      </c>
      <c r="AY8" s="22" t="s">
        <v>356</v>
      </c>
      <c r="AZ8" s="22" t="s">
        <v>197</v>
      </c>
      <c r="BA8" s="22" t="s">
        <v>197</v>
      </c>
      <c r="BB8" s="22" t="s">
        <v>357</v>
      </c>
      <c r="BC8" s="22" t="s">
        <v>358</v>
      </c>
      <c r="BD8" s="22" t="s">
        <v>359</v>
      </c>
      <c r="BE8" s="20"/>
      <c r="BF8" s="22" t="s">
        <v>360</v>
      </c>
      <c r="BG8" s="22" t="s">
        <v>361</v>
      </c>
      <c r="BH8" s="20"/>
      <c r="BI8" s="20"/>
      <c r="BJ8" s="20"/>
      <c r="BK8" s="20"/>
      <c r="BL8" s="20"/>
      <c r="BM8" s="22" t="s">
        <v>362</v>
      </c>
      <c r="BN8" s="22" t="s">
        <v>362</v>
      </c>
      <c r="BO8" s="22" t="s">
        <v>432</v>
      </c>
      <c r="BP8" s="22" t="s">
        <v>433</v>
      </c>
      <c r="BQ8" s="20"/>
      <c r="BR8" s="22" t="s">
        <v>365</v>
      </c>
      <c r="BS8" s="22" t="s">
        <v>365</v>
      </c>
      <c r="BT8" s="20"/>
      <c r="BU8" s="20"/>
      <c r="BV8" s="22" t="s">
        <v>366</v>
      </c>
      <c r="BW8" s="20"/>
      <c r="BX8" s="20"/>
      <c r="BY8" s="20" t="s">
        <v>367</v>
      </c>
      <c r="BZ8" s="20"/>
      <c r="CA8" s="20" t="s">
        <v>45</v>
      </c>
      <c r="CB8" s="20"/>
      <c r="CC8" s="20"/>
      <c r="CD8" s="20"/>
      <c r="CE8" s="20"/>
      <c r="CF8"/>
      <c r="CG8" s="1" t="s">
        <v>620</v>
      </c>
    </row>
    <row r="9" spans="1:85" ht="12" customHeight="1" x14ac:dyDescent="0.25">
      <c r="A9" s="19" t="s">
        <v>105</v>
      </c>
      <c r="B9" s="19" t="s">
        <v>47</v>
      </c>
      <c r="C9" t="s">
        <v>248</v>
      </c>
      <c r="D9" s="20" t="s">
        <v>282</v>
      </c>
      <c r="E9" t="s">
        <v>248</v>
      </c>
      <c r="F9" s="20" t="s">
        <v>283</v>
      </c>
      <c r="G9" s="19" t="s">
        <v>54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66</v>
      </c>
      <c r="S9" t="s">
        <v>29</v>
      </c>
      <c r="T9" t="s">
        <v>13</v>
      </c>
      <c r="U9" t="s">
        <v>205</v>
      </c>
      <c r="V9" t="s">
        <v>201</v>
      </c>
      <c r="W9" t="s">
        <v>110</v>
      </c>
      <c r="X9" s="20" t="s">
        <v>286</v>
      </c>
      <c r="Y9" t="s">
        <v>205</v>
      </c>
      <c r="Z9" s="20" t="s">
        <v>310</v>
      </c>
      <c r="AA9" s="20" t="s">
        <v>286</v>
      </c>
      <c r="AB9" s="20" t="s">
        <v>310</v>
      </c>
      <c r="AC9" s="21" t="s">
        <v>311</v>
      </c>
      <c r="AD9" s="20" t="s">
        <v>312</v>
      </c>
      <c r="AE9" t="s">
        <v>93</v>
      </c>
      <c r="AF9" t="s">
        <v>65</v>
      </c>
      <c r="AG9" t="s">
        <v>110</v>
      </c>
      <c r="AH9" t="s">
        <v>110</v>
      </c>
      <c r="AI9" t="s">
        <v>110</v>
      </c>
      <c r="AJ9" t="s">
        <v>110</v>
      </c>
      <c r="AK9" t="s">
        <v>110</v>
      </c>
      <c r="AL9" s="20" t="s">
        <v>434</v>
      </c>
      <c r="AM9" s="20"/>
      <c r="AN9" s="20"/>
      <c r="AO9" s="20" t="s">
        <v>435</v>
      </c>
      <c r="AP9" s="20" t="s">
        <v>435</v>
      </c>
      <c r="AQ9" s="20" t="s">
        <v>436</v>
      </c>
      <c r="AR9" s="20" t="s">
        <v>437</v>
      </c>
      <c r="AS9" s="20" t="s">
        <v>438</v>
      </c>
      <c r="AT9" s="20" t="s">
        <v>439</v>
      </c>
      <c r="AU9" s="20">
        <f t="shared" si="0"/>
        <v>30</v>
      </c>
      <c r="AV9" s="22" t="s">
        <v>440</v>
      </c>
      <c r="AW9" s="22" t="s">
        <v>440</v>
      </c>
      <c r="AX9" s="22" t="s">
        <v>441</v>
      </c>
      <c r="AY9" s="22" t="s">
        <v>441</v>
      </c>
      <c r="AZ9" s="23" t="s">
        <v>399</v>
      </c>
      <c r="BA9" s="23" t="s">
        <v>399</v>
      </c>
      <c r="BB9" s="22" t="s">
        <v>442</v>
      </c>
      <c r="BC9" s="20"/>
      <c r="BD9" s="20"/>
      <c r="BE9" s="20"/>
      <c r="BF9" s="22" t="s">
        <v>443</v>
      </c>
      <c r="BG9" s="22" t="s">
        <v>444</v>
      </c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2" t="s">
        <v>445</v>
      </c>
      <c r="BS9" s="22" t="s">
        <v>446</v>
      </c>
      <c r="BT9" s="22" t="s">
        <v>388</v>
      </c>
      <c r="BU9" s="22" t="s">
        <v>389</v>
      </c>
      <c r="BV9" s="20"/>
      <c r="BW9" s="20"/>
      <c r="BX9" s="20"/>
      <c r="BY9" s="20" t="s">
        <v>447</v>
      </c>
      <c r="BZ9" s="20"/>
      <c r="CA9" s="20"/>
      <c r="CB9" s="20"/>
      <c r="CC9" s="20"/>
      <c r="CD9" s="20"/>
      <c r="CE9" s="20"/>
      <c r="CF9"/>
      <c r="CG9" s="1" t="s">
        <v>620</v>
      </c>
    </row>
    <row r="10" spans="1:85" ht="12" customHeight="1" x14ac:dyDescent="0.25">
      <c r="A10" s="19" t="s">
        <v>105</v>
      </c>
      <c r="B10" s="19" t="s">
        <v>47</v>
      </c>
      <c r="C10" t="s">
        <v>248</v>
      </c>
      <c r="D10" s="20" t="s">
        <v>282</v>
      </c>
      <c r="E10" t="s">
        <v>248</v>
      </c>
      <c r="F10" s="20" t="s">
        <v>283</v>
      </c>
      <c r="G10" s="19" t="s">
        <v>54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130</v>
      </c>
      <c r="S10" t="s">
        <v>240</v>
      </c>
      <c r="T10" t="s">
        <v>164</v>
      </c>
      <c r="U10" t="s">
        <v>160</v>
      </c>
      <c r="V10" t="s">
        <v>164</v>
      </c>
      <c r="W10" t="s">
        <v>110</v>
      </c>
      <c r="X10" s="20" t="s">
        <v>164</v>
      </c>
      <c r="Y10" t="s">
        <v>160</v>
      </c>
      <c r="Z10" s="20" t="s">
        <v>160</v>
      </c>
      <c r="AA10" s="20" t="s">
        <v>313</v>
      </c>
      <c r="AB10" s="20" t="s">
        <v>160</v>
      </c>
      <c r="AC10" s="21" t="s">
        <v>160</v>
      </c>
      <c r="AD10" s="20" t="s">
        <v>314</v>
      </c>
      <c r="AE10" t="s">
        <v>44</v>
      </c>
      <c r="AF10" t="s">
        <v>71</v>
      </c>
      <c r="AG10" t="s">
        <v>17</v>
      </c>
      <c r="AH10" t="s">
        <v>110</v>
      </c>
      <c r="AI10" t="s">
        <v>110</v>
      </c>
      <c r="AJ10" t="s">
        <v>110</v>
      </c>
      <c r="AK10" t="s">
        <v>110</v>
      </c>
      <c r="AL10" s="20" t="s">
        <v>448</v>
      </c>
      <c r="AM10" s="20" t="s">
        <v>449</v>
      </c>
      <c r="AN10" s="20" t="s">
        <v>450</v>
      </c>
      <c r="AO10" s="20" t="s">
        <v>451</v>
      </c>
      <c r="AP10" s="20" t="s">
        <v>451</v>
      </c>
      <c r="AQ10" s="20" t="s">
        <v>452</v>
      </c>
      <c r="AR10" s="20" t="s">
        <v>453</v>
      </c>
      <c r="AS10" s="20" t="s">
        <v>454</v>
      </c>
      <c r="AT10" s="20" t="s">
        <v>455</v>
      </c>
      <c r="AU10" s="20">
        <f t="shared" si="0"/>
        <v>30</v>
      </c>
      <c r="AV10" s="22" t="s">
        <v>456</v>
      </c>
      <c r="AW10" s="22" t="s">
        <v>457</v>
      </c>
      <c r="AX10" s="22" t="s">
        <v>458</v>
      </c>
      <c r="AY10" s="20"/>
      <c r="AZ10" s="20"/>
      <c r="BA10" s="20"/>
      <c r="BB10" s="22" t="s">
        <v>459</v>
      </c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2" t="s">
        <v>459</v>
      </c>
      <c r="BS10" s="20"/>
      <c r="BT10" s="22" t="s">
        <v>414</v>
      </c>
      <c r="BU10" s="22" t="s">
        <v>389</v>
      </c>
      <c r="BV10" s="20"/>
      <c r="BW10" s="20"/>
      <c r="BX10" s="22" t="s">
        <v>160</v>
      </c>
      <c r="BY10" s="20" t="s">
        <v>460</v>
      </c>
      <c r="BZ10" s="20"/>
      <c r="CA10" s="20"/>
      <c r="CB10" s="20"/>
      <c r="CC10" s="20"/>
      <c r="CD10" s="20"/>
      <c r="CE10" s="20"/>
      <c r="CF10"/>
      <c r="CG10" s="1" t="s">
        <v>620</v>
      </c>
    </row>
    <row r="11" spans="1:85" ht="12" customHeight="1" x14ac:dyDescent="0.25">
      <c r="A11" s="19" t="s">
        <v>105</v>
      </c>
      <c r="B11" s="19" t="s">
        <v>47</v>
      </c>
      <c r="C11" t="s">
        <v>248</v>
      </c>
      <c r="D11" s="20" t="s">
        <v>280</v>
      </c>
      <c r="E11" t="s">
        <v>248</v>
      </c>
      <c r="F11" s="20" t="s">
        <v>283</v>
      </c>
      <c r="G11" s="19" t="s">
        <v>54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245</v>
      </c>
      <c r="S11" t="s">
        <v>255</v>
      </c>
      <c r="T11" t="s">
        <v>173</v>
      </c>
      <c r="U11" t="s">
        <v>163</v>
      </c>
      <c r="V11" t="s">
        <v>173</v>
      </c>
      <c r="W11" t="s">
        <v>110</v>
      </c>
      <c r="X11" s="20" t="s">
        <v>288</v>
      </c>
      <c r="Y11" t="s">
        <v>163</v>
      </c>
      <c r="Z11" s="20" t="s">
        <v>163</v>
      </c>
      <c r="AA11" s="20" t="s">
        <v>315</v>
      </c>
      <c r="AB11" s="20" t="s">
        <v>163</v>
      </c>
      <c r="AC11" s="21" t="s">
        <v>163</v>
      </c>
      <c r="AD11" s="20" t="s">
        <v>316</v>
      </c>
      <c r="AE11" t="s">
        <v>22</v>
      </c>
      <c r="AF11" t="s">
        <v>1</v>
      </c>
      <c r="AG11" t="s">
        <v>254</v>
      </c>
      <c r="AH11" t="s">
        <v>110</v>
      </c>
      <c r="AI11" t="s">
        <v>110</v>
      </c>
      <c r="AJ11" t="s">
        <v>110</v>
      </c>
      <c r="AK11" t="s">
        <v>110</v>
      </c>
      <c r="AL11" s="20" t="s">
        <v>461</v>
      </c>
      <c r="AM11" s="20"/>
      <c r="AN11" s="20"/>
      <c r="AO11" s="20" t="s">
        <v>22</v>
      </c>
      <c r="AP11" s="20" t="s">
        <v>22</v>
      </c>
      <c r="AQ11" s="20" t="s">
        <v>462</v>
      </c>
      <c r="AR11" s="20" t="s">
        <v>463</v>
      </c>
      <c r="AS11" s="20" t="s">
        <v>464</v>
      </c>
      <c r="AT11" s="20" t="s">
        <v>465</v>
      </c>
      <c r="AU11" s="20">
        <f t="shared" si="0"/>
        <v>30</v>
      </c>
      <c r="AV11" s="22" t="s">
        <v>466</v>
      </c>
      <c r="AW11" s="22" t="s">
        <v>466</v>
      </c>
      <c r="AX11" s="22" t="s">
        <v>467</v>
      </c>
      <c r="AY11" s="22" t="s">
        <v>467</v>
      </c>
      <c r="AZ11" s="22" t="s">
        <v>468</v>
      </c>
      <c r="BA11" s="22" t="s">
        <v>468</v>
      </c>
      <c r="BB11" s="22" t="s">
        <v>469</v>
      </c>
      <c r="BC11" s="20"/>
      <c r="BD11" s="20"/>
      <c r="BE11" s="20"/>
      <c r="BF11" s="22" t="s">
        <v>470</v>
      </c>
      <c r="BG11" s="22" t="s">
        <v>471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2" t="s">
        <v>469</v>
      </c>
      <c r="BS11" s="20"/>
      <c r="BT11" s="22" t="s">
        <v>388</v>
      </c>
      <c r="BU11" s="22" t="s">
        <v>415</v>
      </c>
      <c r="BV11" s="20"/>
      <c r="BW11" s="20"/>
      <c r="BX11" s="22" t="s">
        <v>472</v>
      </c>
      <c r="BY11" s="20" t="s">
        <v>473</v>
      </c>
      <c r="BZ11" s="20"/>
      <c r="CA11" s="20"/>
      <c r="CB11" s="20"/>
      <c r="CC11" s="20"/>
      <c r="CD11" s="20"/>
      <c r="CE11" s="20"/>
      <c r="CF11"/>
      <c r="CG11" s="1" t="s">
        <v>620</v>
      </c>
    </row>
    <row r="12" spans="1:85" ht="12" customHeight="1" x14ac:dyDescent="0.25">
      <c r="A12" s="19" t="s">
        <v>105</v>
      </c>
      <c r="B12" s="19" t="s">
        <v>47</v>
      </c>
      <c r="C12" t="s">
        <v>248</v>
      </c>
      <c r="D12" s="20" t="s">
        <v>281</v>
      </c>
      <c r="E12" t="s">
        <v>248</v>
      </c>
      <c r="F12" s="20" t="s">
        <v>283</v>
      </c>
      <c r="G12" s="19" t="s">
        <v>54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112</v>
      </c>
      <c r="S12" t="s">
        <v>182</v>
      </c>
      <c r="T12" t="s">
        <v>126</v>
      </c>
      <c r="U12" t="s">
        <v>109</v>
      </c>
      <c r="V12" t="s">
        <v>26</v>
      </c>
      <c r="W12" t="s">
        <v>110</v>
      </c>
      <c r="X12" s="20" t="s">
        <v>26</v>
      </c>
      <c r="Y12" t="s">
        <v>109</v>
      </c>
      <c r="Z12" s="20" t="s">
        <v>109</v>
      </c>
      <c r="AA12" s="20" t="s">
        <v>317</v>
      </c>
      <c r="AB12" s="20" t="s">
        <v>109</v>
      </c>
      <c r="AC12" s="21" t="s">
        <v>109</v>
      </c>
      <c r="AD12" s="20" t="s">
        <v>318</v>
      </c>
      <c r="AE12" t="s">
        <v>242</v>
      </c>
      <c r="AF12" t="s">
        <v>25</v>
      </c>
      <c r="AG12" t="s">
        <v>11</v>
      </c>
      <c r="AH12" t="s">
        <v>11</v>
      </c>
      <c r="AI12" t="s">
        <v>276</v>
      </c>
      <c r="AJ12" t="s">
        <v>110</v>
      </c>
      <c r="AK12" t="s">
        <v>265</v>
      </c>
      <c r="AL12" s="20" t="s">
        <v>474</v>
      </c>
      <c r="AM12" s="20"/>
      <c r="AN12" s="20"/>
      <c r="AO12" s="20" t="s">
        <v>242</v>
      </c>
      <c r="AP12" s="20" t="s">
        <v>242</v>
      </c>
      <c r="AQ12" s="20" t="s">
        <v>475</v>
      </c>
      <c r="AR12" s="20" t="s">
        <v>476</v>
      </c>
      <c r="AS12" s="20" t="s">
        <v>477</v>
      </c>
      <c r="AT12" s="20" t="s">
        <v>478</v>
      </c>
      <c r="AU12" s="20">
        <f t="shared" si="0"/>
        <v>25</v>
      </c>
      <c r="AV12" s="22" t="s">
        <v>479</v>
      </c>
      <c r="AW12" s="22" t="s">
        <v>479</v>
      </c>
      <c r="AX12" s="22" t="s">
        <v>480</v>
      </c>
      <c r="AY12" s="22" t="s">
        <v>480</v>
      </c>
      <c r="AZ12" s="22" t="s">
        <v>265</v>
      </c>
      <c r="BA12" s="22" t="s">
        <v>265</v>
      </c>
      <c r="BB12" s="22" t="s">
        <v>481</v>
      </c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2" t="s">
        <v>481</v>
      </c>
      <c r="BS12" s="20"/>
      <c r="BT12" s="20"/>
      <c r="BU12" s="20"/>
      <c r="BV12" s="20"/>
      <c r="BW12" s="20"/>
      <c r="BX12" s="22" t="s">
        <v>482</v>
      </c>
      <c r="BY12" s="20" t="s">
        <v>401</v>
      </c>
      <c r="BZ12" s="20"/>
      <c r="CA12" s="20"/>
      <c r="CB12" s="20"/>
      <c r="CC12" s="20"/>
      <c r="CD12" s="20"/>
      <c r="CE12" s="20"/>
      <c r="CF12"/>
      <c r="CG12" s="1" t="s">
        <v>620</v>
      </c>
    </row>
    <row r="13" spans="1:85" ht="12" customHeight="1" x14ac:dyDescent="0.25">
      <c r="A13" s="19" t="s">
        <v>105</v>
      </c>
      <c r="B13" s="19" t="s">
        <v>47</v>
      </c>
      <c r="C13" t="s">
        <v>248</v>
      </c>
      <c r="D13" s="20" t="s">
        <v>280</v>
      </c>
      <c r="E13" t="s">
        <v>248</v>
      </c>
      <c r="F13" s="20" t="s">
        <v>283</v>
      </c>
      <c r="G13" s="19" t="s">
        <v>54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220</v>
      </c>
      <c r="S13" t="s">
        <v>192</v>
      </c>
      <c r="T13" t="s">
        <v>227</v>
      </c>
      <c r="U13" t="s">
        <v>272</v>
      </c>
      <c r="V13" t="s">
        <v>150</v>
      </c>
      <c r="W13" t="s">
        <v>110</v>
      </c>
      <c r="X13" s="20" t="s">
        <v>284</v>
      </c>
      <c r="Y13" t="s">
        <v>111</v>
      </c>
      <c r="Z13" s="20" t="s">
        <v>111</v>
      </c>
      <c r="AA13" s="20" t="s">
        <v>291</v>
      </c>
      <c r="AB13" s="20" t="s">
        <v>111</v>
      </c>
      <c r="AC13" s="21" t="s">
        <v>319</v>
      </c>
      <c r="AD13" s="20" t="s">
        <v>320</v>
      </c>
      <c r="AE13" t="s">
        <v>225</v>
      </c>
      <c r="AF13" t="s">
        <v>206</v>
      </c>
      <c r="AG13" t="s">
        <v>151</v>
      </c>
      <c r="AH13" t="s">
        <v>79</v>
      </c>
      <c r="AI13" t="s">
        <v>69</v>
      </c>
      <c r="AJ13" t="s">
        <v>127</v>
      </c>
      <c r="AK13" t="s">
        <v>197</v>
      </c>
      <c r="AL13" s="20" t="s">
        <v>347</v>
      </c>
      <c r="AM13" s="20" t="s">
        <v>127</v>
      </c>
      <c r="AN13" s="20" t="s">
        <v>348</v>
      </c>
      <c r="AO13" s="20" t="s">
        <v>483</v>
      </c>
      <c r="AP13" s="20" t="s">
        <v>483</v>
      </c>
      <c r="AQ13" s="20" t="s">
        <v>484</v>
      </c>
      <c r="AR13" s="20" t="s">
        <v>485</v>
      </c>
      <c r="AS13" s="20" t="s">
        <v>486</v>
      </c>
      <c r="AT13" s="20" t="s">
        <v>487</v>
      </c>
      <c r="AU13" s="20">
        <f t="shared" si="0"/>
        <v>30</v>
      </c>
      <c r="AV13" s="22" t="s">
        <v>354</v>
      </c>
      <c r="AW13" s="22" t="s">
        <v>354</v>
      </c>
      <c r="AX13" s="22" t="s">
        <v>355</v>
      </c>
      <c r="AY13" s="22" t="s">
        <v>356</v>
      </c>
      <c r="AZ13" s="22" t="s">
        <v>197</v>
      </c>
      <c r="BA13" s="22" t="s">
        <v>197</v>
      </c>
      <c r="BB13" s="22" t="s">
        <v>357</v>
      </c>
      <c r="BC13" s="22" t="s">
        <v>488</v>
      </c>
      <c r="BD13" s="22" t="s">
        <v>489</v>
      </c>
      <c r="BE13" s="20"/>
      <c r="BF13" s="22" t="s">
        <v>360</v>
      </c>
      <c r="BG13" s="22" t="s">
        <v>361</v>
      </c>
      <c r="BH13" s="20"/>
      <c r="BI13" s="20"/>
      <c r="BJ13" s="20"/>
      <c r="BK13" s="20"/>
      <c r="BL13" s="20"/>
      <c r="BM13" s="22" t="s">
        <v>362</v>
      </c>
      <c r="BN13" s="22" t="s">
        <v>362</v>
      </c>
      <c r="BO13" s="22" t="s">
        <v>432</v>
      </c>
      <c r="BP13" s="22" t="s">
        <v>433</v>
      </c>
      <c r="BQ13" s="20"/>
      <c r="BR13" s="22" t="s">
        <v>365</v>
      </c>
      <c r="BS13" s="22" t="s">
        <v>365</v>
      </c>
      <c r="BT13" s="20"/>
      <c r="BU13" s="20"/>
      <c r="BV13" s="22" t="s">
        <v>366</v>
      </c>
      <c r="BW13" s="20"/>
      <c r="BX13" s="20"/>
      <c r="BY13" s="20" t="s">
        <v>367</v>
      </c>
      <c r="BZ13" s="20"/>
      <c r="CA13" s="20"/>
      <c r="CB13" s="20"/>
      <c r="CC13" s="20"/>
      <c r="CD13" s="20"/>
      <c r="CE13" s="20"/>
      <c r="CF13"/>
      <c r="CG13" s="1" t="s">
        <v>620</v>
      </c>
    </row>
    <row r="14" spans="1:85" ht="12" customHeight="1" x14ac:dyDescent="0.25">
      <c r="A14" s="19" t="s">
        <v>105</v>
      </c>
      <c r="B14" s="19" t="s">
        <v>47</v>
      </c>
      <c r="C14" t="s">
        <v>248</v>
      </c>
      <c r="D14" s="20" t="s">
        <v>280</v>
      </c>
      <c r="E14" t="s">
        <v>248</v>
      </c>
      <c r="F14" s="20" t="s">
        <v>283</v>
      </c>
      <c r="G14" s="19" t="s">
        <v>54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91</v>
      </c>
      <c r="S14" t="s">
        <v>251</v>
      </c>
      <c r="T14" t="s">
        <v>143</v>
      </c>
      <c r="U14" t="s">
        <v>48</v>
      </c>
      <c r="V14" t="s">
        <v>187</v>
      </c>
      <c r="W14" t="s">
        <v>41</v>
      </c>
      <c r="X14" s="20" t="s">
        <v>289</v>
      </c>
      <c r="Y14" t="s">
        <v>48</v>
      </c>
      <c r="Z14" s="20" t="s">
        <v>48</v>
      </c>
      <c r="AA14" s="20" t="s">
        <v>321</v>
      </c>
      <c r="AB14" s="20" t="s">
        <v>48</v>
      </c>
      <c r="AC14" s="21" t="s">
        <v>322</v>
      </c>
      <c r="AD14" s="20" t="s">
        <v>323</v>
      </c>
      <c r="AE14" t="s">
        <v>102</v>
      </c>
      <c r="AF14" t="s">
        <v>103</v>
      </c>
      <c r="AG14" t="s">
        <v>110</v>
      </c>
      <c r="AH14" t="s">
        <v>110</v>
      </c>
      <c r="AI14" t="s">
        <v>110</v>
      </c>
      <c r="AJ14" t="s">
        <v>110</v>
      </c>
      <c r="AK14" t="s">
        <v>110</v>
      </c>
      <c r="AL14" s="20" t="s">
        <v>490</v>
      </c>
      <c r="AM14" s="20"/>
      <c r="AN14" s="20"/>
      <c r="AO14" s="20" t="s">
        <v>491</v>
      </c>
      <c r="AP14" s="20" t="s">
        <v>491</v>
      </c>
      <c r="AQ14" s="20" t="s">
        <v>492</v>
      </c>
      <c r="AR14" s="20" t="s">
        <v>493</v>
      </c>
      <c r="AS14" s="20" t="s">
        <v>494</v>
      </c>
      <c r="AT14" s="20" t="s">
        <v>495</v>
      </c>
      <c r="AU14" s="20">
        <f t="shared" si="0"/>
        <v>28</v>
      </c>
      <c r="AV14" s="22" t="s">
        <v>456</v>
      </c>
      <c r="AW14" s="22" t="s">
        <v>496</v>
      </c>
      <c r="AX14" s="22" t="s">
        <v>497</v>
      </c>
      <c r="AY14" s="20"/>
      <c r="AZ14" s="22" t="s">
        <v>72</v>
      </c>
      <c r="BA14" s="22" t="s">
        <v>72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2" t="s">
        <v>498</v>
      </c>
      <c r="BS14" s="22" t="s">
        <v>498</v>
      </c>
      <c r="BT14" s="22" t="s">
        <v>414</v>
      </c>
      <c r="BU14" s="22" t="s">
        <v>389</v>
      </c>
      <c r="BV14" s="20"/>
      <c r="BW14" s="20"/>
      <c r="BX14" s="20"/>
      <c r="BY14" s="20" t="s">
        <v>499</v>
      </c>
      <c r="BZ14" s="20"/>
      <c r="CA14" s="20"/>
      <c r="CB14" s="20"/>
      <c r="CC14" s="20"/>
      <c r="CD14" s="20"/>
      <c r="CE14" s="20"/>
      <c r="CF14"/>
      <c r="CG14" s="1" t="s">
        <v>620</v>
      </c>
    </row>
    <row r="15" spans="1:85" ht="12" customHeight="1" x14ac:dyDescent="0.25">
      <c r="A15" s="19" t="s">
        <v>105</v>
      </c>
      <c r="B15" s="19" t="s">
        <v>47</v>
      </c>
      <c r="C15" t="s">
        <v>248</v>
      </c>
      <c r="D15" s="20" t="s">
        <v>280</v>
      </c>
      <c r="E15" t="s">
        <v>248</v>
      </c>
      <c r="F15" s="20" t="s">
        <v>283</v>
      </c>
      <c r="G15" s="19" t="s">
        <v>54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203</v>
      </c>
      <c r="S15" t="s">
        <v>36</v>
      </c>
      <c r="T15" t="s">
        <v>162</v>
      </c>
      <c r="U15" t="s">
        <v>138</v>
      </c>
      <c r="V15" t="s">
        <v>162</v>
      </c>
      <c r="W15" t="s">
        <v>110</v>
      </c>
      <c r="X15" s="20" t="s">
        <v>162</v>
      </c>
      <c r="Y15" t="s">
        <v>138</v>
      </c>
      <c r="Z15" s="20" t="s">
        <v>138</v>
      </c>
      <c r="AA15" s="20" t="s">
        <v>302</v>
      </c>
      <c r="AB15" s="20" t="s">
        <v>138</v>
      </c>
      <c r="AC15" s="21" t="s">
        <v>324</v>
      </c>
      <c r="AD15" s="20" t="s">
        <v>325</v>
      </c>
      <c r="AE15" t="s">
        <v>161</v>
      </c>
      <c r="AF15" t="s">
        <v>246</v>
      </c>
      <c r="AG15" t="s">
        <v>5</v>
      </c>
      <c r="AH15" t="s">
        <v>110</v>
      </c>
      <c r="AI15" t="s">
        <v>110</v>
      </c>
      <c r="AJ15" t="s">
        <v>110</v>
      </c>
      <c r="AK15" t="s">
        <v>110</v>
      </c>
      <c r="AL15" s="20" t="s">
        <v>500</v>
      </c>
      <c r="AM15" s="20"/>
      <c r="AN15" s="20"/>
      <c r="AO15" s="20" t="s">
        <v>501</v>
      </c>
      <c r="AP15" s="20" t="s">
        <v>501</v>
      </c>
      <c r="AQ15" s="20" t="s">
        <v>502</v>
      </c>
      <c r="AR15" s="20" t="s">
        <v>503</v>
      </c>
      <c r="AS15" s="20" t="s">
        <v>504</v>
      </c>
      <c r="AT15" s="20" t="s">
        <v>505</v>
      </c>
      <c r="AU15" s="20">
        <f t="shared" si="0"/>
        <v>28</v>
      </c>
      <c r="AV15" s="22" t="s">
        <v>506</v>
      </c>
      <c r="AW15" s="22" t="s">
        <v>506</v>
      </c>
      <c r="AX15" s="22" t="s">
        <v>507</v>
      </c>
      <c r="AY15" s="22" t="s">
        <v>507</v>
      </c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2" t="s">
        <v>508</v>
      </c>
      <c r="BS15" s="22" t="s">
        <v>508</v>
      </c>
      <c r="BT15" s="22" t="s">
        <v>414</v>
      </c>
      <c r="BU15" s="22" t="s">
        <v>415</v>
      </c>
      <c r="BV15" s="20"/>
      <c r="BW15" s="20"/>
      <c r="BX15" s="22" t="s">
        <v>509</v>
      </c>
      <c r="BY15" s="20" t="s">
        <v>510</v>
      </c>
      <c r="BZ15" s="20"/>
      <c r="CA15" s="20"/>
      <c r="CB15" s="20"/>
      <c r="CC15" s="20"/>
      <c r="CD15" s="20" t="s">
        <v>511</v>
      </c>
      <c r="CE15" s="20"/>
      <c r="CF15"/>
      <c r="CG15" s="1" t="s">
        <v>620</v>
      </c>
    </row>
    <row r="16" spans="1:85" ht="12" customHeight="1" x14ac:dyDescent="0.25">
      <c r="A16" s="19" t="s">
        <v>105</v>
      </c>
      <c r="B16" s="19" t="s">
        <v>47</v>
      </c>
      <c r="C16" t="s">
        <v>248</v>
      </c>
      <c r="D16" s="20" t="s">
        <v>280</v>
      </c>
      <c r="E16" t="s">
        <v>248</v>
      </c>
      <c r="F16" s="20" t="s">
        <v>283</v>
      </c>
      <c r="G16" s="19" t="s">
        <v>54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222</v>
      </c>
      <c r="S16" t="s">
        <v>36</v>
      </c>
      <c r="T16" t="s">
        <v>162</v>
      </c>
      <c r="U16" t="s">
        <v>142</v>
      </c>
      <c r="V16" t="s">
        <v>162</v>
      </c>
      <c r="W16" t="s">
        <v>110</v>
      </c>
      <c r="X16" s="20" t="s">
        <v>162</v>
      </c>
      <c r="Y16" t="s">
        <v>142</v>
      </c>
      <c r="Z16" s="20" t="s">
        <v>142</v>
      </c>
      <c r="AA16" s="20" t="s">
        <v>302</v>
      </c>
      <c r="AB16" s="20" t="s">
        <v>142</v>
      </c>
      <c r="AC16" s="21" t="s">
        <v>326</v>
      </c>
      <c r="AD16" s="20" t="s">
        <v>327</v>
      </c>
      <c r="AE16" t="s">
        <v>63</v>
      </c>
      <c r="AF16" t="s">
        <v>257</v>
      </c>
      <c r="AG16" t="s">
        <v>271</v>
      </c>
      <c r="AH16" t="s">
        <v>110</v>
      </c>
      <c r="AI16" t="s">
        <v>110</v>
      </c>
      <c r="AJ16" t="s">
        <v>110</v>
      </c>
      <c r="AK16" t="s">
        <v>110</v>
      </c>
      <c r="AL16" s="20" t="s">
        <v>402</v>
      </c>
      <c r="AM16" s="20"/>
      <c r="AN16" s="20"/>
      <c r="AO16" s="20" t="s">
        <v>512</v>
      </c>
      <c r="AP16" s="20" t="s">
        <v>512</v>
      </c>
      <c r="AQ16" s="20" t="s">
        <v>513</v>
      </c>
      <c r="AR16" s="20" t="s">
        <v>514</v>
      </c>
      <c r="AS16" s="20" t="s">
        <v>515</v>
      </c>
      <c r="AT16" s="20" t="s">
        <v>516</v>
      </c>
      <c r="AU16" s="20">
        <f t="shared" si="0"/>
        <v>28</v>
      </c>
      <c r="AV16" s="22" t="s">
        <v>408</v>
      </c>
      <c r="AW16" s="22" t="s">
        <v>408</v>
      </c>
      <c r="AX16" s="22" t="s">
        <v>409</v>
      </c>
      <c r="AY16" s="22" t="s">
        <v>409</v>
      </c>
      <c r="AZ16" s="22" t="s">
        <v>410</v>
      </c>
      <c r="BA16" s="22" t="s">
        <v>410</v>
      </c>
      <c r="BB16" s="22" t="s">
        <v>411</v>
      </c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2" t="s">
        <v>517</v>
      </c>
      <c r="BS16" s="22" t="s">
        <v>518</v>
      </c>
      <c r="BT16" s="22" t="s">
        <v>414</v>
      </c>
      <c r="BU16" s="22" t="s">
        <v>415</v>
      </c>
      <c r="BV16" s="22" t="s">
        <v>366</v>
      </c>
      <c r="BW16" s="20"/>
      <c r="BX16" s="22" t="s">
        <v>302</v>
      </c>
      <c r="BY16" s="20" t="s">
        <v>519</v>
      </c>
      <c r="BZ16" s="20"/>
      <c r="CA16" s="20"/>
      <c r="CB16" s="20"/>
      <c r="CC16" s="20"/>
      <c r="CD16" s="20"/>
      <c r="CE16" s="20"/>
      <c r="CF16"/>
      <c r="CG16" s="1" t="s">
        <v>620</v>
      </c>
    </row>
    <row r="17" spans="1:85" ht="12" customHeight="1" x14ac:dyDescent="0.25">
      <c r="A17" s="19" t="s">
        <v>105</v>
      </c>
      <c r="B17" s="19" t="s">
        <v>47</v>
      </c>
      <c r="C17" t="s">
        <v>248</v>
      </c>
      <c r="D17" s="20" t="s">
        <v>280</v>
      </c>
      <c r="E17" t="s">
        <v>248</v>
      </c>
      <c r="F17" s="20" t="s">
        <v>283</v>
      </c>
      <c r="G17" s="19" t="s">
        <v>54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168</v>
      </c>
      <c r="S17" t="s">
        <v>192</v>
      </c>
      <c r="T17" t="s">
        <v>227</v>
      </c>
      <c r="U17" t="s">
        <v>24</v>
      </c>
      <c r="V17" t="s">
        <v>150</v>
      </c>
      <c r="W17" t="s">
        <v>110</v>
      </c>
      <c r="X17" s="20" t="s">
        <v>284</v>
      </c>
      <c r="Y17" t="s">
        <v>167</v>
      </c>
      <c r="Z17" s="20" t="s">
        <v>167</v>
      </c>
      <c r="AA17" s="20" t="s">
        <v>291</v>
      </c>
      <c r="AB17" s="20" t="s">
        <v>167</v>
      </c>
      <c r="AC17" s="21" t="s">
        <v>328</v>
      </c>
      <c r="AD17" s="20" t="s">
        <v>329</v>
      </c>
      <c r="AE17" t="s">
        <v>195</v>
      </c>
      <c r="AF17" t="s">
        <v>141</v>
      </c>
      <c r="AG17" t="s">
        <v>196</v>
      </c>
      <c r="AH17" t="s">
        <v>264</v>
      </c>
      <c r="AI17" t="s">
        <v>69</v>
      </c>
      <c r="AJ17" t="s">
        <v>127</v>
      </c>
      <c r="AK17" t="s">
        <v>197</v>
      </c>
      <c r="AL17" s="20" t="s">
        <v>347</v>
      </c>
      <c r="AM17" s="20" t="s">
        <v>127</v>
      </c>
      <c r="AN17" s="20" t="s">
        <v>348</v>
      </c>
      <c r="AO17" s="20" t="s">
        <v>520</v>
      </c>
      <c r="AP17" s="20" t="s">
        <v>520</v>
      </c>
      <c r="AQ17" s="20" t="s">
        <v>521</v>
      </c>
      <c r="AR17" s="20" t="s">
        <v>522</v>
      </c>
      <c r="AS17" s="20" t="s">
        <v>523</v>
      </c>
      <c r="AT17" s="20" t="s">
        <v>524</v>
      </c>
      <c r="AU17" s="20">
        <f t="shared" si="0"/>
        <v>27</v>
      </c>
      <c r="AV17" s="22" t="s">
        <v>354</v>
      </c>
      <c r="AW17" s="22" t="s">
        <v>354</v>
      </c>
      <c r="AX17" s="22" t="s">
        <v>355</v>
      </c>
      <c r="AY17" s="22" t="s">
        <v>356</v>
      </c>
      <c r="AZ17" s="22" t="s">
        <v>197</v>
      </c>
      <c r="BA17" s="22" t="s">
        <v>197</v>
      </c>
      <c r="BB17" s="22" t="s">
        <v>357</v>
      </c>
      <c r="BC17" s="22" t="s">
        <v>525</v>
      </c>
      <c r="BD17" s="22" t="s">
        <v>526</v>
      </c>
      <c r="BE17" s="20"/>
      <c r="BF17" s="22" t="s">
        <v>360</v>
      </c>
      <c r="BG17" s="22" t="s">
        <v>361</v>
      </c>
      <c r="BH17" s="20"/>
      <c r="BI17" s="20"/>
      <c r="BJ17" s="20"/>
      <c r="BK17" s="20"/>
      <c r="BL17" s="20"/>
      <c r="BM17" s="22" t="s">
        <v>362</v>
      </c>
      <c r="BN17" s="22" t="s">
        <v>362</v>
      </c>
      <c r="BO17" s="22" t="s">
        <v>432</v>
      </c>
      <c r="BP17" s="22" t="s">
        <v>433</v>
      </c>
      <c r="BQ17" s="20"/>
      <c r="BR17" s="22" t="s">
        <v>365</v>
      </c>
      <c r="BS17" s="22" t="s">
        <v>365</v>
      </c>
      <c r="BT17" s="20"/>
      <c r="BU17" s="20"/>
      <c r="BV17" s="22" t="s">
        <v>366</v>
      </c>
      <c r="BW17" s="20"/>
      <c r="BX17" s="20"/>
      <c r="BY17" s="20" t="s">
        <v>367</v>
      </c>
      <c r="BZ17" s="20"/>
      <c r="CA17" s="20" t="s">
        <v>45</v>
      </c>
      <c r="CB17" s="20"/>
      <c r="CC17" s="20"/>
      <c r="CD17" s="20"/>
      <c r="CE17" s="20"/>
      <c r="CF17"/>
      <c r="CG17" s="1" t="s">
        <v>620</v>
      </c>
    </row>
    <row r="18" spans="1:85" ht="12" customHeight="1" x14ac:dyDescent="0.25">
      <c r="A18" s="19" t="s">
        <v>105</v>
      </c>
      <c r="B18" s="19" t="s">
        <v>47</v>
      </c>
      <c r="C18" t="s">
        <v>248</v>
      </c>
      <c r="D18" s="20" t="s">
        <v>280</v>
      </c>
      <c r="E18" t="s">
        <v>248</v>
      </c>
      <c r="F18" s="20" t="s">
        <v>283</v>
      </c>
      <c r="G18" s="19" t="s">
        <v>54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96</v>
      </c>
      <c r="S18" t="s">
        <v>240</v>
      </c>
      <c r="T18" t="s">
        <v>164</v>
      </c>
      <c r="U18" t="s">
        <v>121</v>
      </c>
      <c r="V18" t="s">
        <v>164</v>
      </c>
      <c r="W18" t="s">
        <v>110</v>
      </c>
      <c r="X18" s="20" t="s">
        <v>164</v>
      </c>
      <c r="Y18" t="s">
        <v>121</v>
      </c>
      <c r="Z18" s="20" t="s">
        <v>121</v>
      </c>
      <c r="AA18" s="20" t="s">
        <v>313</v>
      </c>
      <c r="AB18" s="20" t="s">
        <v>121</v>
      </c>
      <c r="AC18" s="21" t="s">
        <v>121</v>
      </c>
      <c r="AD18" s="20" t="s">
        <v>330</v>
      </c>
      <c r="AE18" t="s">
        <v>89</v>
      </c>
      <c r="AF18" t="s">
        <v>123</v>
      </c>
      <c r="AG18" t="s">
        <v>244</v>
      </c>
      <c r="AH18" t="s">
        <v>158</v>
      </c>
      <c r="AI18" t="s">
        <v>250</v>
      </c>
      <c r="AJ18" t="s">
        <v>110</v>
      </c>
      <c r="AK18" t="s">
        <v>226</v>
      </c>
      <c r="AL18" s="20" t="s">
        <v>527</v>
      </c>
      <c r="AM18" s="20"/>
      <c r="AN18" s="20"/>
      <c r="AO18" s="20" t="s">
        <v>528</v>
      </c>
      <c r="AP18" s="20" t="s">
        <v>528</v>
      </c>
      <c r="AQ18" s="20" t="s">
        <v>529</v>
      </c>
      <c r="AR18" s="20" t="s">
        <v>530</v>
      </c>
      <c r="AS18" s="20" t="s">
        <v>531</v>
      </c>
      <c r="AT18" s="20" t="s">
        <v>532</v>
      </c>
      <c r="AU18" s="20">
        <f t="shared" si="0"/>
        <v>30</v>
      </c>
      <c r="AV18" s="22" t="s">
        <v>456</v>
      </c>
      <c r="AW18" s="22" t="s">
        <v>533</v>
      </c>
      <c r="AX18" s="22" t="s">
        <v>534</v>
      </c>
      <c r="AY18" s="20"/>
      <c r="AZ18" s="22" t="s">
        <v>226</v>
      </c>
      <c r="BA18" s="22" t="s">
        <v>226</v>
      </c>
      <c r="BB18" s="22" t="s">
        <v>535</v>
      </c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2" t="s">
        <v>536</v>
      </c>
      <c r="BS18" s="22" t="s">
        <v>537</v>
      </c>
      <c r="BT18" s="22" t="s">
        <v>388</v>
      </c>
      <c r="BU18" s="22" t="s">
        <v>389</v>
      </c>
      <c r="BV18" s="20"/>
      <c r="BW18" s="20"/>
      <c r="BX18" s="22" t="s">
        <v>482</v>
      </c>
      <c r="BY18" s="20" t="s">
        <v>538</v>
      </c>
      <c r="BZ18" s="20"/>
      <c r="CA18" s="20"/>
      <c r="CB18" s="20"/>
      <c r="CC18" s="20"/>
      <c r="CD18" s="20"/>
      <c r="CE18" s="20"/>
      <c r="CF18"/>
      <c r="CG18" s="1" t="s">
        <v>620</v>
      </c>
    </row>
    <row r="19" spans="1:85" ht="12" customHeight="1" x14ac:dyDescent="0.25">
      <c r="A19" s="19" t="s">
        <v>105</v>
      </c>
      <c r="B19" s="19" t="s">
        <v>47</v>
      </c>
      <c r="C19" t="s">
        <v>248</v>
      </c>
      <c r="D19" s="20" t="s">
        <v>280</v>
      </c>
      <c r="E19" t="s">
        <v>248</v>
      </c>
      <c r="F19" s="20" t="s">
        <v>283</v>
      </c>
      <c r="G19" s="19" t="s">
        <v>54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210</v>
      </c>
      <c r="S19" t="s">
        <v>199</v>
      </c>
      <c r="T19" t="s">
        <v>6</v>
      </c>
      <c r="U19" t="s">
        <v>64</v>
      </c>
      <c r="V19" t="s">
        <v>202</v>
      </c>
      <c r="W19" t="s">
        <v>110</v>
      </c>
      <c r="X19" s="20" t="s">
        <v>6</v>
      </c>
      <c r="Y19" t="s">
        <v>64</v>
      </c>
      <c r="Z19" s="20" t="s">
        <v>64</v>
      </c>
      <c r="AA19" s="20" t="s">
        <v>331</v>
      </c>
      <c r="AB19" s="20" t="s">
        <v>64</v>
      </c>
      <c r="AC19" s="21" t="s">
        <v>64</v>
      </c>
      <c r="AD19" s="20" t="s">
        <v>332</v>
      </c>
      <c r="AE19" t="s">
        <v>80</v>
      </c>
      <c r="AF19" t="s">
        <v>56</v>
      </c>
      <c r="AG19" t="s">
        <v>236</v>
      </c>
      <c r="AH19" t="s">
        <v>236</v>
      </c>
      <c r="AI19" t="s">
        <v>70</v>
      </c>
      <c r="AJ19" t="s">
        <v>87</v>
      </c>
      <c r="AK19" t="s">
        <v>110</v>
      </c>
      <c r="AL19" s="20" t="s">
        <v>539</v>
      </c>
      <c r="AM19" s="20"/>
      <c r="AN19" s="20"/>
      <c r="AO19" s="20" t="s">
        <v>540</v>
      </c>
      <c r="AP19" s="20" t="s">
        <v>540</v>
      </c>
      <c r="AQ19" s="20" t="s">
        <v>541</v>
      </c>
      <c r="AR19" s="20" t="s">
        <v>542</v>
      </c>
      <c r="AS19" s="20" t="s">
        <v>543</v>
      </c>
      <c r="AT19" s="20" t="s">
        <v>544</v>
      </c>
      <c r="AU19" s="20">
        <f t="shared" si="0"/>
        <v>28</v>
      </c>
      <c r="AV19" s="22" t="s">
        <v>545</v>
      </c>
      <c r="AW19" s="22" t="s">
        <v>545</v>
      </c>
      <c r="AX19" s="22" t="s">
        <v>546</v>
      </c>
      <c r="AY19" s="22" t="s">
        <v>546</v>
      </c>
      <c r="AZ19" s="20"/>
      <c r="BA19" s="20"/>
      <c r="BB19" s="22" t="s">
        <v>547</v>
      </c>
      <c r="BC19" s="20"/>
      <c r="BD19" s="20"/>
      <c r="BE19" s="20"/>
      <c r="BF19" s="22" t="s">
        <v>548</v>
      </c>
      <c r="BG19" s="22" t="s">
        <v>549</v>
      </c>
      <c r="BH19" s="20"/>
      <c r="BI19" s="20"/>
      <c r="BJ19" s="20"/>
      <c r="BK19" s="20"/>
      <c r="BL19" s="20"/>
      <c r="BM19" s="22" t="s">
        <v>550</v>
      </c>
      <c r="BN19" s="22" t="s">
        <v>550</v>
      </c>
      <c r="BO19" s="20"/>
      <c r="BP19" s="20"/>
      <c r="BQ19" s="22" t="s">
        <v>551</v>
      </c>
      <c r="BR19" s="22" t="s">
        <v>552</v>
      </c>
      <c r="BS19" s="22" t="s">
        <v>553</v>
      </c>
      <c r="BT19" s="22" t="s">
        <v>388</v>
      </c>
      <c r="BU19" s="22" t="s">
        <v>415</v>
      </c>
      <c r="BV19" s="22" t="s">
        <v>366</v>
      </c>
      <c r="BW19" s="20"/>
      <c r="BX19" s="20"/>
      <c r="BY19" s="20" t="s">
        <v>554</v>
      </c>
      <c r="BZ19" s="20"/>
      <c r="CA19" s="20"/>
      <c r="CB19" s="20"/>
      <c r="CC19" s="20"/>
      <c r="CD19" s="20"/>
      <c r="CE19" s="20"/>
      <c r="CF19"/>
      <c r="CG19" s="1" t="s">
        <v>620</v>
      </c>
    </row>
    <row r="20" spans="1:85" ht="12" customHeight="1" x14ac:dyDescent="0.25">
      <c r="A20" s="19" t="s">
        <v>105</v>
      </c>
      <c r="B20" s="19" t="s">
        <v>47</v>
      </c>
      <c r="C20" t="s">
        <v>248</v>
      </c>
      <c r="D20" s="20" t="s">
        <v>280</v>
      </c>
      <c r="E20" t="s">
        <v>248</v>
      </c>
      <c r="F20" s="20" t="s">
        <v>283</v>
      </c>
      <c r="G20" s="19" t="s">
        <v>54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49</v>
      </c>
      <c r="S20" t="s">
        <v>192</v>
      </c>
      <c r="T20" t="s">
        <v>227</v>
      </c>
      <c r="U20" t="s">
        <v>92</v>
      </c>
      <c r="V20" t="s">
        <v>150</v>
      </c>
      <c r="W20" t="s">
        <v>110</v>
      </c>
      <c r="X20" s="20" t="s">
        <v>284</v>
      </c>
      <c r="Y20" t="s">
        <v>277</v>
      </c>
      <c r="Z20" s="20" t="s">
        <v>277</v>
      </c>
      <c r="AA20" s="20" t="s">
        <v>291</v>
      </c>
      <c r="AB20" s="20" t="s">
        <v>277</v>
      </c>
      <c r="AC20" s="21" t="s">
        <v>333</v>
      </c>
      <c r="AD20" s="20" t="s">
        <v>334</v>
      </c>
      <c r="AE20" t="s">
        <v>21</v>
      </c>
      <c r="AF20" t="s">
        <v>135</v>
      </c>
      <c r="AG20" t="s">
        <v>108</v>
      </c>
      <c r="AH20" t="s">
        <v>279</v>
      </c>
      <c r="AI20" t="s">
        <v>69</v>
      </c>
      <c r="AJ20" t="s">
        <v>127</v>
      </c>
      <c r="AK20" t="s">
        <v>197</v>
      </c>
      <c r="AL20" s="20" t="s">
        <v>347</v>
      </c>
      <c r="AM20" s="20" t="s">
        <v>127</v>
      </c>
      <c r="AN20" s="20" t="s">
        <v>348</v>
      </c>
      <c r="AO20" s="20" t="s">
        <v>555</v>
      </c>
      <c r="AP20" s="20" t="s">
        <v>555</v>
      </c>
      <c r="AQ20" s="20" t="s">
        <v>556</v>
      </c>
      <c r="AR20" s="20" t="s">
        <v>557</v>
      </c>
      <c r="AS20" s="20" t="s">
        <v>558</v>
      </c>
      <c r="AT20" s="20" t="s">
        <v>524</v>
      </c>
      <c r="AU20" s="20">
        <f t="shared" si="0"/>
        <v>27</v>
      </c>
      <c r="AV20" s="22" t="s">
        <v>354</v>
      </c>
      <c r="AW20" s="22" t="s">
        <v>354</v>
      </c>
      <c r="AX20" s="22" t="s">
        <v>355</v>
      </c>
      <c r="AY20" s="22" t="s">
        <v>356</v>
      </c>
      <c r="AZ20" s="22" t="s">
        <v>197</v>
      </c>
      <c r="BA20" s="22" t="s">
        <v>197</v>
      </c>
      <c r="BB20" s="22" t="s">
        <v>357</v>
      </c>
      <c r="BC20" s="22" t="s">
        <v>525</v>
      </c>
      <c r="BD20" s="22" t="s">
        <v>526</v>
      </c>
      <c r="BE20" s="20"/>
      <c r="BF20" s="22" t="s">
        <v>360</v>
      </c>
      <c r="BG20" s="22" t="s">
        <v>361</v>
      </c>
      <c r="BH20" s="20"/>
      <c r="BI20" s="20"/>
      <c r="BJ20" s="20"/>
      <c r="BK20" s="20"/>
      <c r="BL20" s="20"/>
      <c r="BM20" s="22" t="s">
        <v>362</v>
      </c>
      <c r="BN20" s="22" t="s">
        <v>362</v>
      </c>
      <c r="BO20" s="22" t="s">
        <v>363</v>
      </c>
      <c r="BP20" s="22" t="s">
        <v>364</v>
      </c>
      <c r="BQ20" s="20"/>
      <c r="BR20" s="22" t="s">
        <v>365</v>
      </c>
      <c r="BS20" s="22" t="s">
        <v>365</v>
      </c>
      <c r="BT20" s="20"/>
      <c r="BU20" s="20"/>
      <c r="BV20" s="22" t="s">
        <v>366</v>
      </c>
      <c r="BW20" s="20"/>
      <c r="BX20" s="20"/>
      <c r="BY20" s="20" t="s">
        <v>367</v>
      </c>
      <c r="BZ20" s="20"/>
      <c r="CA20" s="20" t="s">
        <v>45</v>
      </c>
      <c r="CB20" s="20"/>
      <c r="CC20" s="20"/>
      <c r="CD20" s="20"/>
      <c r="CE20" s="20"/>
      <c r="CF20"/>
      <c r="CG20" s="1" t="s">
        <v>620</v>
      </c>
    </row>
    <row r="21" spans="1:85" ht="12" customHeight="1" x14ac:dyDescent="0.25">
      <c r="A21" s="19" t="s">
        <v>105</v>
      </c>
      <c r="B21" s="19" t="s">
        <v>47</v>
      </c>
      <c r="C21" t="s">
        <v>248</v>
      </c>
      <c r="D21" s="20" t="s">
        <v>280</v>
      </c>
      <c r="E21" t="s">
        <v>248</v>
      </c>
      <c r="F21" s="20" t="s">
        <v>283</v>
      </c>
      <c r="G21" s="19" t="s">
        <v>54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145</v>
      </c>
      <c r="S21" t="s">
        <v>192</v>
      </c>
      <c r="T21" t="s">
        <v>227</v>
      </c>
      <c r="U21" t="s">
        <v>90</v>
      </c>
      <c r="V21" t="s">
        <v>150</v>
      </c>
      <c r="W21" t="s">
        <v>110</v>
      </c>
      <c r="X21" s="20" t="s">
        <v>284</v>
      </c>
      <c r="Y21" t="s">
        <v>215</v>
      </c>
      <c r="Z21" s="20" t="s">
        <v>215</v>
      </c>
      <c r="AA21" s="20" t="s">
        <v>291</v>
      </c>
      <c r="AB21" s="20" t="s">
        <v>215</v>
      </c>
      <c r="AC21" s="21" t="s">
        <v>335</v>
      </c>
      <c r="AD21" s="20" t="s">
        <v>336</v>
      </c>
      <c r="AE21" t="s">
        <v>263</v>
      </c>
      <c r="AF21" t="s">
        <v>39</v>
      </c>
      <c r="AG21" t="s">
        <v>152</v>
      </c>
      <c r="AH21" t="s">
        <v>159</v>
      </c>
      <c r="AI21" t="s">
        <v>69</v>
      </c>
      <c r="AJ21" t="s">
        <v>127</v>
      </c>
      <c r="AK21" t="s">
        <v>197</v>
      </c>
      <c r="AL21" s="20" t="s">
        <v>347</v>
      </c>
      <c r="AM21" s="20" t="s">
        <v>127</v>
      </c>
      <c r="AN21" s="20" t="s">
        <v>348</v>
      </c>
      <c r="AO21" s="20" t="s">
        <v>559</v>
      </c>
      <c r="AP21" s="20" t="s">
        <v>559</v>
      </c>
      <c r="AQ21" s="20" t="s">
        <v>560</v>
      </c>
      <c r="AR21" s="20" t="s">
        <v>561</v>
      </c>
      <c r="AS21" s="20" t="s">
        <v>562</v>
      </c>
      <c r="AT21" s="20" t="s">
        <v>372</v>
      </c>
      <c r="AU21" s="20">
        <f t="shared" si="0"/>
        <v>29</v>
      </c>
      <c r="AV21" s="22" t="s">
        <v>354</v>
      </c>
      <c r="AW21" s="22" t="s">
        <v>354</v>
      </c>
      <c r="AX21" s="22" t="s">
        <v>355</v>
      </c>
      <c r="AY21" s="22" t="s">
        <v>356</v>
      </c>
      <c r="AZ21" s="22" t="s">
        <v>197</v>
      </c>
      <c r="BA21" s="22" t="s">
        <v>197</v>
      </c>
      <c r="BB21" s="22" t="s">
        <v>357</v>
      </c>
      <c r="BC21" s="22" t="s">
        <v>373</v>
      </c>
      <c r="BD21" s="22" t="s">
        <v>374</v>
      </c>
      <c r="BE21" s="20"/>
      <c r="BF21" s="22" t="s">
        <v>360</v>
      </c>
      <c r="BG21" s="22" t="s">
        <v>361</v>
      </c>
      <c r="BH21" s="20"/>
      <c r="BI21" s="20"/>
      <c r="BJ21" s="20"/>
      <c r="BK21" s="20"/>
      <c r="BL21" s="20"/>
      <c r="BM21" s="22" t="s">
        <v>362</v>
      </c>
      <c r="BN21" s="22" t="s">
        <v>362</v>
      </c>
      <c r="BO21" s="22" t="s">
        <v>432</v>
      </c>
      <c r="BP21" s="22" t="s">
        <v>433</v>
      </c>
      <c r="BQ21" s="20"/>
      <c r="BR21" s="22" t="s">
        <v>365</v>
      </c>
      <c r="BS21" s="22" t="s">
        <v>365</v>
      </c>
      <c r="BT21" s="20"/>
      <c r="BU21" s="20"/>
      <c r="BV21" s="22" t="s">
        <v>366</v>
      </c>
      <c r="BW21" s="20"/>
      <c r="BX21" s="20"/>
      <c r="BY21" s="20" t="s">
        <v>367</v>
      </c>
      <c r="BZ21" s="20"/>
      <c r="CA21" s="20" t="s">
        <v>45</v>
      </c>
      <c r="CB21" s="20"/>
      <c r="CC21" s="20"/>
      <c r="CD21" s="20"/>
      <c r="CE21" s="20"/>
      <c r="CF21"/>
      <c r="CG21" s="1" t="s">
        <v>620</v>
      </c>
    </row>
    <row r="22" spans="1:85" ht="12" customHeight="1" x14ac:dyDescent="0.25">
      <c r="A22" s="19" t="s">
        <v>105</v>
      </c>
      <c r="B22" s="19" t="s">
        <v>47</v>
      </c>
      <c r="C22" t="s">
        <v>248</v>
      </c>
      <c r="D22" s="20" t="s">
        <v>280</v>
      </c>
      <c r="E22" t="s">
        <v>248</v>
      </c>
      <c r="F22" s="20" t="s">
        <v>283</v>
      </c>
      <c r="G22" s="19" t="s">
        <v>54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157</v>
      </c>
      <c r="S22" t="s">
        <v>38</v>
      </c>
      <c r="T22" t="s">
        <v>68</v>
      </c>
      <c r="U22" t="s">
        <v>4</v>
      </c>
      <c r="V22" t="s">
        <v>101</v>
      </c>
      <c r="W22" t="s">
        <v>110</v>
      </c>
      <c r="X22" s="20" t="s">
        <v>290</v>
      </c>
      <c r="Y22" t="s">
        <v>4</v>
      </c>
      <c r="Z22" s="20" t="s">
        <v>4</v>
      </c>
      <c r="AA22" s="20" t="s">
        <v>337</v>
      </c>
      <c r="AB22" s="20" t="s">
        <v>4</v>
      </c>
      <c r="AC22" s="21" t="s">
        <v>4</v>
      </c>
      <c r="AD22" s="20" t="s">
        <v>338</v>
      </c>
      <c r="AE22" t="s">
        <v>179</v>
      </c>
      <c r="AF22" t="s">
        <v>186</v>
      </c>
      <c r="AG22" t="s">
        <v>15</v>
      </c>
      <c r="AH22" t="s">
        <v>110</v>
      </c>
      <c r="AI22" t="s">
        <v>110</v>
      </c>
      <c r="AJ22" t="s">
        <v>110</v>
      </c>
      <c r="AK22" t="s">
        <v>110</v>
      </c>
      <c r="AL22" s="20" t="s">
        <v>563</v>
      </c>
      <c r="AM22" s="20"/>
      <c r="AN22" s="20"/>
      <c r="AO22" s="20" t="s">
        <v>564</v>
      </c>
      <c r="AP22" s="20" t="s">
        <v>564</v>
      </c>
      <c r="AQ22" s="20" t="s">
        <v>565</v>
      </c>
      <c r="AR22" s="20" t="s">
        <v>566</v>
      </c>
      <c r="AS22" s="20" t="s">
        <v>567</v>
      </c>
      <c r="AT22" s="20" t="s">
        <v>568</v>
      </c>
      <c r="AU22" s="20">
        <f t="shared" si="0"/>
        <v>28</v>
      </c>
      <c r="AV22" s="22" t="s">
        <v>569</v>
      </c>
      <c r="AW22" s="22" t="s">
        <v>569</v>
      </c>
      <c r="AX22" s="22" t="s">
        <v>570</v>
      </c>
      <c r="AY22" s="22" t="s">
        <v>570</v>
      </c>
      <c r="AZ22" s="22" t="s">
        <v>571</v>
      </c>
      <c r="BA22" s="22" t="s">
        <v>571</v>
      </c>
      <c r="BB22" s="22" t="s">
        <v>572</v>
      </c>
      <c r="BC22" s="20"/>
      <c r="BD22" s="20"/>
      <c r="BE22" s="20"/>
      <c r="BF22" s="22" t="s">
        <v>573</v>
      </c>
      <c r="BG22" s="22" t="s">
        <v>574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2" t="s">
        <v>575</v>
      </c>
      <c r="BS22" s="22" t="s">
        <v>576</v>
      </c>
      <c r="BT22" s="22" t="s">
        <v>414</v>
      </c>
      <c r="BU22" s="22" t="s">
        <v>389</v>
      </c>
      <c r="BV22" s="22" t="s">
        <v>366</v>
      </c>
      <c r="BW22" s="20"/>
      <c r="BX22" s="20"/>
      <c r="BY22" s="20" t="s">
        <v>577</v>
      </c>
      <c r="BZ22" s="20"/>
      <c r="CA22" s="20"/>
      <c r="CB22" s="20"/>
      <c r="CC22" s="20"/>
      <c r="CD22" s="20"/>
      <c r="CE22" s="20"/>
      <c r="CF22"/>
      <c r="CG22" s="1" t="s">
        <v>620</v>
      </c>
    </row>
    <row r="23" spans="1:85" ht="12" customHeight="1" x14ac:dyDescent="0.25">
      <c r="A23" s="19" t="s">
        <v>105</v>
      </c>
      <c r="B23" s="19" t="s">
        <v>47</v>
      </c>
      <c r="C23" t="s">
        <v>248</v>
      </c>
      <c r="D23" s="20" t="s">
        <v>280</v>
      </c>
      <c r="E23" t="s">
        <v>248</v>
      </c>
      <c r="F23" s="20" t="s">
        <v>283</v>
      </c>
      <c r="G23" s="19" t="s">
        <v>54</v>
      </c>
      <c r="H23"/>
      <c r="I23"/>
      <c r="J23"/>
      <c r="K23"/>
      <c r="L23"/>
      <c r="M23"/>
      <c r="N23"/>
      <c r="O23"/>
      <c r="P23">
        <v>22</v>
      </c>
      <c r="Q23">
        <v>22</v>
      </c>
      <c r="R23" t="s">
        <v>14</v>
      </c>
      <c r="S23" t="s">
        <v>270</v>
      </c>
      <c r="T23" t="s">
        <v>190</v>
      </c>
      <c r="U23" t="s">
        <v>2</v>
      </c>
      <c r="V23" t="s">
        <v>190</v>
      </c>
      <c r="W23" t="s">
        <v>110</v>
      </c>
      <c r="X23" s="20" t="s">
        <v>190</v>
      </c>
      <c r="Y23" t="s">
        <v>2</v>
      </c>
      <c r="Z23" s="20" t="s">
        <v>2</v>
      </c>
      <c r="AA23" s="20" t="s">
        <v>190</v>
      </c>
      <c r="AB23" s="20" t="s">
        <v>2</v>
      </c>
      <c r="AC23" s="21" t="s">
        <v>339</v>
      </c>
      <c r="AD23" s="20" t="s">
        <v>340</v>
      </c>
      <c r="AE23" t="s">
        <v>176</v>
      </c>
      <c r="AF23" t="s">
        <v>42</v>
      </c>
      <c r="AG23" t="s">
        <v>58</v>
      </c>
      <c r="AH23" t="s">
        <v>110</v>
      </c>
      <c r="AI23" t="s">
        <v>110</v>
      </c>
      <c r="AJ23" t="s">
        <v>110</v>
      </c>
      <c r="AK23" t="s">
        <v>74</v>
      </c>
      <c r="AL23" s="20" t="s">
        <v>578</v>
      </c>
      <c r="AM23" s="20"/>
      <c r="AN23" s="20"/>
      <c r="AO23" s="20" t="s">
        <v>579</v>
      </c>
      <c r="AP23" s="20" t="s">
        <v>579</v>
      </c>
      <c r="AQ23" s="20" t="s">
        <v>580</v>
      </c>
      <c r="AR23" s="20" t="s">
        <v>581</v>
      </c>
      <c r="AS23" s="20" t="s">
        <v>582</v>
      </c>
      <c r="AT23" s="20" t="s">
        <v>583</v>
      </c>
      <c r="AU23" s="20">
        <f t="shared" si="0"/>
        <v>30</v>
      </c>
      <c r="AV23" s="22" t="s">
        <v>506</v>
      </c>
      <c r="AW23" s="22" t="s">
        <v>506</v>
      </c>
      <c r="AX23" s="22" t="s">
        <v>584</v>
      </c>
      <c r="AY23" s="22" t="s">
        <v>584</v>
      </c>
      <c r="AZ23" s="22" t="s">
        <v>74</v>
      </c>
      <c r="BA23" s="22" t="s">
        <v>74</v>
      </c>
      <c r="BB23" s="22" t="s">
        <v>585</v>
      </c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2" t="s">
        <v>586</v>
      </c>
      <c r="BS23" s="22" t="s">
        <v>587</v>
      </c>
      <c r="BT23" s="22" t="s">
        <v>388</v>
      </c>
      <c r="BU23" s="22" t="s">
        <v>389</v>
      </c>
      <c r="BV23" s="20"/>
      <c r="BW23" s="20"/>
      <c r="BX23" s="20"/>
      <c r="BY23" s="20" t="s">
        <v>588</v>
      </c>
      <c r="BZ23" s="20"/>
      <c r="CA23" s="20"/>
      <c r="CB23" s="20"/>
      <c r="CC23" s="20"/>
      <c r="CD23" s="20"/>
      <c r="CE23" s="20"/>
      <c r="CF23"/>
      <c r="CG23" s="1" t="s">
        <v>620</v>
      </c>
    </row>
    <row r="24" spans="1:85" ht="12" customHeight="1" x14ac:dyDescent="0.25">
      <c r="A24" s="19" t="s">
        <v>105</v>
      </c>
      <c r="B24" s="19" t="s">
        <v>47</v>
      </c>
      <c r="C24" t="s">
        <v>248</v>
      </c>
      <c r="D24" s="20" t="s">
        <v>280</v>
      </c>
      <c r="E24" t="s">
        <v>248</v>
      </c>
      <c r="F24" s="20" t="s">
        <v>283</v>
      </c>
      <c r="G24" s="19" t="s">
        <v>54</v>
      </c>
      <c r="H24"/>
      <c r="I24"/>
      <c r="J24"/>
      <c r="K24"/>
      <c r="L24"/>
      <c r="M24"/>
      <c r="N24"/>
      <c r="O24"/>
      <c r="P24">
        <v>23</v>
      </c>
      <c r="Q24">
        <v>23</v>
      </c>
      <c r="R24" t="s">
        <v>216</v>
      </c>
      <c r="S24" t="s">
        <v>192</v>
      </c>
      <c r="T24" t="s">
        <v>227</v>
      </c>
      <c r="U24" t="s">
        <v>20</v>
      </c>
      <c r="V24" t="s">
        <v>150</v>
      </c>
      <c r="W24" t="s">
        <v>110</v>
      </c>
      <c r="X24" s="20" t="s">
        <v>284</v>
      </c>
      <c r="Y24" t="s">
        <v>84</v>
      </c>
      <c r="Z24" s="20" t="s">
        <v>84</v>
      </c>
      <c r="AA24" s="20" t="s">
        <v>291</v>
      </c>
      <c r="AB24" s="20" t="s">
        <v>84</v>
      </c>
      <c r="AC24" s="21" t="s">
        <v>341</v>
      </c>
      <c r="AD24" s="20" t="s">
        <v>342</v>
      </c>
      <c r="AE24" t="s">
        <v>118</v>
      </c>
      <c r="AF24" t="s">
        <v>211</v>
      </c>
      <c r="AG24" t="s">
        <v>169</v>
      </c>
      <c r="AH24" t="s">
        <v>258</v>
      </c>
      <c r="AI24" t="s">
        <v>69</v>
      </c>
      <c r="AJ24" t="s">
        <v>127</v>
      </c>
      <c r="AK24" t="s">
        <v>197</v>
      </c>
      <c r="AL24" s="20" t="s">
        <v>347</v>
      </c>
      <c r="AM24" s="20" t="s">
        <v>127</v>
      </c>
      <c r="AN24" s="20" t="s">
        <v>348</v>
      </c>
      <c r="AO24" s="20" t="s">
        <v>589</v>
      </c>
      <c r="AP24" s="20" t="s">
        <v>589</v>
      </c>
      <c r="AQ24" s="20" t="s">
        <v>590</v>
      </c>
      <c r="AR24" s="20" t="s">
        <v>591</v>
      </c>
      <c r="AS24" s="20" t="s">
        <v>592</v>
      </c>
      <c r="AT24" s="20" t="s">
        <v>593</v>
      </c>
      <c r="AU24" s="20">
        <f t="shared" si="0"/>
        <v>27</v>
      </c>
      <c r="AV24" s="22" t="s">
        <v>354</v>
      </c>
      <c r="AW24" s="22" t="s">
        <v>354</v>
      </c>
      <c r="AX24" s="22" t="s">
        <v>355</v>
      </c>
      <c r="AY24" s="22" t="s">
        <v>356</v>
      </c>
      <c r="AZ24" s="22" t="s">
        <v>197</v>
      </c>
      <c r="BA24" s="22" t="s">
        <v>197</v>
      </c>
      <c r="BB24" s="22" t="s">
        <v>357</v>
      </c>
      <c r="BC24" s="22" t="s">
        <v>488</v>
      </c>
      <c r="BD24" s="22" t="s">
        <v>489</v>
      </c>
      <c r="BE24" s="20"/>
      <c r="BF24" s="22" t="s">
        <v>594</v>
      </c>
      <c r="BG24" s="22" t="s">
        <v>595</v>
      </c>
      <c r="BH24" s="20"/>
      <c r="BI24" s="20"/>
      <c r="BJ24" s="20"/>
      <c r="BK24" s="20"/>
      <c r="BL24" s="20"/>
      <c r="BM24" s="22" t="s">
        <v>362</v>
      </c>
      <c r="BN24" s="22" t="s">
        <v>362</v>
      </c>
      <c r="BO24" s="22" t="s">
        <v>363</v>
      </c>
      <c r="BP24" s="22" t="s">
        <v>364</v>
      </c>
      <c r="BQ24" s="20"/>
      <c r="BR24" s="22" t="s">
        <v>365</v>
      </c>
      <c r="BS24" s="22" t="s">
        <v>365</v>
      </c>
      <c r="BT24" s="20"/>
      <c r="BU24" s="20"/>
      <c r="BV24" s="22" t="s">
        <v>366</v>
      </c>
      <c r="BW24" s="20"/>
      <c r="BX24" s="20"/>
      <c r="BY24" s="20" t="s">
        <v>367</v>
      </c>
      <c r="BZ24" s="20"/>
      <c r="CA24" s="20"/>
      <c r="CB24" s="20"/>
      <c r="CC24" s="20"/>
      <c r="CD24" s="20"/>
      <c r="CE24" s="20"/>
      <c r="CF24"/>
      <c r="CG24" s="1" t="s">
        <v>620</v>
      </c>
    </row>
    <row r="25" spans="1:85" ht="12" customHeight="1" x14ac:dyDescent="0.25">
      <c r="A25" s="19" t="s">
        <v>105</v>
      </c>
      <c r="B25" s="19" t="s">
        <v>47</v>
      </c>
      <c r="C25" t="s">
        <v>248</v>
      </c>
      <c r="D25" s="20" t="s">
        <v>280</v>
      </c>
      <c r="E25" t="s">
        <v>248</v>
      </c>
      <c r="F25" s="20" t="s">
        <v>283</v>
      </c>
      <c r="G25" s="19" t="s">
        <v>54</v>
      </c>
      <c r="H25"/>
      <c r="I25"/>
      <c r="J25"/>
      <c r="K25"/>
      <c r="L25"/>
      <c r="M25"/>
      <c r="N25"/>
      <c r="O25"/>
      <c r="P25">
        <v>24</v>
      </c>
      <c r="Q25">
        <v>24</v>
      </c>
      <c r="R25" t="s">
        <v>19</v>
      </c>
      <c r="S25" t="s">
        <v>251</v>
      </c>
      <c r="T25" t="s">
        <v>143</v>
      </c>
      <c r="U25" t="s">
        <v>204</v>
      </c>
      <c r="V25" t="s">
        <v>187</v>
      </c>
      <c r="W25" t="s">
        <v>41</v>
      </c>
      <c r="X25" s="20" t="s">
        <v>289</v>
      </c>
      <c r="Y25" t="s">
        <v>204</v>
      </c>
      <c r="Z25" s="20" t="s">
        <v>204</v>
      </c>
      <c r="AA25" s="20" t="s">
        <v>321</v>
      </c>
      <c r="AB25" s="20" t="s">
        <v>204</v>
      </c>
      <c r="AC25" s="21" t="s">
        <v>343</v>
      </c>
      <c r="AD25" s="20" t="s">
        <v>344</v>
      </c>
      <c r="AE25" t="s">
        <v>16</v>
      </c>
      <c r="AF25" t="s">
        <v>98</v>
      </c>
      <c r="AG25" t="s">
        <v>171</v>
      </c>
      <c r="AH25" t="s">
        <v>110</v>
      </c>
      <c r="AI25" t="s">
        <v>110</v>
      </c>
      <c r="AJ25" t="s">
        <v>110</v>
      </c>
      <c r="AK25" t="s">
        <v>72</v>
      </c>
      <c r="AL25" s="20" t="s">
        <v>490</v>
      </c>
      <c r="AM25" s="20"/>
      <c r="AN25" s="20"/>
      <c r="AO25" s="20" t="s">
        <v>596</v>
      </c>
      <c r="AP25" s="20" t="s">
        <v>596</v>
      </c>
      <c r="AQ25" s="20" t="s">
        <v>597</v>
      </c>
      <c r="AR25" s="20" t="s">
        <v>598</v>
      </c>
      <c r="AS25" s="20" t="s">
        <v>599</v>
      </c>
      <c r="AT25" s="20" t="s">
        <v>600</v>
      </c>
      <c r="AU25" s="20">
        <f t="shared" si="0"/>
        <v>30</v>
      </c>
      <c r="AV25" s="22" t="s">
        <v>601</v>
      </c>
      <c r="AW25" s="22" t="s">
        <v>602</v>
      </c>
      <c r="AX25" s="22" t="s">
        <v>603</v>
      </c>
      <c r="AY25" s="20"/>
      <c r="AZ25" s="22" t="s">
        <v>72</v>
      </c>
      <c r="BA25" s="22" t="s">
        <v>72</v>
      </c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2" t="s">
        <v>604</v>
      </c>
      <c r="BS25" s="22" t="s">
        <v>604</v>
      </c>
      <c r="BT25" s="22" t="s">
        <v>414</v>
      </c>
      <c r="BU25" s="22" t="s">
        <v>389</v>
      </c>
      <c r="BV25" s="20"/>
      <c r="BW25" s="20"/>
      <c r="BX25" s="20"/>
      <c r="BY25" s="20" t="s">
        <v>605</v>
      </c>
      <c r="BZ25" s="20"/>
      <c r="CA25" s="20"/>
      <c r="CB25" s="20"/>
      <c r="CC25" s="20"/>
      <c r="CD25" s="20"/>
      <c r="CE25" s="20"/>
      <c r="CF25"/>
      <c r="CG25" s="1" t="s">
        <v>620</v>
      </c>
    </row>
    <row r="26" spans="1:85" ht="12" customHeight="1" x14ac:dyDescent="0.25">
      <c r="A26" s="19" t="s">
        <v>105</v>
      </c>
      <c r="B26" s="19" t="s">
        <v>47</v>
      </c>
      <c r="C26" t="s">
        <v>248</v>
      </c>
      <c r="D26" s="20" t="s">
        <v>280</v>
      </c>
      <c r="E26" t="s">
        <v>248</v>
      </c>
      <c r="F26" s="20" t="s">
        <v>283</v>
      </c>
      <c r="G26" s="19" t="s">
        <v>54</v>
      </c>
      <c r="H26"/>
      <c r="I26"/>
      <c r="J26"/>
      <c r="K26"/>
      <c r="L26"/>
      <c r="M26"/>
      <c r="N26"/>
      <c r="O26"/>
      <c r="P26">
        <v>25</v>
      </c>
      <c r="Q26">
        <v>25</v>
      </c>
      <c r="R26" t="s">
        <v>198</v>
      </c>
      <c r="S26" t="s">
        <v>18</v>
      </c>
      <c r="T26" t="s">
        <v>76</v>
      </c>
      <c r="U26" t="s">
        <v>59</v>
      </c>
      <c r="V26" t="s">
        <v>267</v>
      </c>
      <c r="W26" t="s">
        <v>110</v>
      </c>
      <c r="X26" s="20" t="s">
        <v>285</v>
      </c>
      <c r="Y26" t="s">
        <v>59</v>
      </c>
      <c r="Z26" s="20" t="s">
        <v>59</v>
      </c>
      <c r="AA26" s="20" t="s">
        <v>296</v>
      </c>
      <c r="AB26" s="20" t="s">
        <v>59</v>
      </c>
      <c r="AC26" s="21" t="s">
        <v>345</v>
      </c>
      <c r="AD26" s="20" t="s">
        <v>346</v>
      </c>
      <c r="AE26" t="s">
        <v>218</v>
      </c>
      <c r="AF26" t="s">
        <v>266</v>
      </c>
      <c r="AG26" t="s">
        <v>188</v>
      </c>
      <c r="AH26" t="s">
        <v>188</v>
      </c>
      <c r="AI26" t="s">
        <v>0</v>
      </c>
      <c r="AJ26" t="s">
        <v>122</v>
      </c>
      <c r="AK26" t="s">
        <v>191</v>
      </c>
      <c r="AL26" s="20" t="s">
        <v>606</v>
      </c>
      <c r="AM26" s="20" t="s">
        <v>122</v>
      </c>
      <c r="AN26" s="20" t="s">
        <v>607</v>
      </c>
      <c r="AO26" s="20" t="s">
        <v>608</v>
      </c>
      <c r="AP26" s="20" t="s">
        <v>608</v>
      </c>
      <c r="AQ26" s="20" t="s">
        <v>609</v>
      </c>
      <c r="AR26" s="20" t="s">
        <v>610</v>
      </c>
      <c r="AS26" s="20" t="s">
        <v>611</v>
      </c>
      <c r="AT26" s="20" t="s">
        <v>612</v>
      </c>
      <c r="AU26" s="20">
        <f t="shared" si="0"/>
        <v>29</v>
      </c>
      <c r="AV26" s="22" t="s">
        <v>613</v>
      </c>
      <c r="AW26" s="22" t="s">
        <v>613</v>
      </c>
      <c r="AX26" s="22" t="s">
        <v>355</v>
      </c>
      <c r="AY26" s="22" t="s">
        <v>356</v>
      </c>
      <c r="AZ26" s="22" t="s">
        <v>191</v>
      </c>
      <c r="BA26" s="22" t="s">
        <v>191</v>
      </c>
      <c r="BB26" s="22" t="s">
        <v>382</v>
      </c>
      <c r="BC26" s="20"/>
      <c r="BD26" s="20"/>
      <c r="BE26" s="20"/>
      <c r="BF26" s="22" t="s">
        <v>614</v>
      </c>
      <c r="BG26" s="22" t="s">
        <v>615</v>
      </c>
      <c r="BH26" s="20"/>
      <c r="BI26" s="20"/>
      <c r="BJ26" s="20"/>
      <c r="BK26" s="20"/>
      <c r="BL26" s="20"/>
      <c r="BM26" s="20"/>
      <c r="BN26" s="20"/>
      <c r="BO26" s="22" t="s">
        <v>616</v>
      </c>
      <c r="BP26" s="22" t="s">
        <v>617</v>
      </c>
      <c r="BQ26" s="20"/>
      <c r="BR26" s="22" t="s">
        <v>387</v>
      </c>
      <c r="BS26" s="22" t="s">
        <v>387</v>
      </c>
      <c r="BT26" s="22" t="s">
        <v>388</v>
      </c>
      <c r="BU26" s="22" t="s">
        <v>389</v>
      </c>
      <c r="BV26" s="20"/>
      <c r="BW26" s="20"/>
      <c r="BX26" s="22" t="s">
        <v>618</v>
      </c>
      <c r="BY26" s="20" t="s">
        <v>619</v>
      </c>
      <c r="BZ26" s="20"/>
      <c r="CA26" s="20"/>
      <c r="CB26" s="20"/>
      <c r="CC26" s="20"/>
      <c r="CD26" s="20"/>
      <c r="CE26" s="20"/>
      <c r="CF26"/>
      <c r="CG26" s="1" t="s">
        <v>620</v>
      </c>
    </row>
  </sheetData>
  <autoFilter ref="A1:CG26"/>
  <sortState ref="A2:CH26">
    <sortCondition ref="P2:P2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2023-07-24T14:19:15Z</dcterms:modified>
</cp:coreProperties>
</file>