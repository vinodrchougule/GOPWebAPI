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E227299C-BB11-4352-BC24-E968F119E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6" i="1"/>
  <c r="S5" i="1"/>
  <c r="S4" i="1"/>
  <c r="S3" i="1"/>
  <c r="S2" i="1"/>
</calcChain>
</file>

<file path=xl/sharedStrings.xml><?xml version="1.0" encoding="utf-8"?>
<sst xmlns="http://schemas.openxmlformats.org/spreadsheetml/2006/main" count="287" uniqueCount="96">
  <si>
    <t>Aster Medcity Kochi- Pharmacy OP IO, Aster Medcity Kochi- Pharmacy IP IO</t>
  </si>
  <si>
    <t>SYQ</t>
  </si>
  <si>
    <t>MOTIVYST 300MG TABLET</t>
  </si>
  <si>
    <t>Production User</t>
  </si>
  <si>
    <t>Activities</t>
  </si>
  <si>
    <t>Classification</t>
  </si>
  <si>
    <t>P</t>
  </si>
  <si>
    <t>UNIFORM HEAD NURSES FEMALE - XL</t>
  </si>
  <si>
    <t>PRODUCT CREATED TIM</t>
  </si>
  <si>
    <t>RESPONSIBLE PERSON</t>
  </si>
  <si>
    <t>REQUEST DATE</t>
  </si>
  <si>
    <t>UNIT</t>
  </si>
  <si>
    <t>I</t>
  </si>
  <si>
    <t>TICOFIC PLUS 200MG INJECTION</t>
  </si>
  <si>
    <t>REMARKS IF ISSUES MARK AS "E"</t>
  </si>
  <si>
    <t>MIMS Hospital Calicut- Service Org</t>
  </si>
  <si>
    <t>Aster Prime Hospital IP, Aster Prime Hospital OP</t>
  </si>
  <si>
    <t>SLNO</t>
  </si>
  <si>
    <t>FINAL PRODUCT CREATED CODE</t>
  </si>
  <si>
    <t>RECIVE CATEGORY</t>
  </si>
  <si>
    <t>TAXONOMY</t>
  </si>
  <si>
    <t>STATUS - MODIFY/NEW/REJECT</t>
  </si>
  <si>
    <t>PRODUCT CREATED DATE</t>
  </si>
  <si>
    <t>UNIFORM HEAD NURSES FEMALE - SMALL</t>
  </si>
  <si>
    <t>CMI Hospital IP, CMI Hospital OP, Whitefield Hospital IP, Whitefield Hospital OP, RV Hospital IP, RV Hospital OP</t>
  </si>
  <si>
    <t>NO</t>
  </si>
  <si>
    <t>PROCESSED CATEGORY</t>
  </si>
  <si>
    <t>REQUEST TIME</t>
  </si>
  <si>
    <t>UNIFORM HEAD NURSES FEMALE - LARGE</t>
  </si>
  <si>
    <t>IMEGLYN 500MG TAB</t>
  </si>
  <si>
    <t>UNIFORM HEAD NURSES FEMALE - MEDIUM</t>
  </si>
  <si>
    <t>Aster Aadhar Kolhapur-IP</t>
  </si>
  <si>
    <t>2% CHLOROHEXIDINE SOLUTION 500ML - HEXACHLOR</t>
  </si>
  <si>
    <t>EDTA 17% SOLUTION 100ML- SMARTPREP LIQUID</t>
  </si>
  <si>
    <t>Fibator EZ Tablet</t>
  </si>
  <si>
    <t>M</t>
  </si>
  <si>
    <t>UNIFORM HEAD NURSES FEMALE - XXL</t>
  </si>
  <si>
    <t>BRACANAT 100 MG TABLET</t>
  </si>
  <si>
    <t>Status</t>
  </si>
  <si>
    <t>GIVEN ITEM NAME</t>
  </si>
  <si>
    <t>PROCESSED Y/N</t>
  </si>
  <si>
    <t>Pentanerv-NT 100mg/10mg Tablet</t>
  </si>
  <si>
    <t>COMMENTS</t>
  </si>
  <si>
    <t>Diapride M3 Forte Tablet PR</t>
  </si>
  <si>
    <t>MIMS Hospital Calicut- Pharmacy OP, MIMS Hospital Calicut- Pharmacy IP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</si>
  <si>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</si>
  <si>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ENDOCRYL 1ML INJECTION</t>
  </si>
  <si>
    <t>HDCORT 100MG INJECTION-ORISON</t>
  </si>
  <si>
    <t>FERUNO 5ML INJECTION</t>
  </si>
  <si>
    <t>FINAL PRODUCT CREATED ITEM NAME</t>
  </si>
  <si>
    <t>Production Comments</t>
  </si>
  <si>
    <t>CONSIGNMENT</t>
  </si>
  <si>
    <t>MIMS Hospital Calicut- Pharmacy IP, MIMS Hospital Calicut- Service Org</t>
  </si>
  <si>
    <t xml:space="preserve">TAT </t>
  </si>
  <si>
    <t>EZENTIA -10 MG TABLET</t>
  </si>
  <si>
    <t>NEW</t>
  </si>
  <si>
    <t>Direct / Chemicals &amp; Lab Reagents / Chemicals &amp; Lab Reagents / Laboratory Chemicals</t>
  </si>
  <si>
    <t>SNEHAJA</t>
  </si>
  <si>
    <t>Y</t>
  </si>
  <si>
    <t>3-G-AC5-XX-KT14-XX09-00001</t>
  </si>
  <si>
    <t>HEXACHLOR 2% 500 ML CHLOROHEXIDINE SOLUTION</t>
  </si>
  <si>
    <t>3-A-AR54-AK-XX09-BS70-X-00001</t>
  </si>
  <si>
    <t>ACTIVE-REJECTED</t>
  </si>
  <si>
    <t>Indirect / MRO Supplies / Clothing / Uniform</t>
  </si>
  <si>
    <t>UNIFORM HEAD NURSES FEMALE- MEDIUM</t>
  </si>
  <si>
    <t>UNIFORM HEAD NURSES FEMALE -LARGE</t>
  </si>
  <si>
    <t>UNIFORM HEAD NURSES FEMALE -XL</t>
  </si>
  <si>
    <t>Direct.Pharmaceutical Drugs.Endocrine &amp; Metabolic System.Antidiabetic Agents.IMEGLIMIN</t>
  </si>
  <si>
    <t>IMEGLYN 500MG TABLET</t>
  </si>
  <si>
    <t>3-A-EH63-HW-GK46-BS10-X-00001</t>
  </si>
  <si>
    <t>MODIFY</t>
  </si>
  <si>
    <t>Direct / Pharmaceutical Drugs / Cardiovascular &amp; Hematopoietic System / Dyslipidaemic Agents / ATORVASTATIN + FENOFIBRATE + EZETIMIBE</t>
  </si>
  <si>
    <t>FIBATOR EZ TABLET</t>
  </si>
  <si>
    <t>3-A-CO49-HW-FM28-DA03-X-00001</t>
  </si>
  <si>
    <t>Direct / Pharmaceutical Drugs / Endocrine &amp; Metabolic System / Antidiabetic Agents / GLIMEPIRIDE + METFORMIN</t>
  </si>
  <si>
    <t>DIAPRIDE M3 FORTE TABLET PR</t>
  </si>
  <si>
    <t>3-A-CU46-IG-DP25-BL08-X-00001</t>
  </si>
  <si>
    <t>N</t>
  </si>
  <si>
    <t>E-waiting for image</t>
  </si>
  <si>
    <t>Direct / Pharmaceutical Drugs / Oncology / Cytotoxic Chemotherapy / OLAPARIB</t>
  </si>
  <si>
    <t>BRACANAT 100MG TABLET 30S</t>
  </si>
  <si>
    <t>3-A-CL01-HW-DT64-AK27-X-00001</t>
  </si>
  <si>
    <t>Direct / Pharmaceutical Drugs / Central Nervous System / Anticonvulsants / GABAPENTIN + NORTRIPTYLINE HYDROCHLORIDE</t>
  </si>
  <si>
    <t>PENTANERV NT 100MG TABLET</t>
  </si>
  <si>
    <t>3-A-BE62-HW-AG53-AK27-X-00001</t>
  </si>
  <si>
    <t>Direct / Pharmaceutical Drugs / Cardiovascular &amp; Hematopoietic System / Dyslipidaemic Agents / EZETIMIBE</t>
  </si>
  <si>
    <t>EZENTIA 10MG TABLET</t>
  </si>
  <si>
    <t>DUPLICATE REQUEST</t>
  </si>
  <si>
    <t>Direct / Pharmaceutical Drugs / Vitamins &amp; Minerals / Vitamins &amp; Minerals (Pre &amp; Post Natal) / Antianemics / IRON ISOMALTOSIDE</t>
  </si>
  <si>
    <t>3-A-BI83-JB-GK46-BW01-X-00001</t>
  </si>
  <si>
    <t>Direct / Pharmaceutical Drugs / Anti-Infectives (Systemic) / Other Antibiotics / TEICOPLANIN</t>
  </si>
  <si>
    <t>3-A-BZ60-DF-CG84-AZ36-X-00001</t>
  </si>
  <si>
    <t>Direct / Pharmaceutical Drugs / Endocrine &amp; Metabolic System / Antidiabetic Agents / CANAGLIFLOZIN</t>
  </si>
  <si>
    <t>3-A-AP46-HW-CR80-BH74-X-00001</t>
  </si>
  <si>
    <t>Direct / Pharmaceutical Drugs / Miscellaneous / Miscellaneous / N-BUTYL CYANOACRYLATE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</si>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</sst>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name val="Calibri"/>
      <family val="2"/>
      <scheme val="minor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/>
    <xf numFmtId="20" fontId="0" fillId="0" borderId="0" xfId="0" applyNumberFormat="1" applyBorder="1"/>
    <xf numFmtId="0" fontId="6" fillId="0" borderId="0" xfId="0" applyFont="1" applyBorder="1"/>
    <xf numFmtId="20" fontId="0" fillId="0" borderId="0" xfId="0" applyNumberFormat="1" applyFill="1" applyBorder="1" applyAlignment="1">
      <alignment horizontal="center"/>
    </xf>
    <xf numFmtId="0" fontId="9" fillId="0" borderId="0" xfId="0" applyFont="1" applyFill="1" applyBorder="1"/>
    <xf numFmtId="20" fontId="6" fillId="0" borderId="0" xfId="0" applyNumberFormat="1" applyFont="1" applyBorder="1" applyAlignment="1">
      <alignment horizontal="right" vertical="center" wrapText="1"/>
    </xf>
    <xf numFmtId="20" fontId="6" fillId="0" borderId="0" xfId="0" applyNumberFormat="1" applyFont="1" applyBorder="1" applyAlignment="1">
      <alignment horizontal="right"/>
    </xf>
    <xf numFmtId="0" fontId="12" fillId="0" borderId="0" xfId="0" applyFont="1" applyBorder="1"/>
    <xf numFmtId="14" fontId="6" fillId="0" borderId="1" xfId="0" applyNumberFormat="1" applyFont="1"/>
    <xf numFmtId="20" fontId="6" fillId="0" borderId="1" xfId="0" applyNumberFormat="1" applyFont="1"/>
    <xf numFmtId="0" fontId="6" fillId="0" borderId="1" xfId="0" applyFont="1"/>
    <xf numFmtId="0" fontId="8" fillId="0" borderId="1" xfId="0" applyFont="1"/>
    <xf numFmtId="0" fontId="0" fillId="0" borderId="1" xfId="0" applyAlignment="1">
      <alignment horizontal="center"/>
    </xf>
    <xf numFmtId="0" fontId="9" fillId="0" borderId="1" xfId="0" applyFont="1"/>
    <xf numFmtId="20" fontId="0" fillId="0" borderId="1" xfId="0" applyNumberFormat="1" applyAlignment="1">
      <alignment horizontal="center"/>
    </xf>
    <xf numFmtId="14" fontId="0" fillId="0" borderId="1" xfId="0" applyNumberFormat="1" applyAlignment="1">
      <alignment horizontal="center"/>
    </xf>
    <xf numFmtId="0" fontId="10" fillId="0" borderId="1" xfId="0" applyFont="1" applyAlignment="1">
      <alignment horizontal="left" vertical="center"/>
    </xf>
    <xf numFmtId="0" fontId="11" fillId="0" borderId="1" xfId="0" applyFont="1" applyAlignment="1">
      <alignment horizontal="left"/>
    </xf>
    <xf numFmtId="0" fontId="7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W2" sqref="W2:W2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7.44140625" style="1" customWidth="1"/>
    <col min="9" max="9" width="52.332031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17</v>
      </c>
      <c r="B1" s="2" t="s">
        <v>3</v>
      </c>
      <c r="C1" s="2" t="s">
        <v>4</v>
      </c>
      <c r="D1" s="3" t="s">
        <v>10</v>
      </c>
      <c r="E1" s="3" t="s">
        <v>27</v>
      </c>
      <c r="F1" s="3" t="s">
        <v>19</v>
      </c>
      <c r="G1" s="3" t="s">
        <v>51</v>
      </c>
      <c r="H1" s="3" t="s">
        <v>11</v>
      </c>
      <c r="I1" s="3" t="s">
        <v>39</v>
      </c>
      <c r="J1" s="4" t="s">
        <v>21</v>
      </c>
      <c r="K1" s="4" t="s">
        <v>26</v>
      </c>
      <c r="L1" s="4" t="s">
        <v>20</v>
      </c>
      <c r="M1" s="4" t="s">
        <v>9</v>
      </c>
      <c r="N1" s="4" t="s">
        <v>40</v>
      </c>
      <c r="O1" s="4" t="s">
        <v>22</v>
      </c>
      <c r="P1" s="4" t="s">
        <v>8</v>
      </c>
      <c r="Q1" s="4" t="s">
        <v>49</v>
      </c>
      <c r="R1" s="4" t="s">
        <v>18</v>
      </c>
      <c r="S1" s="4" t="s">
        <v>53</v>
      </c>
      <c r="T1" s="4" t="s">
        <v>14</v>
      </c>
      <c r="U1" s="4" t="s">
        <v>42</v>
      </c>
      <c r="V1" s="1" t="s">
        <v>38</v>
      </c>
      <c r="W1" s="1" t="s">
        <v>50</v>
      </c>
    </row>
    <row r="2" spans="1:23" ht="12" customHeight="1" x14ac:dyDescent="0.3">
      <c r="A2">
        <v>1</v>
      </c>
      <c r="B2" t="s">
        <v>1</v>
      </c>
      <c r="C2" t="s">
        <v>5</v>
      </c>
      <c r="D2" s="5">
        <v>45063</v>
      </c>
      <c r="E2" s="6">
        <v>0.51319444444444395</v>
      </c>
      <c r="F2" s="7" t="s">
        <v>6</v>
      </c>
      <c r="G2" t="s">
        <v>25</v>
      </c>
      <c r="H2" s="8" t="s">
        <v>24</v>
      </c>
      <c r="I2" s="8" t="s">
        <v>46</v>
      </c>
      <c r="J2" t="s">
        <v>70</v>
      </c>
      <c r="K2" t="s">
        <v>6</v>
      </c>
      <c r="L2" s="24" t="s">
        <v>94</v>
      </c>
      <c r="M2" t="s">
        <v>57</v>
      </c>
      <c r="N2" s="18" t="s">
        <v>58</v>
      </c>
      <c r="O2" s="14"/>
      <c r="P2" s="20"/>
      <c r="Q2"/>
      <c r="R2"/>
      <c r="S2" s="20">
        <f t="shared" ref="S2:S7" si="0">P2-E2</f>
        <v>-0.51319444444444395</v>
      </c>
      <c r="T2"/>
      <c r="U2"/>
      <c r="V2" s="1" t="s">
        <v>95</v>
      </c>
      <c r="W2" s="1" t="s">
        <v>95</v>
      </c>
    </row>
    <row r="3" spans="1:23" ht="12" customHeight="1" x14ac:dyDescent="0.3">
      <c r="A3">
        <v>2</v>
      </c>
      <c r="B3" t="s">
        <v>1</v>
      </c>
      <c r="C3" t="s">
        <v>5</v>
      </c>
      <c r="D3" s="5">
        <v>45064</v>
      </c>
      <c r="E3" s="6">
        <v>0.42569444444444399</v>
      </c>
      <c r="F3" s="7" t="s">
        <v>12</v>
      </c>
      <c r="G3" t="s">
        <v>25</v>
      </c>
      <c r="H3" s="8" t="s">
        <v>0</v>
      </c>
      <c r="I3" s="8" t="s">
        <v>33</v>
      </c>
      <c r="J3" t="s">
        <v>55</v>
      </c>
      <c r="K3" t="s">
        <v>35</v>
      </c>
      <c r="L3" s="17" t="s">
        <v>56</v>
      </c>
      <c r="M3" t="s">
        <v>57</v>
      </c>
      <c r="N3" s="18" t="s">
        <v>58</v>
      </c>
      <c r="O3" s="14">
        <v>45064</v>
      </c>
      <c r="P3" s="15">
        <v>0.57638888888888895</v>
      </c>
      <c r="Q3" s="16" t="s">
        <v>33</v>
      </c>
      <c r="R3" s="19" t="s">
        <v>59</v>
      </c>
      <c r="S3" s="20">
        <f t="shared" si="0"/>
        <v>0.15069444444444496</v>
      </c>
      <c r="T3"/>
      <c r="U3"/>
      <c r="V3" s="1" t="s">
        <v>95</v>
      </c>
      <c r="W3" s="1" t="s">
        <v>95</v>
      </c>
    </row>
    <row r="4" spans="1:23" ht="12" customHeight="1" x14ac:dyDescent="0.3">
      <c r="A4">
        <v>3</v>
      </c>
      <c r="B4" t="s">
        <v>1</v>
      </c>
      <c r="C4" t="s">
        <v>5</v>
      </c>
      <c r="D4" s="5">
        <v>45064</v>
      </c>
      <c r="E4" s="9"/>
      <c r="F4" s="7" t="s">
        <v>12</v>
      </c>
      <c r="G4" t="s">
        <v>25</v>
      </c>
      <c r="H4" s="8" t="s">
        <v>0</v>
      </c>
      <c r="I4" s="8" t="s">
        <v>32</v>
      </c>
      <c r="J4" t="s">
        <v>55</v>
      </c>
      <c r="K4" t="s">
        <v>35</v>
      </c>
      <c r="L4" s="17" t="s">
        <v>56</v>
      </c>
      <c r="M4" t="s">
        <v>57</v>
      </c>
      <c r="N4" s="18" t="s">
        <v>58</v>
      </c>
      <c r="O4" s="14">
        <v>45064</v>
      </c>
      <c r="P4" s="15">
        <v>0.6430555555555556</v>
      </c>
      <c r="Q4" s="19" t="s">
        <v>60</v>
      </c>
      <c r="R4" s="19" t="s">
        <v>61</v>
      </c>
      <c r="S4" s="20">
        <f t="shared" si="0"/>
        <v>0.6430555555555556</v>
      </c>
      <c r="T4"/>
      <c r="U4"/>
      <c r="V4" s="1" t="s">
        <v>95</v>
      </c>
      <c r="W4" s="1" t="s">
        <v>95</v>
      </c>
    </row>
    <row r="5" spans="1:23" ht="12" customHeight="1" x14ac:dyDescent="0.3">
      <c r="A5">
        <v>4</v>
      </c>
      <c r="B5" t="s">
        <v>1</v>
      </c>
      <c r="C5" t="s">
        <v>5</v>
      </c>
      <c r="D5" s="5">
        <v>45064</v>
      </c>
      <c r="E5" s="9"/>
      <c r="F5" s="7" t="s">
        <v>12</v>
      </c>
      <c r="G5" t="s">
        <v>25</v>
      </c>
      <c r="H5" s="8" t="s">
        <v>52</v>
      </c>
      <c r="I5" s="8" t="s">
        <v>23</v>
      </c>
      <c r="J5" t="s">
        <v>62</v>
      </c>
      <c r="K5" t="s">
        <v>12</v>
      </c>
      <c r="L5" s="17" t="s">
        <v>63</v>
      </c>
      <c r="M5" t="s">
        <v>57</v>
      </c>
      <c r="N5" s="18" t="s">
        <v>58</v>
      </c>
      <c r="O5" s="21"/>
      <c r="P5" s="20"/>
      <c r="Q5" s="16" t="s">
        <v>23</v>
      </c>
      <c r="R5"/>
      <c r="S5" s="20">
        <f t="shared" si="0"/>
        <v>0</v>
      </c>
      <c r="T5"/>
      <c r="U5"/>
      <c r="V5" s="1" t="s">
        <v>95</v>
      </c>
      <c r="W5" s="1" t="s">
        <v>95</v>
      </c>
    </row>
    <row r="6" spans="1:23" ht="12" customHeight="1" x14ac:dyDescent="0.3">
      <c r="A6">
        <v>5</v>
      </c>
      <c r="B6" t="s">
        <v>1</v>
      </c>
      <c r="C6" t="s">
        <v>5</v>
      </c>
      <c r="D6" s="5">
        <v>45064</v>
      </c>
      <c r="E6" s="6">
        <v>0.43263888888888902</v>
      </c>
      <c r="F6" s="7" t="s">
        <v>12</v>
      </c>
      <c r="G6" t="s">
        <v>25</v>
      </c>
      <c r="H6" s="8" t="s">
        <v>15</v>
      </c>
      <c r="I6" s="8" t="s">
        <v>30</v>
      </c>
      <c r="J6" t="s">
        <v>62</v>
      </c>
      <c r="K6" t="s">
        <v>12</v>
      </c>
      <c r="L6" s="17" t="s">
        <v>63</v>
      </c>
      <c r="M6" t="s">
        <v>57</v>
      </c>
      <c r="N6" s="18" t="s">
        <v>58</v>
      </c>
      <c r="O6" s="21"/>
      <c r="P6" s="20"/>
      <c r="Q6" s="17" t="s">
        <v>64</v>
      </c>
      <c r="R6"/>
      <c r="S6" s="20">
        <f t="shared" si="0"/>
        <v>-0.43263888888888902</v>
      </c>
      <c r="T6"/>
      <c r="U6"/>
      <c r="V6" s="1" t="s">
        <v>95</v>
      </c>
      <c r="W6" s="1" t="s">
        <v>95</v>
      </c>
    </row>
    <row r="7" spans="1:23" ht="12" customHeight="1" x14ac:dyDescent="0.3">
      <c r="A7">
        <v>6</v>
      </c>
      <c r="B7" t="s">
        <v>1</v>
      </c>
      <c r="C7" t="s">
        <v>5</v>
      </c>
      <c r="D7" s="5">
        <v>45064</v>
      </c>
      <c r="E7" s="6">
        <v>0.43333333333333302</v>
      </c>
      <c r="F7" s="7" t="s">
        <v>12</v>
      </c>
      <c r="G7" t="s">
        <v>25</v>
      </c>
      <c r="H7" s="8" t="s">
        <v>15</v>
      </c>
      <c r="I7" s="8" t="s">
        <v>28</v>
      </c>
      <c r="J7" t="s">
        <v>62</v>
      </c>
      <c r="K7" t="s">
        <v>12</v>
      </c>
      <c r="L7" s="17" t="s">
        <v>63</v>
      </c>
      <c r="M7" t="s">
        <v>57</v>
      </c>
      <c r="N7" s="18" t="s">
        <v>58</v>
      </c>
      <c r="O7" s="21"/>
      <c r="P7" s="20"/>
      <c r="Q7" s="17" t="s">
        <v>65</v>
      </c>
      <c r="R7"/>
      <c r="S7" s="20">
        <f t="shared" si="0"/>
        <v>-0.43333333333333302</v>
      </c>
      <c r="T7"/>
      <c r="U7"/>
      <c r="V7" s="1" t="s">
        <v>95</v>
      </c>
      <c r="W7" s="1" t="s">
        <v>95</v>
      </c>
    </row>
    <row r="8" spans="1:23" ht="12" customHeight="1" x14ac:dyDescent="0.3">
      <c r="A8">
        <v>7</v>
      </c>
      <c r="B8" t="s">
        <v>1</v>
      </c>
      <c r="C8" t="s">
        <v>5</v>
      </c>
      <c r="D8" s="5">
        <v>45064</v>
      </c>
      <c r="E8" s="6">
        <v>0.43402777777777801</v>
      </c>
      <c r="F8" s="7" t="s">
        <v>12</v>
      </c>
      <c r="G8" t="s">
        <v>25</v>
      </c>
      <c r="H8" s="8" t="s">
        <v>15</v>
      </c>
      <c r="I8" s="8" t="s">
        <v>7</v>
      </c>
      <c r="J8" t="s">
        <v>62</v>
      </c>
      <c r="K8" t="s">
        <v>12</v>
      </c>
      <c r="L8" s="17" t="s">
        <v>63</v>
      </c>
      <c r="M8" t="s">
        <v>57</v>
      </c>
      <c r="N8" s="18" t="s">
        <v>58</v>
      </c>
      <c r="O8" s="21"/>
      <c r="P8" s="20"/>
      <c r="Q8" s="17" t="s">
        <v>66</v>
      </c>
      <c r="R8"/>
      <c r="S8" s="20"/>
      <c r="T8"/>
      <c r="U8"/>
      <c r="V8" s="1" t="s">
        <v>95</v>
      </c>
      <c r="W8" s="1" t="s">
        <v>95</v>
      </c>
    </row>
    <row r="9" spans="1:23" ht="12" customHeight="1" x14ac:dyDescent="0.3">
      <c r="A9">
        <v>8</v>
      </c>
      <c r="B9" t="s">
        <v>1</v>
      </c>
      <c r="C9" t="s">
        <v>5</v>
      </c>
      <c r="D9" s="5">
        <v>45064</v>
      </c>
      <c r="E9" s="6">
        <v>0.43472222222222201</v>
      </c>
      <c r="F9" s="7" t="s">
        <v>12</v>
      </c>
      <c r="G9" t="s">
        <v>25</v>
      </c>
      <c r="H9" s="8" t="s">
        <v>15</v>
      </c>
      <c r="I9" s="8" t="s">
        <v>36</v>
      </c>
      <c r="J9" t="s">
        <v>62</v>
      </c>
      <c r="K9" t="s">
        <v>12</v>
      </c>
      <c r="L9" s="17" t="s">
        <v>63</v>
      </c>
      <c r="M9" t="s">
        <v>57</v>
      </c>
      <c r="N9" s="18" t="s">
        <v>58</v>
      </c>
      <c r="O9" s="21"/>
      <c r="P9" s="20"/>
      <c r="Q9"/>
      <c r="R9"/>
      <c r="S9" s="20"/>
      <c r="T9"/>
      <c r="U9"/>
      <c r="V9" s="1" t="s">
        <v>95</v>
      </c>
      <c r="W9" s="1" t="s">
        <v>95</v>
      </c>
    </row>
    <row r="10" spans="1:23" ht="12" customHeight="1" x14ac:dyDescent="0.3">
      <c r="A10">
        <v>9</v>
      </c>
      <c r="B10" t="s">
        <v>1</v>
      </c>
      <c r="C10" t="s">
        <v>5</v>
      </c>
      <c r="D10" s="5">
        <v>45064</v>
      </c>
      <c r="E10" s="6">
        <v>0.51319444444444395</v>
      </c>
      <c r="F10" s="7" t="s">
        <v>6</v>
      </c>
      <c r="G10" t="s">
        <v>25</v>
      </c>
      <c r="H10" s="8" t="s">
        <v>16</v>
      </c>
      <c r="I10" s="8" t="s">
        <v>29</v>
      </c>
      <c r="J10" t="s">
        <v>55</v>
      </c>
      <c r="K10" t="s">
        <v>6</v>
      </c>
      <c r="L10" t="s">
        <v>67</v>
      </c>
      <c r="M10" t="s">
        <v>57</v>
      </c>
      <c r="N10" s="18" t="s">
        <v>58</v>
      </c>
      <c r="O10" s="14">
        <v>45064</v>
      </c>
      <c r="P10" s="15">
        <v>0.62708333333333333</v>
      </c>
      <c r="Q10" t="s">
        <v>68</v>
      </c>
      <c r="R10" s="19" t="s">
        <v>69</v>
      </c>
      <c r="S10" s="20"/>
      <c r="T10"/>
      <c r="U10"/>
      <c r="V10" s="1" t="s">
        <v>95</v>
      </c>
      <c r="W10" s="1" t="s">
        <v>95</v>
      </c>
    </row>
    <row r="11" spans="1:23" ht="12" customHeight="1" x14ac:dyDescent="0.3">
      <c r="A11">
        <v>10</v>
      </c>
      <c r="B11" t="s">
        <v>1</v>
      </c>
      <c r="C11" t="s">
        <v>5</v>
      </c>
      <c r="D11" s="5">
        <v>45064</v>
      </c>
      <c r="E11" s="6">
        <v>0.53611111111111098</v>
      </c>
      <c r="F11" s="7" t="s">
        <v>6</v>
      </c>
      <c r="G11" t="s">
        <v>25</v>
      </c>
      <c r="H11" s="8" t="s">
        <v>24</v>
      </c>
      <c r="I11" s="8" t="s">
        <v>34</v>
      </c>
      <c r="J11" t="s">
        <v>70</v>
      </c>
      <c r="K11" t="s">
        <v>6</v>
      </c>
      <c r="L11" s="17" t="s">
        <v>71</v>
      </c>
      <c r="M11" t="s">
        <v>57</v>
      </c>
      <c r="N11" s="18" t="s">
        <v>58</v>
      </c>
      <c r="O11" s="14">
        <v>45064</v>
      </c>
      <c r="P11" s="15">
        <v>0.56597222222222221</v>
      </c>
      <c r="Q11" s="17" t="s">
        <v>72</v>
      </c>
      <c r="R11" s="19" t="s">
        <v>73</v>
      </c>
      <c r="S11" s="20"/>
      <c r="T11"/>
      <c r="U11"/>
      <c r="V11" s="1" t="s">
        <v>95</v>
      </c>
      <c r="W11" s="1" t="s">
        <v>95</v>
      </c>
    </row>
    <row r="12" spans="1:23" ht="12" customHeight="1" x14ac:dyDescent="0.3">
      <c r="A12">
        <v>11</v>
      </c>
      <c r="B12" t="s">
        <v>1</v>
      </c>
      <c r="C12" t="s">
        <v>5</v>
      </c>
      <c r="D12" s="5">
        <v>45064</v>
      </c>
      <c r="E12" s="6">
        <v>0.54236111111111096</v>
      </c>
      <c r="F12" s="7" t="s">
        <v>6</v>
      </c>
      <c r="G12" t="s">
        <v>25</v>
      </c>
      <c r="H12" s="8" t="s">
        <v>24</v>
      </c>
      <c r="I12" s="8" t="s">
        <v>43</v>
      </c>
      <c r="J12" t="s">
        <v>55</v>
      </c>
      <c r="K12" t="s">
        <v>6</v>
      </c>
      <c r="L12" s="17" t="s">
        <v>74</v>
      </c>
      <c r="M12" t="s">
        <v>57</v>
      </c>
      <c r="N12" s="18" t="s">
        <v>58</v>
      </c>
      <c r="O12" s="14">
        <v>45064</v>
      </c>
      <c r="P12" s="15">
        <v>0.57916666666666672</v>
      </c>
      <c r="Q12" s="19" t="s">
        <v>75</v>
      </c>
      <c r="R12" s="19" t="s">
        <v>76</v>
      </c>
      <c r="S12" s="20"/>
      <c r="T12"/>
      <c r="U12"/>
      <c r="V12" s="1" t="s">
        <v>95</v>
      </c>
      <c r="W12" s="1" t="s">
        <v>95</v>
      </c>
    </row>
    <row r="13" spans="1:23" ht="12" customHeight="1" x14ac:dyDescent="0.3">
      <c r="A13">
        <v>12</v>
      </c>
      <c r="B13" t="s">
        <v>1</v>
      </c>
      <c r="C13" t="s">
        <v>5</v>
      </c>
      <c r="D13" s="5">
        <v>45064</v>
      </c>
      <c r="E13" s="6">
        <v>0.531944444444444</v>
      </c>
      <c r="F13" s="7" t="s">
        <v>35</v>
      </c>
      <c r="G13" t="s">
        <v>25</v>
      </c>
      <c r="H13" s="8" t="s">
        <v>31</v>
      </c>
      <c r="I13" t="s">
        <v>47</v>
      </c>
      <c r="J13" t="s">
        <v>77</v>
      </c>
      <c r="K13" t="s">
        <v>6</v>
      </c>
      <c r="L13"/>
      <c r="M13" t="s">
        <v>57</v>
      </c>
      <c r="N13" s="18" t="s">
        <v>58</v>
      </c>
      <c r="O13" s="21"/>
      <c r="P13" s="20"/>
      <c r="Q13"/>
      <c r="R13"/>
      <c r="S13" s="20"/>
      <c r="T13" t="s">
        <v>78</v>
      </c>
      <c r="U13"/>
      <c r="V13" s="1" t="s">
        <v>95</v>
      </c>
      <c r="W13" s="1" t="s">
        <v>95</v>
      </c>
    </row>
    <row r="14" spans="1:23" ht="12" customHeight="1" x14ac:dyDescent="0.3">
      <c r="A14">
        <v>13</v>
      </c>
      <c r="B14" t="s">
        <v>1</v>
      </c>
      <c r="C14" t="s">
        <v>5</v>
      </c>
      <c r="D14" s="5">
        <v>45064</v>
      </c>
      <c r="E14" s="6">
        <v>0.51180555555555596</v>
      </c>
      <c r="F14" s="7" t="s">
        <v>6</v>
      </c>
      <c r="G14" t="s">
        <v>25</v>
      </c>
      <c r="H14" s="8" t="s">
        <v>44</v>
      </c>
      <c r="I14" s="8" t="s">
        <v>37</v>
      </c>
      <c r="J14" t="s">
        <v>55</v>
      </c>
      <c r="K14" t="s">
        <v>6</v>
      </c>
      <c r="L14" s="22" t="s">
        <v>79</v>
      </c>
      <c r="M14" t="s">
        <v>57</v>
      </c>
      <c r="N14" s="18" t="s">
        <v>58</v>
      </c>
      <c r="O14" s="14">
        <v>45064</v>
      </c>
      <c r="P14" s="15">
        <v>0.625</v>
      </c>
      <c r="Q14" t="s">
        <v>80</v>
      </c>
      <c r="R14" s="19" t="s">
        <v>81</v>
      </c>
      <c r="S14" s="20"/>
      <c r="T14"/>
      <c r="U14"/>
      <c r="V14" s="1" t="s">
        <v>95</v>
      </c>
      <c r="W14" s="1" t="s">
        <v>95</v>
      </c>
    </row>
    <row r="15" spans="1:23" ht="12" customHeight="1" x14ac:dyDescent="0.3">
      <c r="A15">
        <v>14</v>
      </c>
      <c r="B15" t="s">
        <v>1</v>
      </c>
      <c r="C15" t="s">
        <v>5</v>
      </c>
      <c r="D15" s="5">
        <v>45064</v>
      </c>
      <c r="E15" s="6">
        <v>0.58472222222222203</v>
      </c>
      <c r="F15" s="7" t="s">
        <v>6</v>
      </c>
      <c r="G15" t="s">
        <v>25</v>
      </c>
      <c r="H15" s="8" t="s">
        <v>24</v>
      </c>
      <c r="I15" s="8" t="s">
        <v>41</v>
      </c>
      <c r="J15" t="s">
        <v>70</v>
      </c>
      <c r="K15" t="s">
        <v>6</v>
      </c>
      <c r="L15" s="17" t="s">
        <v>82</v>
      </c>
      <c r="M15" t="s">
        <v>57</v>
      </c>
      <c r="N15" s="18" t="s">
        <v>58</v>
      </c>
      <c r="O15" s="14">
        <v>45064</v>
      </c>
      <c r="P15" s="15">
        <v>0.6777777777777777</v>
      </c>
      <c r="Q15" s="17" t="s">
        <v>83</v>
      </c>
      <c r="R15" s="19" t="s">
        <v>84</v>
      </c>
      <c r="S15" s="20"/>
      <c r="T15"/>
      <c r="U15"/>
      <c r="V15" s="1" t="s">
        <v>95</v>
      </c>
      <c r="W15" s="1" t="s">
        <v>95</v>
      </c>
    </row>
    <row r="16" spans="1:23" ht="12" customHeight="1" x14ac:dyDescent="0.3">
      <c r="A16">
        <v>15</v>
      </c>
      <c r="B16" t="s">
        <v>1</v>
      </c>
      <c r="C16" t="s">
        <v>5</v>
      </c>
      <c r="D16" s="5">
        <v>45064</v>
      </c>
      <c r="E16" s="11">
        <v>0.58819444444444402</v>
      </c>
      <c r="F16" s="7" t="s">
        <v>6</v>
      </c>
      <c r="G16" t="s">
        <v>25</v>
      </c>
      <c r="H16" s="8" t="s">
        <v>45</v>
      </c>
      <c r="I16" s="8" t="s">
        <v>54</v>
      </c>
      <c r="J16" t="s">
        <v>70</v>
      </c>
      <c r="K16" t="s">
        <v>6</v>
      </c>
      <c r="L16" s="17" t="s">
        <v>85</v>
      </c>
      <c r="M16" t="s">
        <v>57</v>
      </c>
      <c r="N16" s="18" t="s">
        <v>58</v>
      </c>
      <c r="O16" s="21"/>
      <c r="P16" s="20"/>
      <c r="Q16" s="17" t="s">
        <v>86</v>
      </c>
      <c r="R16"/>
      <c r="S16" s="20"/>
      <c r="T16"/>
      <c r="U16"/>
      <c r="V16" s="1" t="s">
        <v>95</v>
      </c>
      <c r="W16" s="1" t="s">
        <v>95</v>
      </c>
    </row>
    <row r="17" spans="1:23" ht="12" customHeight="1" x14ac:dyDescent="0.3">
      <c r="A17">
        <v>16</v>
      </c>
      <c r="B17" t="s">
        <v>1</v>
      </c>
      <c r="C17" t="s">
        <v>5</v>
      </c>
      <c r="D17" s="5">
        <v>45064</v>
      </c>
      <c r="E17" s="11">
        <v>0.58819444444444402</v>
      </c>
      <c r="F17" s="7" t="s">
        <v>6</v>
      </c>
      <c r="G17" t="s">
        <v>25</v>
      </c>
      <c r="H17" s="8" t="s">
        <v>45</v>
      </c>
      <c r="I17" s="8" t="s">
        <v>54</v>
      </c>
      <c r="J17" t="s">
        <v>87</v>
      </c>
      <c r="K17"/>
      <c r="L17"/>
      <c r="M17" t="s">
        <v>57</v>
      </c>
      <c r="N17" s="18" t="s">
        <v>58</v>
      </c>
      <c r="O17" s="21"/>
      <c r="P17" s="20"/>
      <c r="Q17"/>
      <c r="R17"/>
      <c r="S17" s="20"/>
      <c r="T17"/>
      <c r="U17"/>
      <c r="V17" s="1" t="s">
        <v>95</v>
      </c>
      <c r="W17" s="1" t="s">
        <v>95</v>
      </c>
    </row>
    <row r="18" spans="1:23" ht="12" customHeight="1" x14ac:dyDescent="0.3">
      <c r="A18">
        <v>17</v>
      </c>
      <c r="B18" t="s">
        <v>1</v>
      </c>
      <c r="C18" t="s">
        <v>5</v>
      </c>
      <c r="D18" s="5">
        <v>45064</v>
      </c>
      <c r="E18" s="12">
        <v>0.69374999999999998</v>
      </c>
      <c r="F18" s="7" t="s">
        <v>6</v>
      </c>
      <c r="G18" t="s">
        <v>25</v>
      </c>
      <c r="H18" s="10" t="s">
        <v>24</v>
      </c>
      <c r="I18" s="10" t="s">
        <v>48</v>
      </c>
      <c r="J18" t="s">
        <v>55</v>
      </c>
      <c r="K18" t="s">
        <v>6</v>
      </c>
      <c r="L18" s="23" t="s">
        <v>88</v>
      </c>
      <c r="M18"/>
      <c r="N18" s="18"/>
      <c r="O18" s="14">
        <v>45064</v>
      </c>
      <c r="P18" s="15">
        <v>0.71805555555555556</v>
      </c>
      <c r="Q18" s="19" t="s">
        <v>48</v>
      </c>
      <c r="R18" s="19" t="s">
        <v>89</v>
      </c>
      <c r="S18" s="20"/>
      <c r="T18"/>
      <c r="U18"/>
      <c r="V18" s="1" t="s">
        <v>95</v>
      </c>
      <c r="W18" s="1" t="s">
        <v>95</v>
      </c>
    </row>
    <row r="19" spans="1:23" ht="12" customHeight="1" x14ac:dyDescent="0.3">
      <c r="A19">
        <v>18</v>
      </c>
      <c r="B19" t="s">
        <v>1</v>
      </c>
      <c r="C19" t="s">
        <v>5</v>
      </c>
      <c r="D19" s="5">
        <v>45064</v>
      </c>
      <c r="E19" s="6">
        <v>0.70486111111111105</v>
      </c>
      <c r="F19" s="7" t="s">
        <v>6</v>
      </c>
      <c r="G19" t="s">
        <v>25</v>
      </c>
      <c r="H19" s="13" t="s">
        <v>45</v>
      </c>
      <c r="I19" s="10" t="s">
        <v>13</v>
      </c>
      <c r="J19" t="s">
        <v>70</v>
      </c>
      <c r="K19" t="s">
        <v>6</v>
      </c>
      <c r="L19" t="s">
        <v>90</v>
      </c>
      <c r="M19"/>
      <c r="N19" s="18"/>
      <c r="O19" s="14">
        <v>45064</v>
      </c>
      <c r="P19" s="15">
        <v>0.75208333333333333</v>
      </c>
      <c r="Q19" s="19" t="s">
        <v>13</v>
      </c>
      <c r="R19" s="19" t="s">
        <v>91</v>
      </c>
      <c r="S19" s="20"/>
      <c r="T19"/>
      <c r="U19"/>
      <c r="V19" s="1" t="s">
        <v>95</v>
      </c>
      <c r="W19" s="1" t="s">
        <v>95</v>
      </c>
    </row>
    <row r="20" spans="1:23" ht="12" customHeight="1" x14ac:dyDescent="0.3">
      <c r="A20">
        <v>19</v>
      </c>
      <c r="B20" t="s">
        <v>1</v>
      </c>
      <c r="C20" t="s">
        <v>5</v>
      </c>
      <c r="D20" s="5">
        <v>45064</v>
      </c>
      <c r="E20" s="6">
        <v>0.70972222222222203</v>
      </c>
      <c r="F20" s="7" t="s">
        <v>6</v>
      </c>
      <c r="G20" t="s">
        <v>25</v>
      </c>
      <c r="H20" s="8" t="s">
        <v>24</v>
      </c>
      <c r="I20" s="8" t="s">
        <v>2</v>
      </c>
      <c r="J20" t="s">
        <v>70</v>
      </c>
      <c r="K20" t="s">
        <v>6</v>
      </c>
      <c r="L20" s="17" t="s">
        <v>92</v>
      </c>
      <c r="M20"/>
      <c r="N20" s="18"/>
      <c r="O20" s="14">
        <v>45064</v>
      </c>
      <c r="P20" s="15">
        <v>0.72152777777777777</v>
      </c>
      <c r="Q20" s="16" t="s">
        <v>2</v>
      </c>
      <c r="R20" s="19" t="s">
        <v>93</v>
      </c>
      <c r="S20" s="20"/>
      <c r="T20"/>
      <c r="U20"/>
      <c r="V20" s="1" t="s">
        <v>95</v>
      </c>
      <c r="W20" s="1" t="s">
        <v>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2023-05-18T14:55:32Z</dcterms:modified>
  <cp:category/>
</cp:coreProperties>
</file>