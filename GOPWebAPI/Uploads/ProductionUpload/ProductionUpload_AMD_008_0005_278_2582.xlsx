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OP 2023 -GRIHA to shobha mam\GOP dates\"/>
    </mc:Choice>
  </mc:AlternateContent>
  <xr:revisionPtr revIDLastSave="0" documentId="13_ncr:1_{E2DFC405-7FDA-453C-8782-011B22D8D2A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0" i="1" l="1"/>
  <c r="S29" i="1"/>
  <c r="S28" i="1"/>
  <c r="S27" i="1"/>
  <c r="S26" i="1"/>
  <c r="S25" i="1"/>
  <c r="S24" i="1"/>
  <c r="S23" i="1"/>
  <c r="S22" i="1"/>
  <c r="S21" i="1"/>
  <c r="S20" i="1"/>
  <c r="S19" i="1"/>
  <c r="S18" i="1"/>
  <c r="S17" i="1"/>
  <c r="S16" i="1"/>
  <c r="S15" i="1"/>
  <c r="S14" i="1"/>
  <c r="S13" i="1"/>
  <c r="S12" i="1"/>
  <c r="S11" i="1"/>
  <c r="S10" i="1"/>
  <c r="S9" i="1"/>
  <c r="S8" i="1"/>
  <c r="S7" i="1"/>
  <c r="S6" i="1"/>
  <c r="S5" i="1"/>
  <c r="S4" i="1"/>
  <c r="S3" i="1"/>
  <c r="S2" i="1"/>
</calcChain>
</file>

<file path=xl/sharedStrings.xml><?xml version="1.0" encoding="utf-8"?>
<sst xmlns="http://schemas.openxmlformats.org/spreadsheetml/2006/main" count="409" uniqueCount="102">
  <si>
    <t>STATUS - MODIFY/NEW/REJECT</t>
  </si>
  <si>
    <t>Production User</t>
  </si>
  <si>
    <t>GIVEN ITEM NAME</t>
  </si>
  <si>
    <t>CONSIGNMENT</t>
  </si>
  <si>
    <t>Aster Aadhar Kolhapur- OP, Aster Aadhar Kolhapur-IP</t>
  </si>
  <si>
    <t>TAKFA 2MG CAPSULE</t>
  </si>
  <si>
    <t>Status</t>
  </si>
  <si>
    <t>COMMENTS</t>
  </si>
  <si>
    <t>PRODUCT CREATED TIM</t>
  </si>
  <si>
    <t>RESPONSIBLE PERSON</t>
  </si>
  <si>
    <t>BRIVAHENZ 50MG TABLET</t>
  </si>
  <si>
    <t>BARYMYO TABLET</t>
  </si>
  <si>
    <t>DOPAN 200MG /5ML INJECTION</t>
  </si>
  <si>
    <t>BETNESOL 15ML ORAL DROPS</t>
  </si>
  <si>
    <t>TAXONOMY</t>
  </si>
  <si>
    <t>BRIVAHENZ 100MG TABLET</t>
  </si>
  <si>
    <t>TVAC LL KIT 6FR W/SYRINGE 5101790 NIPRO</t>
  </si>
  <si>
    <t xml:space="preserve">CORTEX LCP SCREW 2.7MM X 26MM U/L TIT-N32726-NEBULA </t>
  </si>
  <si>
    <t>12::02</t>
  </si>
  <si>
    <t>SUTURE PROLENE USP 8-0, 3/8 CIRCLE CC DOUBLE NEEDLE #W8703-ETHICON</t>
  </si>
  <si>
    <t>TITANIUM SATURN RODS 5.5*150MM</t>
  </si>
  <si>
    <t>SUTURE-MERSILK-6/0-NW5012-J J</t>
  </si>
  <si>
    <t>FINAL PRODUCT CREATED CODE</t>
  </si>
  <si>
    <t>REQUEST DATE</t>
  </si>
  <si>
    <t>UNIT</t>
  </si>
  <si>
    <t>PRODUCT CREATED DATE</t>
  </si>
  <si>
    <t>ZOSTUM-O 200MG TABLET</t>
  </si>
  <si>
    <t>Classification</t>
  </si>
  <si>
    <t>Sanghamitra Ongole- IP, Sanghamitra Ongole- OP</t>
  </si>
  <si>
    <t>12::04</t>
  </si>
  <si>
    <t>ADENOZ 6 MG INJECTION</t>
  </si>
  <si>
    <t>MIMS Hospital Kottakkal- Pharmacy OP, MIMS Hospital Kottakkal- Pharmacy IP</t>
  </si>
  <si>
    <t>SUTURE PROLENE POLYPROPYLENE SIZE 8-0 8MM BLUE 8741H, J&amp;J</t>
  </si>
  <si>
    <t>DEXASAYOKA 4 MG TAB (DEXAMETHASONE )</t>
  </si>
  <si>
    <t>FINAL PRODUCT CREATED ITEM NAME</t>
  </si>
  <si>
    <t>PROCESSED CATEGORY</t>
  </si>
  <si>
    <t>Whitefield Hospital IP, Whitefield Hospital OP</t>
  </si>
  <si>
    <t>SUTURE-ETHILON-BLACK-(3/8C-PC1)-6/0-13MM-NW3351-ETHICON-J J</t>
  </si>
  <si>
    <t>MEGO 100MG INJECTION</t>
  </si>
  <si>
    <t>CEFOXIM 750MG INJECTION CADILA</t>
  </si>
  <si>
    <t>SUTURE-PROLENE-W8802(CC)DN-6/0-11MM-JJ</t>
  </si>
  <si>
    <t>SYQ</t>
  </si>
  <si>
    <t>REMARKS IF ISSUES MARK AS "E"</t>
  </si>
  <si>
    <t>Aster Medcity Kochi- Pharmacy OP IO, Aster Medcity Kochi- Pharmacy IP IO</t>
  </si>
  <si>
    <t>SUTURE PROLENE 7.0 3/8 CUT EP8735H J J</t>
  </si>
  <si>
    <t>RECIVE CATEGORY</t>
  </si>
  <si>
    <t>PALMITOLE CAPSULES</t>
  </si>
  <si>
    <t>SUTURE ETHILON-BLACK-NW3718-(3/8 CS)MP- 10/0-6MM-J J</t>
  </si>
  <si>
    <t>SUTURE SUTUPCK BLACK BRAIDED-SILK REEL S211-4-4X75CM SUTURE INDIA</t>
  </si>
  <si>
    <t>NASAL CANNULA -ADULT-9011</t>
  </si>
  <si>
    <t>SLNO</t>
  </si>
  <si>
    <t>P</t>
  </si>
  <si>
    <t>AZORAN 25MG TABLET</t>
  </si>
  <si>
    <t>Production Comments</t>
  </si>
  <si>
    <t>M</t>
  </si>
  <si>
    <t>YES</t>
  </si>
  <si>
    <t>MIMS Hospital Calicut- Pharmacy OP, MIMS Hospital Calicut- Pharmacy IP</t>
  </si>
  <si>
    <t>BRIVAHENZ 75MG TABLET</t>
  </si>
  <si>
    <t xml:space="preserve">TAT </t>
  </si>
  <si>
    <t>PROCESSED Y/N</t>
  </si>
  <si>
    <t>SUTURE-PROLENE-W8721(CRB) DN-5/0-13MM-J J</t>
  </si>
  <si>
    <t>HCM INJECTION HYDROXOCOBALAMIN 10ML (B12) (NUTRIGOLD)</t>
  </si>
  <si>
    <t>Dr.Ramesh Hospital Guntur- IP, Dr.Ramesh Hospital Guntur- OP, Dr.Ramesh Main Hospital- IP, Dr.Ramesh Main Hospital- OP, Dr.Ramesh Hospital MG Road- IP, Dr.Ramesh Hospital MG Road- OP, Komali Guntur- IP, Komali Guntur- OP, ADIRAN IB - IP, ADIRAN IB - OP</t>
  </si>
  <si>
    <t>NO</t>
  </si>
  <si>
    <t>Activities</t>
  </si>
  <si>
    <t>Dr.Ramesh Hospital Guntur- IP, Dr.Ramesh Hospital Guntur- OP, Dr.Ramesh Main Hospital- IP, Dr.Ramesh Main Hospital- OP, Dr.Ramesh Hospital MG Road- IP, Dr.Ramesh Hospital MG Road- OP, ADIRAN IB - IP, ADIRAN IB - OP</t>
  </si>
  <si>
    <t>MIMS Hospital Kannur- Pharmacy OP IO, MIMS Hospital Kannur- Pharmacy IP IO</t>
  </si>
  <si>
    <t>REQUEST TIME</t>
  </si>
  <si>
    <t>NEW</t>
  </si>
  <si>
    <t>Direct / Medical Consumables / Intravenous And Arterial Cannulas And Catheters And Accessories / Cannulae / Cannulae, Nasal</t>
  </si>
  <si>
    <t>SNEHAJA</t>
  </si>
  <si>
    <t>Y</t>
  </si>
  <si>
    <t>NASAL CANNULA ADULT 9011</t>
  </si>
  <si>
    <t>Direct / Prostheses And Implants / Orthopedic Trauma Implants / Bone Screw</t>
  </si>
  <si>
    <t>SCREW 2.7MM X 26MM TITANIUM CORTEX U/L LCP N32726 -NEBULA</t>
  </si>
  <si>
    <t>C</t>
  </si>
  <si>
    <t>ROD 5.5 X150MM TITANIUM SATURN 8055.150 -ABACUS MEDITECH</t>
  </si>
  <si>
    <t>MODIFY</t>
  </si>
  <si>
    <t>Direct / Medical Consumables / Syringes / Syringes / Syringes, Other</t>
  </si>
  <si>
    <t>new</t>
  </si>
  <si>
    <t>p</t>
  </si>
  <si>
    <t>Direct / Pharmaceutical Drugs / Anti-Infectives (Systemic) / Tetracyclines / MINOCYCLINE</t>
  </si>
  <si>
    <t>DUPLICATE REQUEST</t>
  </si>
  <si>
    <t>Direct / Pharmaceutical Drugs / Cardiovascular &amp; Hematopoietic System / Cardiac Drugs / DOPAMINE</t>
  </si>
  <si>
    <t>Direct / Pharmaceutical Drugs / Cardiovascular &amp; Hematopoietic System / Cardiac Drugs / ADENOSINE</t>
  </si>
  <si>
    <t>Direct / Pharmaceutical Drugs / Anti-Infectives (Systemic) / Cephalosporins / CEFUROXIME</t>
  </si>
  <si>
    <t>ZOSTUM O TABLET</t>
  </si>
  <si>
    <t>E-HSN CODE NOT GIVEN</t>
  </si>
  <si>
    <t>Direct / Pharmaceutical Drugs / Vitamins &amp; Minerals / Vitamins &amp;/Or Minerals / HYDROXOCOBALAMIN</t>
  </si>
  <si>
    <t xml:space="preserve">E  </t>
  </si>
  <si>
    <t>Direct / Pharmaceutical Drugs / Allergy &amp; Immune System / Immunosuppressants / TACROLIMUS</t>
  </si>
  <si>
    <t>TAKFA-2MG CAPSULES</t>
  </si>
  <si>
    <t>Direct / Pharmaceutical Drugs / Hormones / Corticosteroid Hormones / DEXAMETHASONE SODIUM PHOSPHATE</t>
  </si>
  <si>
    <t>Direct / Medical Consumables / Wound Closure / Non- Absorbable Suture / Polypropylene</t>
  </si>
  <si>
    <t>Direct / Medical Consumables / Wound Closure / Non- Absorbable Suture / Silk</t>
  </si>
  <si>
    <t>SUTURE-ETHILON-BLACK-(3/8C-PC1)-6/0-13MM-NW3351-ETHICON-J&amp;J</t>
  </si>
  <si>
    <t>Direct / Pharmaceutical Drugs / Allergy &amp; Immune System / Immunosuppressants / AZATHIOPRINE</t>
  </si>
  <si>
    <t>Direct / Pharmaceutical Drugs / Respiratory System / Antiasthmatic &amp; Copd Preparations / DIADZEIN + GENISTEIN + PALMITOYLETHANOLAMIDE</t>
  </si>
  <si>
    <t>PALMITOLE 50MG/4MG/300MG CAPSULE</t>
  </si>
  <si>
    <t>Direct.Pharmaceutical Drugs.Central Nervous System.Anticonvulsants.BRIVARACETAM</t>
  </si>
  <si>
    <t xml:space="preserve">NEW 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</si>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</sst>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3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333333"/>
      <name val="Roboto"/>
    </font>
    <font>
      <sz val="10"/>
      <color rgb="FF333333"/>
      <name val="Arial"/>
      <family val="2"/>
    </font>
    <font>
      <sz val="9"/>
      <color rgb="FF242424"/>
      <name val="Segoe UI"/>
      <family val="2"/>
    </font>
    <font>
      <sz val="8"/>
      <color rgb="FF000000"/>
      <name val="Segoe UI"/>
      <family val="2"/>
    </font>
    <font>
      <sz val="9"/>
      <color rgb="FF333333"/>
      <name val="Arial"/>
      <family val="2"/>
    </font>
    <font>
      <sz val="11"/>
      <color rgb="FF242424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14548173467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7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center"/>
    </xf>
    <xf numFmtId="0" fontId="6" fillId="0" borderId="0" xfId="0" applyFont="1" applyBorder="1"/>
    <xf numFmtId="14" fontId="7" fillId="0" borderId="0" xfId="0" applyNumberFormat="1" applyFont="1" applyBorder="1" applyAlignment="1">
      <alignment horizontal="right"/>
    </xf>
    <xf numFmtId="20" fontId="8" fillId="0" borderId="0" xfId="0" applyNumberFormat="1" applyFont="1" applyBorder="1" applyAlignment="1">
      <alignment horizontal="left"/>
    </xf>
    <xf numFmtId="0" fontId="9" fillId="0" borderId="0" xfId="0" applyFont="1" applyBorder="1"/>
    <xf numFmtId="0" fontId="10" fillId="0" borderId="0" xfId="0" applyFont="1" applyBorder="1"/>
    <xf numFmtId="0" fontId="8" fillId="0" borderId="0" xfId="0" applyFont="1" applyBorder="1" applyAlignment="1">
      <alignment horizontal="left"/>
    </xf>
    <xf numFmtId="20" fontId="0" fillId="0" borderId="1" xfId="0" applyNumberFormat="1"/>
    <xf numFmtId="0" fontId="11" fillId="0" borderId="1" xfId="0" applyFont="1"/>
    <xf numFmtId="0" fontId="0" fillId="0" borderId="1" xfId="0" applyAlignment="1">
      <alignment horizontal="center"/>
    </xf>
    <xf numFmtId="14" fontId="0" fillId="0" borderId="1" xfId="0" applyNumberFormat="1" applyAlignment="1">
      <alignment horizontal="center"/>
    </xf>
    <xf numFmtId="20" fontId="0" fillId="0" borderId="1" xfId="0" applyNumberFormat="1" applyAlignment="1">
      <alignment horizontal="center"/>
    </xf>
    <xf numFmtId="0" fontId="1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0"/>
  <sheetViews>
    <sheetView tabSelected="1" workbookViewId="0">
      <selection activeCell="W2" sqref="W2:W30"/>
    </sheetView>
  </sheetViews>
  <sheetFormatPr defaultColWidth="9.109375" defaultRowHeight="12" x14ac:dyDescent="0.25"/>
  <cols>
    <col min="1" max="1" width="6.44140625" style="1" customWidth="1"/>
    <col min="2" max="2" width="14.88671875" style="1" customWidth="1"/>
    <col min="3" max="3" width="13.44140625" style="1" customWidth="1"/>
    <col min="4" max="4" width="13.33203125" style="1" customWidth="1"/>
    <col min="5" max="5" width="13.109375" style="1" customWidth="1"/>
    <col min="6" max="6" width="16.109375" style="1" customWidth="1"/>
    <col min="7" max="7" width="14" style="1" customWidth="1"/>
    <col min="8" max="8" width="186" style="1" customWidth="1"/>
    <col min="9" max="9" width="56.88671875" style="1" customWidth="1"/>
    <col min="10" max="10" width="26" style="1" customWidth="1"/>
    <col min="11" max="11" width="19.6640625" style="1" customWidth="1"/>
    <col min="12" max="12" width="11.44140625" style="1" customWidth="1"/>
    <col min="13" max="13" width="19.33203125" style="1" customWidth="1"/>
    <col min="14" max="14" width="14.5546875" style="1" customWidth="1"/>
    <col min="15" max="15" width="21.109375" style="1" customWidth="1"/>
    <col min="16" max="16" width="20.109375" style="1" customWidth="1"/>
    <col min="17" max="17" width="31.44140625" style="1" customWidth="1"/>
    <col min="18" max="18" width="26.5546875" style="1" customWidth="1"/>
    <col min="19" max="19" width="4.6640625" style="1" customWidth="1"/>
    <col min="20" max="20" width="27.44140625" style="1" customWidth="1"/>
    <col min="21" max="21" width="11.44140625" style="1" customWidth="1"/>
    <col min="22" max="22" width="19.88671875" style="1" customWidth="1"/>
    <col min="23" max="23" width="18.5546875" style="1" customWidth="1"/>
    <col min="24" max="24" width="9.109375" style="1" customWidth="1"/>
    <col min="25" max="16384" width="9.109375" style="1"/>
  </cols>
  <sheetData>
    <row r="1" spans="1:23" ht="12" customHeight="1" x14ac:dyDescent="0.25">
      <c r="A1" s="2" t="s">
        <v>50</v>
      </c>
      <c r="B1" s="2" t="s">
        <v>1</v>
      </c>
      <c r="C1" s="2" t="s">
        <v>64</v>
      </c>
      <c r="D1" s="3" t="s">
        <v>23</v>
      </c>
      <c r="E1" s="3" t="s">
        <v>67</v>
      </c>
      <c r="F1" s="3" t="s">
        <v>45</v>
      </c>
      <c r="G1" s="3" t="s">
        <v>3</v>
      </c>
      <c r="H1" s="3" t="s">
        <v>24</v>
      </c>
      <c r="I1" s="3" t="s">
        <v>2</v>
      </c>
      <c r="J1" s="4" t="s">
        <v>0</v>
      </c>
      <c r="K1" s="4" t="s">
        <v>35</v>
      </c>
      <c r="L1" s="4" t="s">
        <v>14</v>
      </c>
      <c r="M1" s="4" t="s">
        <v>9</v>
      </c>
      <c r="N1" s="4" t="s">
        <v>59</v>
      </c>
      <c r="O1" s="4" t="s">
        <v>25</v>
      </c>
      <c r="P1" s="4" t="s">
        <v>8</v>
      </c>
      <c r="Q1" s="4" t="s">
        <v>34</v>
      </c>
      <c r="R1" s="4" t="s">
        <v>22</v>
      </c>
      <c r="S1" s="4" t="s">
        <v>58</v>
      </c>
      <c r="T1" s="4" t="s">
        <v>42</v>
      </c>
      <c r="U1" s="4" t="s">
        <v>7</v>
      </c>
      <c r="V1" s="1" t="s">
        <v>6</v>
      </c>
      <c r="W1" s="1" t="s">
        <v>53</v>
      </c>
    </row>
    <row r="2" spans="1:23" ht="12" customHeight="1" x14ac:dyDescent="0.4">
      <c r="A2">
        <v>114</v>
      </c>
      <c r="B2" s="5" t="s">
        <v>41</v>
      </c>
      <c r="C2" s="5" t="s">
        <v>27</v>
      </c>
      <c r="D2" s="6">
        <v>45235</v>
      </c>
      <c r="E2" s="7">
        <v>0.48958333333333298</v>
      </c>
      <c r="F2" s="5" t="s">
        <v>54</v>
      </c>
      <c r="G2" s="8" t="s">
        <v>63</v>
      </c>
      <c r="H2" s="9" t="s">
        <v>4</v>
      </c>
      <c r="I2" s="9" t="s">
        <v>49</v>
      </c>
      <c r="J2" t="s">
        <v>68</v>
      </c>
      <c r="K2" s="11" t="s">
        <v>54</v>
      </c>
      <c r="L2" s="12" t="s">
        <v>69</v>
      </c>
      <c r="M2" t="s">
        <v>70</v>
      </c>
      <c r="N2" s="13" t="s">
        <v>71</v>
      </c>
      <c r="O2" s="14"/>
      <c r="P2" s="15"/>
      <c r="Q2" s="16" t="s">
        <v>72</v>
      </c>
      <c r="R2" s="16"/>
      <c r="S2" s="15">
        <f t="shared" ref="S2:S30" si="0">P2-E2</f>
        <v>-0.48958333333333298</v>
      </c>
      <c r="T2"/>
      <c r="U2" s="5"/>
      <c r="V2" s="1" t="s">
        <v>101</v>
      </c>
      <c r="W2" s="1" t="s">
        <v>101</v>
      </c>
    </row>
    <row r="3" spans="1:23" ht="12" customHeight="1" x14ac:dyDescent="0.4">
      <c r="A3">
        <v>115</v>
      </c>
      <c r="B3" s="5" t="s">
        <v>41</v>
      </c>
      <c r="C3" s="5" t="s">
        <v>27</v>
      </c>
      <c r="D3" s="6">
        <v>45235</v>
      </c>
      <c r="E3" s="7">
        <v>0.49166666666666697</v>
      </c>
      <c r="F3" s="5" t="s">
        <v>54</v>
      </c>
      <c r="G3" s="8" t="s">
        <v>55</v>
      </c>
      <c r="H3" s="9" t="s">
        <v>66</v>
      </c>
      <c r="I3" s="9" t="s">
        <v>17</v>
      </c>
      <c r="J3" t="s">
        <v>68</v>
      </c>
      <c r="K3" s="11" t="s">
        <v>54</v>
      </c>
      <c r="L3" s="12" t="s">
        <v>73</v>
      </c>
      <c r="M3" t="s">
        <v>70</v>
      </c>
      <c r="N3" s="13" t="s">
        <v>71</v>
      </c>
      <c r="O3" s="14"/>
      <c r="P3" s="15"/>
      <c r="Q3" s="16" t="s">
        <v>74</v>
      </c>
      <c r="R3" s="16"/>
      <c r="S3" s="15">
        <f t="shared" si="0"/>
        <v>-0.49166666666666697</v>
      </c>
      <c r="T3"/>
      <c r="U3" s="5"/>
      <c r="V3" s="1" t="s">
        <v>101</v>
      </c>
      <c r="W3" s="1" t="s">
        <v>101</v>
      </c>
    </row>
    <row r="4" spans="1:23" ht="12" customHeight="1" x14ac:dyDescent="0.4">
      <c r="A4">
        <v>116</v>
      </c>
      <c r="B4" s="5" t="s">
        <v>41</v>
      </c>
      <c r="C4" s="5" t="s">
        <v>27</v>
      </c>
      <c r="D4" s="6">
        <v>45235</v>
      </c>
      <c r="E4" s="10" t="s">
        <v>18</v>
      </c>
      <c r="F4" s="5" t="s">
        <v>54</v>
      </c>
      <c r="G4" s="8" t="s">
        <v>55</v>
      </c>
      <c r="H4" s="9" t="s">
        <v>28</v>
      </c>
      <c r="I4" s="9" t="s">
        <v>20</v>
      </c>
      <c r="J4" t="s">
        <v>68</v>
      </c>
      <c r="K4" s="11" t="s">
        <v>75</v>
      </c>
      <c r="L4" s="12"/>
      <c r="M4" t="s">
        <v>70</v>
      </c>
      <c r="N4" s="13" t="s">
        <v>71</v>
      </c>
      <c r="O4" s="14"/>
      <c r="P4" s="15"/>
      <c r="Q4" s="16" t="s">
        <v>76</v>
      </c>
      <c r="R4" s="16"/>
      <c r="S4" s="15" t="e">
        <f t="shared" si="0"/>
        <v>#VALUE!</v>
      </c>
      <c r="T4"/>
      <c r="U4" s="5"/>
      <c r="V4" s="1" t="s">
        <v>101</v>
      </c>
      <c r="W4" s="1" t="s">
        <v>101</v>
      </c>
    </row>
    <row r="5" spans="1:23" ht="12" customHeight="1" x14ac:dyDescent="0.4">
      <c r="A5">
        <v>117</v>
      </c>
      <c r="B5" s="5" t="s">
        <v>41</v>
      </c>
      <c r="C5" s="5" t="s">
        <v>27</v>
      </c>
      <c r="D5" s="6">
        <v>45235</v>
      </c>
      <c r="E5" s="10" t="s">
        <v>29</v>
      </c>
      <c r="F5" s="5" t="s">
        <v>54</v>
      </c>
      <c r="G5" s="8" t="s">
        <v>55</v>
      </c>
      <c r="H5" s="9" t="s">
        <v>66</v>
      </c>
      <c r="I5" s="9" t="s">
        <v>16</v>
      </c>
      <c r="J5" t="s">
        <v>77</v>
      </c>
      <c r="K5" s="11" t="s">
        <v>75</v>
      </c>
      <c r="L5" s="12" t="s">
        <v>78</v>
      </c>
      <c r="M5" t="s">
        <v>70</v>
      </c>
      <c r="N5" s="13" t="s">
        <v>71</v>
      </c>
      <c r="O5" s="14"/>
      <c r="P5" s="15"/>
      <c r="Q5" s="16" t="s">
        <v>16</v>
      </c>
      <c r="R5" s="16"/>
      <c r="S5" s="15" t="e">
        <f t="shared" si="0"/>
        <v>#VALUE!</v>
      </c>
      <c r="T5"/>
      <c r="U5" s="5"/>
      <c r="V5" s="1" t="s">
        <v>101</v>
      </c>
      <c r="W5" s="1" t="s">
        <v>101</v>
      </c>
    </row>
    <row r="6" spans="1:23" ht="12" customHeight="1" x14ac:dyDescent="0.4">
      <c r="A6">
        <v>118</v>
      </c>
      <c r="B6" s="5" t="s">
        <v>41</v>
      </c>
      <c r="C6" s="5" t="s">
        <v>27</v>
      </c>
      <c r="D6" s="6">
        <v>45235</v>
      </c>
      <c r="E6" s="7">
        <v>0.50902777777777797</v>
      </c>
      <c r="F6" s="5" t="s">
        <v>51</v>
      </c>
      <c r="G6" s="8" t="s">
        <v>63</v>
      </c>
      <c r="H6" s="9" t="s">
        <v>43</v>
      </c>
      <c r="I6" s="9" t="s">
        <v>38</v>
      </c>
      <c r="J6" t="s">
        <v>79</v>
      </c>
      <c r="K6" s="11" t="s">
        <v>80</v>
      </c>
      <c r="L6" s="12" t="s">
        <v>81</v>
      </c>
      <c r="M6" t="s">
        <v>70</v>
      </c>
      <c r="N6" s="13" t="s">
        <v>71</v>
      </c>
      <c r="O6" s="14"/>
      <c r="P6" s="15"/>
      <c r="Q6" s="16" t="s">
        <v>38</v>
      </c>
      <c r="R6" s="16"/>
      <c r="S6" s="15">
        <f t="shared" si="0"/>
        <v>-0.50902777777777797</v>
      </c>
      <c r="T6"/>
      <c r="U6" s="5"/>
      <c r="V6" s="1" t="s">
        <v>101</v>
      </c>
      <c r="W6" s="1" t="s">
        <v>101</v>
      </c>
    </row>
    <row r="7" spans="1:23" ht="12" customHeight="1" x14ac:dyDescent="0.4">
      <c r="A7">
        <v>119</v>
      </c>
      <c r="B7" s="5" t="s">
        <v>41</v>
      </c>
      <c r="C7" s="5" t="s">
        <v>27</v>
      </c>
      <c r="D7" s="6">
        <v>45235</v>
      </c>
      <c r="E7" s="7">
        <v>0.52569444444444402</v>
      </c>
      <c r="F7" s="5" t="s">
        <v>51</v>
      </c>
      <c r="G7" s="8" t="s">
        <v>63</v>
      </c>
      <c r="H7" s="9" t="s">
        <v>56</v>
      </c>
      <c r="I7" s="9" t="s">
        <v>13</v>
      </c>
      <c r="J7" t="s">
        <v>77</v>
      </c>
      <c r="K7" s="11" t="s">
        <v>51</v>
      </c>
      <c r="L7" s="12"/>
      <c r="M7" t="s">
        <v>70</v>
      </c>
      <c r="N7" s="13" t="s">
        <v>71</v>
      </c>
      <c r="O7" s="14"/>
      <c r="P7" s="15"/>
      <c r="Q7" s="16" t="s">
        <v>13</v>
      </c>
      <c r="R7" s="16"/>
      <c r="S7" s="15">
        <f t="shared" si="0"/>
        <v>-0.52569444444444402</v>
      </c>
      <c r="T7"/>
      <c r="U7" s="5"/>
      <c r="V7" s="1" t="s">
        <v>101</v>
      </c>
      <c r="W7" s="1" t="s">
        <v>101</v>
      </c>
    </row>
    <row r="8" spans="1:23" ht="12" customHeight="1" x14ac:dyDescent="0.4">
      <c r="A8">
        <v>120</v>
      </c>
      <c r="B8" s="5" t="s">
        <v>41</v>
      </c>
      <c r="C8" s="5" t="s">
        <v>27</v>
      </c>
      <c r="D8" s="6">
        <v>45235</v>
      </c>
      <c r="E8" s="7">
        <v>0.52569444444444402</v>
      </c>
      <c r="F8" s="5" t="s">
        <v>51</v>
      </c>
      <c r="G8" s="8" t="s">
        <v>63</v>
      </c>
      <c r="H8" s="9" t="s">
        <v>56</v>
      </c>
      <c r="I8" s="9" t="s">
        <v>13</v>
      </c>
      <c r="J8" t="s">
        <v>82</v>
      </c>
      <c r="K8" s="11"/>
      <c r="L8" s="12"/>
      <c r="M8" t="s">
        <v>70</v>
      </c>
      <c r="N8" s="13" t="s">
        <v>71</v>
      </c>
      <c r="O8" s="14"/>
      <c r="P8" s="15"/>
      <c r="Q8" s="16"/>
      <c r="R8" s="16"/>
      <c r="S8" s="15">
        <f t="shared" si="0"/>
        <v>-0.52569444444444402</v>
      </c>
      <c r="T8"/>
      <c r="U8" s="5"/>
      <c r="V8" s="1" t="s">
        <v>101</v>
      </c>
      <c r="W8" s="1" t="s">
        <v>101</v>
      </c>
    </row>
    <row r="9" spans="1:23" ht="12" customHeight="1" x14ac:dyDescent="0.4">
      <c r="A9">
        <v>121</v>
      </c>
      <c r="B9" s="5" t="s">
        <v>41</v>
      </c>
      <c r="C9" s="5" t="s">
        <v>27</v>
      </c>
      <c r="D9" s="6">
        <v>45235</v>
      </c>
      <c r="E9" s="7">
        <v>0.55277777777777803</v>
      </c>
      <c r="F9" s="5" t="s">
        <v>51</v>
      </c>
      <c r="G9" s="8" t="s">
        <v>63</v>
      </c>
      <c r="H9" s="9" t="s">
        <v>31</v>
      </c>
      <c r="I9" s="9" t="s">
        <v>12</v>
      </c>
      <c r="J9" t="s">
        <v>77</v>
      </c>
      <c r="K9" s="11" t="s">
        <v>51</v>
      </c>
      <c r="L9" s="12" t="s">
        <v>83</v>
      </c>
      <c r="M9" t="s">
        <v>70</v>
      </c>
      <c r="N9" s="13" t="s">
        <v>71</v>
      </c>
      <c r="O9" s="14"/>
      <c r="P9" s="15"/>
      <c r="Q9" s="16" t="s">
        <v>12</v>
      </c>
      <c r="R9" s="16"/>
      <c r="S9" s="15">
        <f t="shared" si="0"/>
        <v>-0.55277777777777803</v>
      </c>
      <c r="T9"/>
      <c r="U9" s="5"/>
      <c r="V9" s="1" t="s">
        <v>101</v>
      </c>
      <c r="W9" s="1" t="s">
        <v>101</v>
      </c>
    </row>
    <row r="10" spans="1:23" ht="12" customHeight="1" x14ac:dyDescent="0.4">
      <c r="A10">
        <v>122</v>
      </c>
      <c r="B10" s="5" t="s">
        <v>41</v>
      </c>
      <c r="C10" s="5" t="s">
        <v>27</v>
      </c>
      <c r="D10" s="6">
        <v>45235</v>
      </c>
      <c r="E10" s="7">
        <v>0.55486111111111103</v>
      </c>
      <c r="F10" s="5" t="s">
        <v>51</v>
      </c>
      <c r="G10" s="8" t="s">
        <v>63</v>
      </c>
      <c r="H10" s="9" t="s">
        <v>31</v>
      </c>
      <c r="I10" s="9" t="s">
        <v>30</v>
      </c>
      <c r="J10" t="s">
        <v>77</v>
      </c>
      <c r="K10" s="11" t="s">
        <v>51</v>
      </c>
      <c r="L10" s="12" t="s">
        <v>84</v>
      </c>
      <c r="M10" t="s">
        <v>70</v>
      </c>
      <c r="N10" s="13" t="s">
        <v>71</v>
      </c>
      <c r="O10" s="14"/>
      <c r="P10" s="15"/>
      <c r="Q10" s="16" t="s">
        <v>30</v>
      </c>
      <c r="R10" s="16"/>
      <c r="S10" s="15">
        <f t="shared" si="0"/>
        <v>-0.55486111111111103</v>
      </c>
      <c r="T10"/>
      <c r="U10" s="5"/>
      <c r="V10" s="1" t="s">
        <v>101</v>
      </c>
      <c r="W10" s="1" t="s">
        <v>101</v>
      </c>
    </row>
    <row r="11" spans="1:23" ht="12" customHeight="1" x14ac:dyDescent="0.4">
      <c r="A11">
        <v>123</v>
      </c>
      <c r="B11" s="5" t="s">
        <v>41</v>
      </c>
      <c r="C11" s="5" t="s">
        <v>27</v>
      </c>
      <c r="D11" s="6">
        <v>45235</v>
      </c>
      <c r="E11" s="10"/>
      <c r="F11" s="5" t="s">
        <v>51</v>
      </c>
      <c r="G11" s="8" t="s">
        <v>63</v>
      </c>
      <c r="H11" s="9" t="s">
        <v>31</v>
      </c>
      <c r="I11" s="9" t="s">
        <v>39</v>
      </c>
      <c r="J11" t="s">
        <v>77</v>
      </c>
      <c r="K11" s="11" t="s">
        <v>51</v>
      </c>
      <c r="L11" s="12" t="s">
        <v>85</v>
      </c>
      <c r="M11" t="s">
        <v>70</v>
      </c>
      <c r="N11" s="13" t="s">
        <v>71</v>
      </c>
      <c r="O11" s="14"/>
      <c r="P11" s="15"/>
      <c r="Q11" s="16" t="s">
        <v>39</v>
      </c>
      <c r="R11" s="16"/>
      <c r="S11" s="15">
        <f t="shared" si="0"/>
        <v>0</v>
      </c>
      <c r="T11"/>
      <c r="U11" s="5"/>
      <c r="V11" s="1" t="s">
        <v>101</v>
      </c>
      <c r="W11" s="1" t="s">
        <v>101</v>
      </c>
    </row>
    <row r="12" spans="1:23" ht="12" customHeight="1" x14ac:dyDescent="0.4">
      <c r="A12">
        <v>124</v>
      </c>
      <c r="B12" s="5" t="s">
        <v>41</v>
      </c>
      <c r="C12" s="5" t="s">
        <v>27</v>
      </c>
      <c r="D12" s="6">
        <v>45235</v>
      </c>
      <c r="E12" s="7">
        <v>0.57152777777777797</v>
      </c>
      <c r="F12" s="5" t="s">
        <v>51</v>
      </c>
      <c r="G12" s="8" t="s">
        <v>63</v>
      </c>
      <c r="H12" s="9" t="s">
        <v>66</v>
      </c>
      <c r="I12" s="9" t="s">
        <v>26</v>
      </c>
      <c r="J12" t="s">
        <v>77</v>
      </c>
      <c r="K12" s="11" t="s">
        <v>51</v>
      </c>
      <c r="L12" s="12"/>
      <c r="M12" t="s">
        <v>70</v>
      </c>
      <c r="N12" s="13" t="s">
        <v>71</v>
      </c>
      <c r="O12" s="14"/>
      <c r="P12" s="15"/>
      <c r="Q12" s="16" t="s">
        <v>86</v>
      </c>
      <c r="R12" s="16"/>
      <c r="S12" s="15">
        <f t="shared" si="0"/>
        <v>-0.57152777777777797</v>
      </c>
      <c r="T12"/>
      <c r="U12" s="5"/>
      <c r="V12" s="1" t="s">
        <v>101</v>
      </c>
      <c r="W12" s="1" t="s">
        <v>101</v>
      </c>
    </row>
    <row r="13" spans="1:23" ht="12" customHeight="1" x14ac:dyDescent="0.4">
      <c r="A13">
        <v>125</v>
      </c>
      <c r="B13" s="5" t="s">
        <v>41</v>
      </c>
      <c r="C13" s="5" t="s">
        <v>27</v>
      </c>
      <c r="D13" s="6">
        <v>45235</v>
      </c>
      <c r="E13" s="7">
        <v>0.57361111111111096</v>
      </c>
      <c r="F13" s="5" t="s">
        <v>51</v>
      </c>
      <c r="G13" s="8" t="s">
        <v>63</v>
      </c>
      <c r="H13" s="9" t="s">
        <v>66</v>
      </c>
      <c r="I13" s="9" t="s">
        <v>11</v>
      </c>
      <c r="J13"/>
      <c r="K13" s="11"/>
      <c r="L13" s="12"/>
      <c r="M13"/>
      <c r="N13" s="13"/>
      <c r="O13" s="14"/>
      <c r="P13" s="15"/>
      <c r="Q13" s="16"/>
      <c r="R13" s="16"/>
      <c r="S13" s="15">
        <f t="shared" si="0"/>
        <v>-0.57361111111111096</v>
      </c>
      <c r="T13" t="s">
        <v>87</v>
      </c>
      <c r="U13" s="5"/>
      <c r="V13" s="1" t="s">
        <v>101</v>
      </c>
      <c r="W13" s="1" t="s">
        <v>101</v>
      </c>
    </row>
    <row r="14" spans="1:23" ht="12" customHeight="1" x14ac:dyDescent="0.4">
      <c r="A14">
        <v>126</v>
      </c>
      <c r="B14" s="5" t="s">
        <v>41</v>
      </c>
      <c r="C14" s="5" t="s">
        <v>27</v>
      </c>
      <c r="D14" s="6">
        <v>45235</v>
      </c>
      <c r="E14" s="7">
        <v>0.59722222222222199</v>
      </c>
      <c r="F14" s="5" t="s">
        <v>51</v>
      </c>
      <c r="G14" s="8" t="s">
        <v>63</v>
      </c>
      <c r="H14" s="9" t="s">
        <v>36</v>
      </c>
      <c r="I14" s="9" t="s">
        <v>61</v>
      </c>
      <c r="J14"/>
      <c r="K14" s="11"/>
      <c r="L14" s="12" t="s">
        <v>88</v>
      </c>
      <c r="M14"/>
      <c r="N14" s="13"/>
      <c r="O14" s="14"/>
      <c r="P14" s="15"/>
      <c r="Q14" s="16"/>
      <c r="R14" s="16"/>
      <c r="S14" s="15">
        <f t="shared" si="0"/>
        <v>-0.59722222222222199</v>
      </c>
      <c r="T14" t="s">
        <v>89</v>
      </c>
      <c r="U14" s="5"/>
      <c r="V14" s="1" t="s">
        <v>101</v>
      </c>
      <c r="W14" s="1" t="s">
        <v>101</v>
      </c>
    </row>
    <row r="15" spans="1:23" ht="12" customHeight="1" x14ac:dyDescent="0.4">
      <c r="A15">
        <v>127</v>
      </c>
      <c r="B15" s="5" t="s">
        <v>41</v>
      </c>
      <c r="C15" s="5" t="s">
        <v>27</v>
      </c>
      <c r="D15" s="6">
        <v>45235</v>
      </c>
      <c r="E15" s="7">
        <v>0.61597222222222203</v>
      </c>
      <c r="F15" s="5" t="s">
        <v>51</v>
      </c>
      <c r="G15" s="8" t="s">
        <v>63</v>
      </c>
      <c r="H15" s="9" t="s">
        <v>4</v>
      </c>
      <c r="I15" s="9" t="s">
        <v>5</v>
      </c>
      <c r="J15" t="s">
        <v>77</v>
      </c>
      <c r="K15" s="11" t="s">
        <v>51</v>
      </c>
      <c r="L15" s="12" t="s">
        <v>90</v>
      </c>
      <c r="M15" t="s">
        <v>70</v>
      </c>
      <c r="N15" s="13" t="s">
        <v>71</v>
      </c>
      <c r="O15" s="14"/>
      <c r="P15" s="15"/>
      <c r="Q15" s="16" t="s">
        <v>91</v>
      </c>
      <c r="R15" s="16"/>
      <c r="S15" s="15">
        <f t="shared" si="0"/>
        <v>-0.61597222222222203</v>
      </c>
      <c r="T15"/>
      <c r="U15" s="5"/>
      <c r="V15" s="1" t="s">
        <v>101</v>
      </c>
      <c r="W15" s="1" t="s">
        <v>101</v>
      </c>
    </row>
    <row r="16" spans="1:23" ht="12" customHeight="1" x14ac:dyDescent="0.4">
      <c r="A16">
        <v>128</v>
      </c>
      <c r="B16" s="5" t="s">
        <v>41</v>
      </c>
      <c r="C16" s="5" t="s">
        <v>27</v>
      </c>
      <c r="D16" s="6">
        <v>45235</v>
      </c>
      <c r="E16" s="7">
        <v>0.62083333333333302</v>
      </c>
      <c r="F16" s="5" t="s">
        <v>51</v>
      </c>
      <c r="G16" s="8" t="s">
        <v>63</v>
      </c>
      <c r="H16" s="9" t="s">
        <v>4</v>
      </c>
      <c r="I16" s="9" t="s">
        <v>33</v>
      </c>
      <c r="J16"/>
      <c r="K16" s="11"/>
      <c r="L16" s="12" t="s">
        <v>92</v>
      </c>
      <c r="M16"/>
      <c r="N16" s="13"/>
      <c r="O16" s="14"/>
      <c r="P16" s="15"/>
      <c r="Q16" s="16"/>
      <c r="R16" s="16"/>
      <c r="S16" s="15">
        <f t="shared" si="0"/>
        <v>-0.62083333333333302</v>
      </c>
      <c r="T16" t="s">
        <v>89</v>
      </c>
      <c r="U16" s="5"/>
      <c r="V16" s="1" t="s">
        <v>101</v>
      </c>
      <c r="W16" s="1" t="s">
        <v>101</v>
      </c>
    </row>
    <row r="17" spans="1:23" ht="12" customHeight="1" x14ac:dyDescent="0.4">
      <c r="A17">
        <v>129</v>
      </c>
      <c r="B17" s="5" t="s">
        <v>41</v>
      </c>
      <c r="C17" s="5" t="s">
        <v>27</v>
      </c>
      <c r="D17" s="6">
        <v>45235</v>
      </c>
      <c r="E17" s="7">
        <v>6.7361111111111094E-2</v>
      </c>
      <c r="F17" s="5" t="s">
        <v>54</v>
      </c>
      <c r="G17" s="8" t="s">
        <v>63</v>
      </c>
      <c r="H17" s="9" t="s">
        <v>36</v>
      </c>
      <c r="I17" s="9" t="s">
        <v>19</v>
      </c>
      <c r="J17" t="s">
        <v>77</v>
      </c>
      <c r="K17" s="11" t="s">
        <v>54</v>
      </c>
      <c r="L17" s="12" t="s">
        <v>93</v>
      </c>
      <c r="M17" t="s">
        <v>70</v>
      </c>
      <c r="N17" s="13" t="s">
        <v>71</v>
      </c>
      <c r="O17" s="14"/>
      <c r="P17" s="15"/>
      <c r="Q17" s="16" t="s">
        <v>19</v>
      </c>
      <c r="R17" s="16"/>
      <c r="S17" s="15">
        <f t="shared" si="0"/>
        <v>-6.7361111111111094E-2</v>
      </c>
      <c r="T17"/>
      <c r="U17" s="5"/>
      <c r="V17" s="1" t="s">
        <v>101</v>
      </c>
      <c r="W17" s="1" t="s">
        <v>101</v>
      </c>
    </row>
    <row r="18" spans="1:23" ht="12" customHeight="1" x14ac:dyDescent="0.4">
      <c r="A18">
        <v>130</v>
      </c>
      <c r="B18" s="5" t="s">
        <v>41</v>
      </c>
      <c r="C18" s="5" t="s">
        <v>27</v>
      </c>
      <c r="D18" s="6">
        <v>45235</v>
      </c>
      <c r="E18" s="7">
        <v>6.8055555555555494E-2</v>
      </c>
      <c r="F18" s="5" t="s">
        <v>54</v>
      </c>
      <c r="G18" s="8" t="s">
        <v>63</v>
      </c>
      <c r="H18" s="9" t="s">
        <v>36</v>
      </c>
      <c r="I18" s="9" t="s">
        <v>21</v>
      </c>
      <c r="J18" t="s">
        <v>77</v>
      </c>
      <c r="K18" s="11" t="s">
        <v>54</v>
      </c>
      <c r="L18" s="12" t="s">
        <v>94</v>
      </c>
      <c r="M18" t="s">
        <v>70</v>
      </c>
      <c r="N18" s="13" t="s">
        <v>71</v>
      </c>
      <c r="O18" s="14"/>
      <c r="P18" s="15"/>
      <c r="Q18" s="16" t="s">
        <v>21</v>
      </c>
      <c r="R18" s="16"/>
      <c r="S18" s="15">
        <f t="shared" si="0"/>
        <v>-6.8055555555555494E-2</v>
      </c>
      <c r="T18"/>
      <c r="U18" s="5"/>
      <c r="V18" s="1" t="s">
        <v>101</v>
      </c>
      <c r="W18" s="1" t="s">
        <v>101</v>
      </c>
    </row>
    <row r="19" spans="1:23" ht="12" customHeight="1" x14ac:dyDescent="0.4">
      <c r="A19">
        <v>131</v>
      </c>
      <c r="B19" s="5" t="s">
        <v>41</v>
      </c>
      <c r="C19" s="5" t="s">
        <v>27</v>
      </c>
      <c r="D19" s="6">
        <v>45235</v>
      </c>
      <c r="E19" s="7">
        <v>6.8055555555555494E-2</v>
      </c>
      <c r="F19" s="5" t="s">
        <v>54</v>
      </c>
      <c r="G19" s="8" t="s">
        <v>63</v>
      </c>
      <c r="H19" s="9" t="s">
        <v>36</v>
      </c>
      <c r="I19" s="9" t="s">
        <v>40</v>
      </c>
      <c r="J19" t="s">
        <v>68</v>
      </c>
      <c r="K19" s="11" t="s">
        <v>54</v>
      </c>
      <c r="L19" s="12"/>
      <c r="M19" t="s">
        <v>70</v>
      </c>
      <c r="N19" s="13" t="s">
        <v>71</v>
      </c>
      <c r="O19" s="14"/>
      <c r="P19" s="15"/>
      <c r="Q19" s="16" t="s">
        <v>40</v>
      </c>
      <c r="R19" s="16"/>
      <c r="S19" s="15">
        <f t="shared" si="0"/>
        <v>-6.8055555555555494E-2</v>
      </c>
      <c r="T19"/>
      <c r="U19" s="5"/>
      <c r="V19" s="1" t="s">
        <v>101</v>
      </c>
      <c r="W19" s="1" t="s">
        <v>101</v>
      </c>
    </row>
    <row r="20" spans="1:23" ht="12" customHeight="1" x14ac:dyDescent="0.4">
      <c r="A20">
        <v>132</v>
      </c>
      <c r="B20" s="5" t="s">
        <v>41</v>
      </c>
      <c r="C20" s="5" t="s">
        <v>27</v>
      </c>
      <c r="D20" s="6">
        <v>45235</v>
      </c>
      <c r="E20" s="7">
        <v>6.8750000000000006E-2</v>
      </c>
      <c r="F20" s="5" t="s">
        <v>54</v>
      </c>
      <c r="G20" s="8" t="s">
        <v>63</v>
      </c>
      <c r="H20" s="9" t="s">
        <v>36</v>
      </c>
      <c r="I20" s="9" t="s">
        <v>37</v>
      </c>
      <c r="J20" t="s">
        <v>77</v>
      </c>
      <c r="K20" s="11" t="s">
        <v>54</v>
      </c>
      <c r="L20" s="12"/>
      <c r="M20" t="s">
        <v>70</v>
      </c>
      <c r="N20" s="13" t="s">
        <v>71</v>
      </c>
      <c r="O20" s="14"/>
      <c r="P20" s="15"/>
      <c r="Q20" s="16" t="s">
        <v>95</v>
      </c>
      <c r="R20" s="16"/>
      <c r="S20" s="15">
        <f t="shared" si="0"/>
        <v>-6.8750000000000006E-2</v>
      </c>
      <c r="T20"/>
      <c r="U20" s="5"/>
      <c r="V20" s="1" t="s">
        <v>101</v>
      </c>
      <c r="W20" s="1" t="s">
        <v>101</v>
      </c>
    </row>
    <row r="21" spans="1:23" ht="12" customHeight="1" x14ac:dyDescent="0.4">
      <c r="A21">
        <v>133</v>
      </c>
      <c r="B21" s="5" t="s">
        <v>41</v>
      </c>
      <c r="C21" s="5" t="s">
        <v>27</v>
      </c>
      <c r="D21" s="6">
        <v>45235</v>
      </c>
      <c r="E21" s="7">
        <v>6.9444444444444406E-2</v>
      </c>
      <c r="F21" s="5" t="s">
        <v>54</v>
      </c>
      <c r="G21" s="8" t="s">
        <v>63</v>
      </c>
      <c r="H21" s="9" t="s">
        <v>36</v>
      </c>
      <c r="I21" s="9" t="s">
        <v>48</v>
      </c>
      <c r="J21" t="s">
        <v>77</v>
      </c>
      <c r="K21" s="11" t="s">
        <v>54</v>
      </c>
      <c r="L21" s="12" t="s">
        <v>94</v>
      </c>
      <c r="M21" t="s">
        <v>70</v>
      </c>
      <c r="N21" s="13" t="s">
        <v>71</v>
      </c>
      <c r="O21" s="14"/>
      <c r="P21" s="15"/>
      <c r="Q21" s="16" t="s">
        <v>48</v>
      </c>
      <c r="R21" s="16"/>
      <c r="S21" s="15">
        <f t="shared" si="0"/>
        <v>-6.9444444444444406E-2</v>
      </c>
      <c r="T21"/>
      <c r="U21" s="5"/>
      <c r="V21" s="1" t="s">
        <v>101</v>
      </c>
      <c r="W21" s="1" t="s">
        <v>101</v>
      </c>
    </row>
    <row r="22" spans="1:23" ht="12" customHeight="1" x14ac:dyDescent="0.4">
      <c r="A22">
        <v>134</v>
      </c>
      <c r="B22" s="5" t="s">
        <v>41</v>
      </c>
      <c r="C22" s="5" t="s">
        <v>27</v>
      </c>
      <c r="D22" s="6">
        <v>45235</v>
      </c>
      <c r="E22" s="7">
        <v>6.9444444444444406E-2</v>
      </c>
      <c r="F22" s="5" t="s">
        <v>54</v>
      </c>
      <c r="G22" s="8" t="s">
        <v>63</v>
      </c>
      <c r="H22" s="9" t="s">
        <v>36</v>
      </c>
      <c r="I22" s="9" t="s">
        <v>47</v>
      </c>
      <c r="J22" t="s">
        <v>77</v>
      </c>
      <c r="K22" s="11" t="s">
        <v>54</v>
      </c>
      <c r="L22" s="12"/>
      <c r="M22" t="s">
        <v>70</v>
      </c>
      <c r="N22" s="13" t="s">
        <v>71</v>
      </c>
      <c r="O22" s="14"/>
      <c r="P22" s="15"/>
      <c r="Q22" s="16" t="s">
        <v>47</v>
      </c>
      <c r="R22" s="16"/>
      <c r="S22" s="15">
        <f t="shared" si="0"/>
        <v>-6.9444444444444406E-2</v>
      </c>
      <c r="T22"/>
      <c r="U22" s="5"/>
      <c r="V22" s="1" t="s">
        <v>101</v>
      </c>
      <c r="W22" s="1" t="s">
        <v>101</v>
      </c>
    </row>
    <row r="23" spans="1:23" ht="12" customHeight="1" x14ac:dyDescent="0.4">
      <c r="A23">
        <v>135</v>
      </c>
      <c r="B23" s="5" t="s">
        <v>41</v>
      </c>
      <c r="C23" s="5" t="s">
        <v>27</v>
      </c>
      <c r="D23" s="6">
        <v>45235</v>
      </c>
      <c r="E23" s="7">
        <v>7.0138888888888903E-2</v>
      </c>
      <c r="F23" s="5" t="s">
        <v>54</v>
      </c>
      <c r="G23" s="8" t="s">
        <v>63</v>
      </c>
      <c r="H23" s="9" t="s">
        <v>36</v>
      </c>
      <c r="I23" s="9" t="s">
        <v>60</v>
      </c>
      <c r="J23" t="s">
        <v>77</v>
      </c>
      <c r="K23" s="11" t="s">
        <v>54</v>
      </c>
      <c r="L23" s="12" t="s">
        <v>93</v>
      </c>
      <c r="M23" t="s">
        <v>70</v>
      </c>
      <c r="N23" s="13" t="s">
        <v>71</v>
      </c>
      <c r="O23" s="14"/>
      <c r="P23" s="15"/>
      <c r="Q23" s="16" t="s">
        <v>60</v>
      </c>
      <c r="R23" s="16"/>
      <c r="S23" s="15">
        <f t="shared" si="0"/>
        <v>-7.0138888888888903E-2</v>
      </c>
      <c r="T23"/>
      <c r="U23" s="5"/>
      <c r="V23" s="1" t="s">
        <v>101</v>
      </c>
      <c r="W23" s="1" t="s">
        <v>101</v>
      </c>
    </row>
    <row r="24" spans="1:23" ht="12" customHeight="1" x14ac:dyDescent="0.4">
      <c r="A24">
        <v>136</v>
      </c>
      <c r="B24" s="5" t="s">
        <v>41</v>
      </c>
      <c r="C24" s="5" t="s">
        <v>27</v>
      </c>
      <c r="D24" s="6">
        <v>45235</v>
      </c>
      <c r="E24" s="7">
        <v>6.7361111111111094E-2</v>
      </c>
      <c r="F24" s="5" t="s">
        <v>54</v>
      </c>
      <c r="G24" s="8" t="s">
        <v>63</v>
      </c>
      <c r="H24" s="9" t="s">
        <v>36</v>
      </c>
      <c r="I24" s="9" t="s">
        <v>32</v>
      </c>
      <c r="J24" t="s">
        <v>77</v>
      </c>
      <c r="K24" s="11" t="s">
        <v>54</v>
      </c>
      <c r="L24" s="12" t="s">
        <v>93</v>
      </c>
      <c r="M24" t="s">
        <v>70</v>
      </c>
      <c r="N24" s="13" t="s">
        <v>71</v>
      </c>
      <c r="O24" s="14"/>
      <c r="P24" s="15"/>
      <c r="Q24" s="16" t="s">
        <v>32</v>
      </c>
      <c r="R24" s="16"/>
      <c r="S24" s="15">
        <f t="shared" si="0"/>
        <v>-6.7361111111111094E-2</v>
      </c>
      <c r="T24"/>
      <c r="U24" s="5"/>
      <c r="V24" s="1" t="s">
        <v>101</v>
      </c>
      <c r="W24" s="1" t="s">
        <v>101</v>
      </c>
    </row>
    <row r="25" spans="1:23" ht="12" customHeight="1" x14ac:dyDescent="0.4">
      <c r="A25">
        <v>137</v>
      </c>
      <c r="B25" s="5" t="s">
        <v>41</v>
      </c>
      <c r="C25" s="5" t="s">
        <v>27</v>
      </c>
      <c r="D25" s="6">
        <v>45235</v>
      </c>
      <c r="E25" s="7">
        <v>6.6666666666666693E-2</v>
      </c>
      <c r="F25" s="5" t="s">
        <v>54</v>
      </c>
      <c r="G25" s="8" t="s">
        <v>63</v>
      </c>
      <c r="H25" s="9" t="s">
        <v>36</v>
      </c>
      <c r="I25" s="9" t="s">
        <v>44</v>
      </c>
      <c r="J25" t="s">
        <v>77</v>
      </c>
      <c r="K25" s="11" t="s">
        <v>54</v>
      </c>
      <c r="L25" s="12" t="s">
        <v>93</v>
      </c>
      <c r="M25" t="s">
        <v>70</v>
      </c>
      <c r="N25" s="13" t="s">
        <v>71</v>
      </c>
      <c r="O25" s="14"/>
      <c r="P25" s="15"/>
      <c r="Q25" s="16" t="s">
        <v>44</v>
      </c>
      <c r="R25" s="16"/>
      <c r="S25" s="15">
        <f t="shared" si="0"/>
        <v>-6.6666666666666693E-2</v>
      </c>
      <c r="T25"/>
      <c r="U25" s="5"/>
      <c r="V25" s="1" t="s">
        <v>101</v>
      </c>
      <c r="W25" s="1" t="s">
        <v>101</v>
      </c>
    </row>
    <row r="26" spans="1:23" ht="12" customHeight="1" x14ac:dyDescent="0.4">
      <c r="A26">
        <v>138</v>
      </c>
      <c r="B26" s="5" t="s">
        <v>41</v>
      </c>
      <c r="C26" s="5" t="s">
        <v>27</v>
      </c>
      <c r="D26" s="6">
        <v>45235</v>
      </c>
      <c r="E26" s="7">
        <v>6.6666666666666693E-2</v>
      </c>
      <c r="F26" s="5" t="s">
        <v>51</v>
      </c>
      <c r="G26" s="8" t="s">
        <v>63</v>
      </c>
      <c r="H26" s="9" t="s">
        <v>56</v>
      </c>
      <c r="I26" s="9" t="s">
        <v>52</v>
      </c>
      <c r="J26" t="s">
        <v>77</v>
      </c>
      <c r="K26" s="11" t="s">
        <v>51</v>
      </c>
      <c r="L26" s="12" t="s">
        <v>96</v>
      </c>
      <c r="M26" t="s">
        <v>70</v>
      </c>
      <c r="N26" s="13" t="s">
        <v>71</v>
      </c>
      <c r="O26" s="14"/>
      <c r="P26" s="15"/>
      <c r="Q26" s="16" t="s">
        <v>52</v>
      </c>
      <c r="R26" s="16"/>
      <c r="S26" s="15">
        <f t="shared" si="0"/>
        <v>-6.6666666666666693E-2</v>
      </c>
      <c r="T26"/>
      <c r="U26" s="5"/>
      <c r="V26" s="1" t="s">
        <v>101</v>
      </c>
      <c r="W26" s="1" t="s">
        <v>101</v>
      </c>
    </row>
    <row r="27" spans="1:23" ht="12" customHeight="1" x14ac:dyDescent="0.4">
      <c r="A27">
        <v>139</v>
      </c>
      <c r="B27" s="5" t="s">
        <v>41</v>
      </c>
      <c r="C27" s="5" t="s">
        <v>27</v>
      </c>
      <c r="D27" s="6">
        <v>45235</v>
      </c>
      <c r="E27" s="7">
        <v>0.73055555555555596</v>
      </c>
      <c r="F27" s="5" t="s">
        <v>51</v>
      </c>
      <c r="G27" s="8" t="s">
        <v>63</v>
      </c>
      <c r="H27" s="9" t="s">
        <v>65</v>
      </c>
      <c r="I27" s="9" t="s">
        <v>46</v>
      </c>
      <c r="J27" t="s">
        <v>77</v>
      </c>
      <c r="K27" s="11" t="s">
        <v>51</v>
      </c>
      <c r="L27" s="12" t="s">
        <v>97</v>
      </c>
      <c r="M27" t="s">
        <v>70</v>
      </c>
      <c r="N27" s="13" t="s">
        <v>71</v>
      </c>
      <c r="O27" s="14"/>
      <c r="P27" s="15"/>
      <c r="Q27" s="16" t="s">
        <v>98</v>
      </c>
      <c r="R27" s="16"/>
      <c r="S27" s="15">
        <f t="shared" si="0"/>
        <v>-0.73055555555555596</v>
      </c>
      <c r="T27"/>
      <c r="U27" s="5"/>
      <c r="V27" s="1" t="s">
        <v>101</v>
      </c>
      <c r="W27" s="1" t="s">
        <v>101</v>
      </c>
    </row>
    <row r="28" spans="1:23" ht="12" customHeight="1" x14ac:dyDescent="0.4">
      <c r="A28">
        <v>140</v>
      </c>
      <c r="B28" s="5" t="s">
        <v>41</v>
      </c>
      <c r="C28" s="5" t="s">
        <v>27</v>
      </c>
      <c r="D28" s="6">
        <v>45235</v>
      </c>
      <c r="E28" s="7">
        <v>0.73680555555555605</v>
      </c>
      <c r="F28" s="5" t="s">
        <v>51</v>
      </c>
      <c r="G28" s="8" t="s">
        <v>63</v>
      </c>
      <c r="H28" s="9" t="s">
        <v>62</v>
      </c>
      <c r="I28" s="9" t="s">
        <v>10</v>
      </c>
      <c r="J28" t="s">
        <v>77</v>
      </c>
      <c r="K28" s="11" t="s">
        <v>51</v>
      </c>
      <c r="L28" s="12" t="s">
        <v>99</v>
      </c>
      <c r="M28" t="s">
        <v>70</v>
      </c>
      <c r="N28" s="13" t="s">
        <v>71</v>
      </c>
      <c r="O28" s="14"/>
      <c r="P28" s="15"/>
      <c r="Q28" s="16" t="s">
        <v>10</v>
      </c>
      <c r="R28" s="16"/>
      <c r="S28" s="15">
        <f t="shared" si="0"/>
        <v>-0.73680555555555605</v>
      </c>
      <c r="T28"/>
      <c r="U28" s="5"/>
      <c r="V28" s="1" t="s">
        <v>101</v>
      </c>
      <c r="W28" s="1" t="s">
        <v>101</v>
      </c>
    </row>
    <row r="29" spans="1:23" ht="12" customHeight="1" x14ac:dyDescent="0.4">
      <c r="A29">
        <v>141</v>
      </c>
      <c r="B29" s="5" t="s">
        <v>41</v>
      </c>
      <c r="C29" s="5" t="s">
        <v>27</v>
      </c>
      <c r="D29" s="6">
        <v>45235</v>
      </c>
      <c r="E29" s="7">
        <v>0.74027777777777803</v>
      </c>
      <c r="F29" s="5" t="s">
        <v>51</v>
      </c>
      <c r="G29" s="8" t="s">
        <v>63</v>
      </c>
      <c r="H29" s="9" t="s">
        <v>62</v>
      </c>
      <c r="I29" s="9" t="s">
        <v>57</v>
      </c>
      <c r="J29" t="s">
        <v>77</v>
      </c>
      <c r="K29" s="11" t="s">
        <v>51</v>
      </c>
      <c r="L29" s="12" t="s">
        <v>99</v>
      </c>
      <c r="M29" t="s">
        <v>70</v>
      </c>
      <c r="N29" s="13" t="s">
        <v>71</v>
      </c>
      <c r="O29" s="14"/>
      <c r="P29" s="15"/>
      <c r="Q29" s="16" t="s">
        <v>57</v>
      </c>
      <c r="R29" s="16"/>
      <c r="S29" s="15">
        <f t="shared" si="0"/>
        <v>-0.74027777777777803</v>
      </c>
      <c r="T29"/>
      <c r="U29" s="5"/>
      <c r="V29" s="1" t="s">
        <v>101</v>
      </c>
      <c r="W29" s="1" t="s">
        <v>101</v>
      </c>
    </row>
    <row r="30" spans="1:23" ht="12" customHeight="1" x14ac:dyDescent="0.4">
      <c r="A30">
        <v>142</v>
      </c>
      <c r="B30" s="5" t="s">
        <v>41</v>
      </c>
      <c r="C30" s="5" t="s">
        <v>27</v>
      </c>
      <c r="D30" s="6">
        <v>45235</v>
      </c>
      <c r="E30" s="7">
        <v>0.74305555555555503</v>
      </c>
      <c r="F30" s="5" t="s">
        <v>51</v>
      </c>
      <c r="G30" s="8" t="s">
        <v>63</v>
      </c>
      <c r="H30" s="9" t="s">
        <v>62</v>
      </c>
      <c r="I30" s="9" t="s">
        <v>15</v>
      </c>
      <c r="J30" t="s">
        <v>100</v>
      </c>
      <c r="K30" s="11" t="s">
        <v>51</v>
      </c>
      <c r="L30" s="12" t="s">
        <v>99</v>
      </c>
      <c r="M30" t="s">
        <v>70</v>
      </c>
      <c r="N30" s="13" t="s">
        <v>71</v>
      </c>
      <c r="O30" s="14"/>
      <c r="P30" s="15"/>
      <c r="Q30" s="16" t="s">
        <v>15</v>
      </c>
      <c r="R30" s="16"/>
      <c r="S30" s="15">
        <f t="shared" si="0"/>
        <v>-0.74305555555555503</v>
      </c>
      <c r="T30"/>
      <c r="U30" s="5"/>
      <c r="V30" s="1" t="s">
        <v>101</v>
      </c>
      <c r="W30" s="1" t="s">
        <v>101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sneha</cp:lastModifiedBy>
  <dcterms:created xsi:type="dcterms:W3CDTF">2013-06-26T05:33:36Z</dcterms:created>
  <dcterms:modified xsi:type="dcterms:W3CDTF">2023-05-11T15:06:53Z</dcterms:modified>
  <cp:category/>
</cp:coreProperties>
</file>