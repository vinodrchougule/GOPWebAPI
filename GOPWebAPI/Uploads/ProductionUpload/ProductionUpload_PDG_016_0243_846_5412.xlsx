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Sheet1!$A$1:$DG$9</definedName>
  </definedNames>
  <calcPr calcId="144525"/>
  <webPublishing codePage="0"/>
</workbook>
</file>

<file path=xl/calcChain.xml><?xml version="1.0" encoding="utf-8"?>
<calcChain xmlns="http://schemas.openxmlformats.org/spreadsheetml/2006/main">
  <c r="AW9" i="1" l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<sst xmlns="http://schemas.openxmlformats.org/spreadsheetml/2006/main" count="369" uniqueCount="199">
  <si>
    <t>Size</t>
  </si>
  <si>
    <t>ProdigoItemKey</t>
  </si>
  <si>
    <t>To Process</t>
  </si>
  <si>
    <t>Description Duplicate</t>
  </si>
  <si>
    <t>PDG</t>
  </si>
  <si>
    <t>HCPCS Desc1</t>
  </si>
  <si>
    <t>Miscellaneous</t>
  </si>
  <si>
    <t>HCPCS1</t>
  </si>
  <si>
    <t>CURITEVA_C615140300</t>
  </si>
  <si>
    <t>CURITEVA INC</t>
  </si>
  <si>
    <t>Job No1</t>
  </si>
  <si>
    <t>ForGhria_Output_2023-08-12</t>
  </si>
  <si>
    <t>PRODIGO1066111</t>
  </si>
  <si>
    <t>RefCat</t>
  </si>
  <si>
    <t>SI-Lution Guide Pin Extension 3.2 x 300mm</t>
  </si>
  <si>
    <t>Modifier</t>
  </si>
  <si>
    <t>Sterile</t>
  </si>
  <si>
    <t>Mfg Item Number</t>
  </si>
  <si>
    <t>CE Comments</t>
  </si>
  <si>
    <t>CURITEVA_FHGP33</t>
  </si>
  <si>
    <t>Standardized UNSPSC1</t>
  </si>
  <si>
    <t>Disc Cutter</t>
  </si>
  <si>
    <t>Production Comments</t>
  </si>
  <si>
    <t>Short Description 60 Enriched</t>
  </si>
  <si>
    <t>Count</t>
  </si>
  <si>
    <t>CURITEVA_CMP00656</t>
  </si>
  <si>
    <t>Batch</t>
  </si>
  <si>
    <t>FHGPGUN</t>
  </si>
  <si>
    <t>Status</t>
  </si>
  <si>
    <t>CURITEVA_FHGP27</t>
  </si>
  <si>
    <t>Job No</t>
  </si>
  <si>
    <t>UNSPSC Description</t>
  </si>
  <si>
    <t>PRODIGO1066109</t>
  </si>
  <si>
    <t>Validated MFR Name</t>
  </si>
  <si>
    <t>FHGP23</t>
  </si>
  <si>
    <t>Noun</t>
  </si>
  <si>
    <t>DE Code</t>
  </si>
  <si>
    <t>CURITEVA_C615140500</t>
  </si>
  <si>
    <t>QE Code</t>
  </si>
  <si>
    <t>C615140300</t>
  </si>
  <si>
    <t>Adjective</t>
  </si>
  <si>
    <t>Len</t>
  </si>
  <si>
    <t>SLNo_Prod</t>
  </si>
  <si>
    <t>Long Description 254 Enriched1</t>
  </si>
  <si>
    <t>Quality A/R</t>
  </si>
  <si>
    <t>Classification Remarks</t>
  </si>
  <si>
    <t>Miscellaneous1</t>
  </si>
  <si>
    <t>Standardized Manufacturer Item Number</t>
  </si>
  <si>
    <t>Start Date</t>
  </si>
  <si>
    <t>Brandname1</t>
  </si>
  <si>
    <t>Project2</t>
  </si>
  <si>
    <t>URL1</t>
  </si>
  <si>
    <t>Sort Code</t>
  </si>
  <si>
    <t>URL</t>
  </si>
  <si>
    <t>C615140500</t>
  </si>
  <si>
    <t>Corrected By</t>
  </si>
  <si>
    <t>ASIS Item Description (Long Description 4000)</t>
  </si>
  <si>
    <t>SI-Lution Exchange Pin 500mm</t>
  </si>
  <si>
    <t>Long Description</t>
  </si>
  <si>
    <t>HCPCS description</t>
  </si>
  <si>
    <t>Mapped with 066</t>
  </si>
  <si>
    <t>Previous CE Code</t>
  </si>
  <si>
    <t>Ref#</t>
  </si>
  <si>
    <t>UNSPSC1</t>
  </si>
  <si>
    <t>PRODIGO1066110</t>
  </si>
  <si>
    <t>CURITEVA_FHGPGUN</t>
  </si>
  <si>
    <t>CURITEVA_C615130</t>
  </si>
  <si>
    <t>BrandName</t>
  </si>
  <si>
    <t>Secondary Dimension(IDXODXLXWXHXDXTHK)</t>
  </si>
  <si>
    <t>PRODIGO1066107</t>
  </si>
  <si>
    <t>Property</t>
  </si>
  <si>
    <t>Conc</t>
  </si>
  <si>
    <t>FHGP33</t>
  </si>
  <si>
    <t>Age</t>
  </si>
  <si>
    <t>PrimaryDimension(IDXODXLXWXHXDXTHK)</t>
  </si>
  <si>
    <t>PRODIGO1066113</t>
  </si>
  <si>
    <t>Potential Duplicates1</t>
  </si>
  <si>
    <t>Validated MFR Num</t>
  </si>
  <si>
    <t>Gender</t>
  </si>
  <si>
    <t>Mfg Ref ID</t>
  </si>
  <si>
    <t>Potential Duplicates</t>
  </si>
  <si>
    <t>UNSPSC</t>
  </si>
  <si>
    <t>Data Enrichment | UNSPSC Classification</t>
  </si>
  <si>
    <t>Activities</t>
  </si>
  <si>
    <t>Volume/Weight</t>
  </si>
  <si>
    <t>Packaging for drugs and solutions</t>
  </si>
  <si>
    <t>CMP00656</t>
  </si>
  <si>
    <t>SE Code</t>
  </si>
  <si>
    <t>C615130</t>
  </si>
  <si>
    <t>Color</t>
  </si>
  <si>
    <t>Long Description 254 Enriched</t>
  </si>
  <si>
    <t>Short Description 60 Enriched1</t>
  </si>
  <si>
    <t>Short Description</t>
  </si>
  <si>
    <t>Descr Status</t>
  </si>
  <si>
    <t>Classification Remarks1</t>
  </si>
  <si>
    <t>SE Comments</t>
  </si>
  <si>
    <t>Keyed Standard Guide Pin</t>
  </si>
  <si>
    <t>Delivered</t>
  </si>
  <si>
    <t>SlNo</t>
  </si>
  <si>
    <t>Standardized Manufacturer Name</t>
  </si>
  <si>
    <t>CURITEVA_FHGP23</t>
  </si>
  <si>
    <t>Mfg Name</t>
  </si>
  <si>
    <t>Accepted Date</t>
  </si>
  <si>
    <t>Standardized UNSPSC</t>
  </si>
  <si>
    <t>Sort Comment</t>
  </si>
  <si>
    <t>Source</t>
  </si>
  <si>
    <t>RefName</t>
  </si>
  <si>
    <t>Keyed Gun Inserter Guide Pin</t>
  </si>
  <si>
    <t>Material</t>
  </si>
  <si>
    <t>PDF</t>
  </si>
  <si>
    <t>Latex</t>
  </si>
  <si>
    <t>Guide Pin Gun Inserter</t>
  </si>
  <si>
    <t>Item Description (Long Description)</t>
  </si>
  <si>
    <t>CURITEVA</t>
  </si>
  <si>
    <t>HCPCS code</t>
  </si>
  <si>
    <t>Item Name (Short Description)</t>
  </si>
  <si>
    <t>Potential / Desc Duplicate across Consolidated</t>
  </si>
  <si>
    <t>SI-Lution Guide Pin Extension 3.2 x 500mm</t>
  </si>
  <si>
    <t>Project1</t>
  </si>
  <si>
    <t>ProdigoItemKey1</t>
  </si>
  <si>
    <t>64kProdigoItemKey</t>
  </si>
  <si>
    <t>Disposable</t>
  </si>
  <si>
    <t>Source1</t>
  </si>
  <si>
    <t>To_Process</t>
  </si>
  <si>
    <t>Customer Code</t>
  </si>
  <si>
    <t>PRODIGO1066108</t>
  </si>
  <si>
    <t>Project_Code</t>
  </si>
  <si>
    <t>UNSPC V24</t>
  </si>
  <si>
    <t>QA Code</t>
  </si>
  <si>
    <t>Prodigo Standard Short Description - 254</t>
  </si>
  <si>
    <t>Delivered Date</t>
  </si>
  <si>
    <t>Production User</t>
  </si>
  <si>
    <t>Remarks1</t>
  </si>
  <si>
    <t>PRODIGO1066114</t>
  </si>
  <si>
    <t>Item Description (Long Description 4000)1</t>
  </si>
  <si>
    <t>SZG</t>
  </si>
  <si>
    <t>Guide Pin 23mm</t>
  </si>
  <si>
    <t>File Name</t>
  </si>
  <si>
    <t>Location</t>
  </si>
  <si>
    <t>016-243-1</t>
  </si>
  <si>
    <t>11kProdigoItemKey</t>
  </si>
  <si>
    <t>Project</t>
  </si>
  <si>
    <t>Remarks</t>
  </si>
  <si>
    <t>FHGP27</t>
  </si>
  <si>
    <t>Ref</t>
  </si>
  <si>
    <t>QA Comments</t>
  </si>
  <si>
    <t>Tab</t>
  </si>
  <si>
    <t>PRODIGO1066112</t>
  </si>
  <si>
    <t>QE Comments</t>
  </si>
  <si>
    <t>UNSPSC Description1</t>
  </si>
  <si>
    <t>FGP23</t>
  </si>
  <si>
    <t>42321512  Bone fixation pin or wire</t>
  </si>
  <si>
    <t>42293414  Introducer or guide pin or guidewire or glidewire or guide rod</t>
  </si>
  <si>
    <t>42296804  Neurosurgical or spinal instruments</t>
  </si>
  <si>
    <t>42292101  Surgical inserters or inserters kits</t>
  </si>
  <si>
    <t>SI-LUTION EXCHANGE PIN 500MM</t>
  </si>
  <si>
    <t>PIN, FIXATION, SI-LUTION</t>
  </si>
  <si>
    <t>PIN, FIX, SI-LUTION</t>
  </si>
  <si>
    <t>PIN</t>
  </si>
  <si>
    <t>FIXATION</t>
  </si>
  <si>
    <t>SI-LUTION</t>
  </si>
  <si>
    <t>SI-LUTION GUIDE PIN EXTENSION 3.2 X 300MM</t>
  </si>
  <si>
    <t>GUIDEPIN, ORTHOPEDIC, EXTENSION, 3.2X300 MM, SI-LUTION</t>
  </si>
  <si>
    <t>GUIDEPIN, ORTHOPEDIC, EXTN, 3.2X300 MM, SI-LUTION</t>
  </si>
  <si>
    <t>GUIDEPIN, ORTHO, EXTN, 3.2X300 MM, SI-LUTION</t>
  </si>
  <si>
    <t>GUIDEPIN</t>
  </si>
  <si>
    <t>ORTHOPAEDIC</t>
  </si>
  <si>
    <t>EXTENSION</t>
  </si>
  <si>
    <t>3.2X300 MM</t>
  </si>
  <si>
    <t>SI-LUTION GUIDE PIN EXTENSION 3.2 X 500MM</t>
  </si>
  <si>
    <t>GUIDEPIN, ORTHOPEDIC, EXTENSION, 3.2X500 MM, SI-LUTION</t>
  </si>
  <si>
    <t>GUIDEPIN, ORTHOPEDIC, EXTN, 3.2X500 MM, SI-LUTION</t>
  </si>
  <si>
    <t>GUIDEPIN, ORTHO, EXTN, 3.2X500 MM, SI-LUTION</t>
  </si>
  <si>
    <t>3.2X500 MM</t>
  </si>
  <si>
    <t>CUTTER, SURGICAL, DISC</t>
  </si>
  <si>
    <t>CUTTER, SURG, DISC</t>
  </si>
  <si>
    <t>CUTTER</t>
  </si>
  <si>
    <t>SURGICAL</t>
  </si>
  <si>
    <t>DISC</t>
  </si>
  <si>
    <t>GUIDE PIN 23MM</t>
  </si>
  <si>
    <t>GUIDEPIN, ORTHOPEDIC, 23 MM</t>
  </si>
  <si>
    <t>GUIDEPIN, ORTHO, 23 MM</t>
  </si>
  <si>
    <t>23 MM</t>
  </si>
  <si>
    <t>KEYED STANDARD GUIDE PIN</t>
  </si>
  <si>
    <t>GUIDEPIN, ORTHOPEDIC, KEYED, STANDARD</t>
  </si>
  <si>
    <t>GUIDEPIN, ORTHOPEDIC, KEYED, STD</t>
  </si>
  <si>
    <t>GUIDEPIN, ORTHO, KEYED, STD</t>
  </si>
  <si>
    <t>KEYED</t>
  </si>
  <si>
    <t>STANDARD</t>
  </si>
  <si>
    <t>KEYED GUN INSERTER GUIDE PIN</t>
  </si>
  <si>
    <t>GUIDEPIN, ORTHOPEDIC, KEYED</t>
  </si>
  <si>
    <t>GUIDEPIN, ORTHO, KEYED</t>
  </si>
  <si>
    <t>INSERTER, SURGICAL, GUIDEPIN,  GUN</t>
  </si>
  <si>
    <t>INSERTER, SURG, GUIDEPIN,  GUN</t>
  </si>
  <si>
    <t>INSERTER</t>
  </si>
  <si>
    <t xml:space="preserve"> GUN</t>
  </si>
  <si>
    <t>URL NOT FOUND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</si>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</sst>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0" fillId="0" borderId="1" xfId="0" applyNumberFormat="1" applyFont="1" applyAlignment="1">
      <alignment horizontal="left"/>
    </xf>
    <xf numFmtId="49" fontId="0" fillId="0" borderId="1" xfId="0" applyNumberFormat="1" applyFont="1" applyAlignment="1">
      <alignment horizontal="left"/>
    </xf>
    <xf numFmtId="0" fontId="0" fillId="0" borderId="1" xfId="0" applyAlignment="1">
      <alignment horizontal="left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0" fillId="0" borderId="1" xfId="0" applyNumberForma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" style="1" customWidth="1"/>
    <col min="23" max="23" width="12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1" width="14.28515625" style="1" customWidth="1"/>
    <col min="32" max="32" width="22.5703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1.42578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124</v>
      </c>
      <c r="B1" s="2" t="s">
        <v>30</v>
      </c>
      <c r="C1" s="2" t="s">
        <v>141</v>
      </c>
      <c r="D1" s="2" t="s">
        <v>87</v>
      </c>
      <c r="E1" s="2" t="s">
        <v>95</v>
      </c>
      <c r="F1" s="2" t="s">
        <v>131</v>
      </c>
      <c r="G1" s="2" t="s">
        <v>18</v>
      </c>
      <c r="H1" s="2" t="s">
        <v>83</v>
      </c>
      <c r="I1" s="2" t="s">
        <v>52</v>
      </c>
      <c r="J1" s="2" t="s">
        <v>104</v>
      </c>
      <c r="K1" s="2" t="s">
        <v>38</v>
      </c>
      <c r="L1" s="2" t="s">
        <v>148</v>
      </c>
      <c r="M1" s="2" t="s">
        <v>128</v>
      </c>
      <c r="N1" s="2" t="s">
        <v>145</v>
      </c>
      <c r="O1" s="2" t="s">
        <v>36</v>
      </c>
      <c r="P1" s="2" t="s">
        <v>55</v>
      </c>
      <c r="Q1" s="2" t="s">
        <v>48</v>
      </c>
      <c r="R1" s="2" t="s">
        <v>102</v>
      </c>
      <c r="S1" s="2" t="s">
        <v>44</v>
      </c>
      <c r="T1" s="2" t="s">
        <v>42</v>
      </c>
      <c r="U1" s="3" t="s">
        <v>144</v>
      </c>
      <c r="V1" s="3" t="s">
        <v>98</v>
      </c>
      <c r="W1" s="4" t="s">
        <v>101</v>
      </c>
      <c r="X1" s="4" t="s">
        <v>99</v>
      </c>
      <c r="Y1" s="5" t="s">
        <v>33</v>
      </c>
      <c r="Z1" s="6" t="s">
        <v>17</v>
      </c>
      <c r="AA1" s="6" t="s">
        <v>47</v>
      </c>
      <c r="AB1" s="5" t="s">
        <v>77</v>
      </c>
      <c r="AC1" s="2" t="s">
        <v>106</v>
      </c>
      <c r="AD1" s="2" t="s">
        <v>13</v>
      </c>
      <c r="AE1" s="7" t="s">
        <v>62</v>
      </c>
      <c r="AF1" s="2" t="s">
        <v>71</v>
      </c>
      <c r="AG1" s="4" t="s">
        <v>81</v>
      </c>
      <c r="AH1" s="4" t="s">
        <v>103</v>
      </c>
      <c r="AI1" s="4" t="s">
        <v>31</v>
      </c>
      <c r="AJ1" s="4" t="s">
        <v>115</v>
      </c>
      <c r="AK1" s="4" t="s">
        <v>112</v>
      </c>
      <c r="AL1" s="4" t="s">
        <v>79</v>
      </c>
      <c r="AM1" s="4" t="s">
        <v>1</v>
      </c>
      <c r="AN1" s="4" t="s">
        <v>105</v>
      </c>
      <c r="AO1" s="5" t="s">
        <v>127</v>
      </c>
      <c r="AP1" s="2" t="s">
        <v>114</v>
      </c>
      <c r="AQ1" s="2" t="s">
        <v>59</v>
      </c>
      <c r="AR1" s="8" t="s">
        <v>56</v>
      </c>
      <c r="AS1" s="5" t="s">
        <v>58</v>
      </c>
      <c r="AT1" s="5" t="s">
        <v>90</v>
      </c>
      <c r="AU1" s="9" t="s">
        <v>92</v>
      </c>
      <c r="AV1" s="9" t="s">
        <v>23</v>
      </c>
      <c r="AW1" s="10" t="s">
        <v>41</v>
      </c>
      <c r="AX1" s="8" t="s">
        <v>35</v>
      </c>
      <c r="AY1" s="8" t="s">
        <v>15</v>
      </c>
      <c r="AZ1" s="8" t="s">
        <v>40</v>
      </c>
      <c r="BA1" s="8" t="s">
        <v>0</v>
      </c>
      <c r="BB1" s="8" t="s">
        <v>73</v>
      </c>
      <c r="BC1" s="8" t="s">
        <v>74</v>
      </c>
      <c r="BD1" s="8" t="s">
        <v>68</v>
      </c>
      <c r="BE1" s="8" t="s">
        <v>84</v>
      </c>
      <c r="BF1" s="8" t="s">
        <v>78</v>
      </c>
      <c r="BG1" s="8" t="s">
        <v>138</v>
      </c>
      <c r="BH1" s="8" t="s">
        <v>70</v>
      </c>
      <c r="BI1" s="8" t="s">
        <v>108</v>
      </c>
      <c r="BJ1" s="8" t="s">
        <v>85</v>
      </c>
      <c r="BK1" s="8" t="s">
        <v>89</v>
      </c>
      <c r="BL1" s="8" t="s">
        <v>16</v>
      </c>
      <c r="BM1" s="8" t="s">
        <v>67</v>
      </c>
      <c r="BN1" s="8" t="s">
        <v>110</v>
      </c>
      <c r="BO1" s="8" t="s">
        <v>121</v>
      </c>
      <c r="BP1" s="8" t="s">
        <v>6</v>
      </c>
      <c r="BQ1" s="5" t="s">
        <v>53</v>
      </c>
      <c r="BR1" s="5" t="s">
        <v>109</v>
      </c>
      <c r="BS1" s="8" t="s">
        <v>80</v>
      </c>
      <c r="BT1" s="8" t="s">
        <v>3</v>
      </c>
      <c r="BU1" s="8" t="s">
        <v>142</v>
      </c>
      <c r="BV1" s="8" t="s">
        <v>45</v>
      </c>
      <c r="BW1" s="8" t="s">
        <v>116</v>
      </c>
      <c r="BX1" s="8" t="s">
        <v>61</v>
      </c>
      <c r="BY1" s="8" t="s">
        <v>93</v>
      </c>
      <c r="BZ1" s="8" t="s">
        <v>60</v>
      </c>
      <c r="CA1" s="11" t="s">
        <v>63</v>
      </c>
      <c r="CB1" s="11" t="s">
        <v>20</v>
      </c>
      <c r="CC1" s="11" t="s">
        <v>149</v>
      </c>
      <c r="CD1" s="11" t="s">
        <v>7</v>
      </c>
      <c r="CE1" s="11" t="s">
        <v>134</v>
      </c>
      <c r="CF1" s="11" t="s">
        <v>91</v>
      </c>
      <c r="CG1" s="11" t="s">
        <v>43</v>
      </c>
      <c r="CH1" s="11" t="s">
        <v>129</v>
      </c>
      <c r="CI1" s="11" t="s">
        <v>49</v>
      </c>
      <c r="CJ1" s="11" t="s">
        <v>46</v>
      </c>
      <c r="CK1" s="11" t="s">
        <v>51</v>
      </c>
      <c r="CL1" s="11" t="s">
        <v>76</v>
      </c>
      <c r="CM1" s="11" t="s">
        <v>94</v>
      </c>
      <c r="CN1" s="11" t="s">
        <v>132</v>
      </c>
      <c r="CO1" s="11" t="s">
        <v>5</v>
      </c>
      <c r="CP1" s="11" t="s">
        <v>146</v>
      </c>
      <c r="CQ1" s="11" t="s">
        <v>126</v>
      </c>
      <c r="CR1" s="11" t="s">
        <v>137</v>
      </c>
      <c r="CS1" s="11" t="s">
        <v>26</v>
      </c>
      <c r="CT1" s="12" t="s">
        <v>119</v>
      </c>
      <c r="CU1" s="12" t="s">
        <v>123</v>
      </c>
      <c r="CV1" s="12" t="s">
        <v>120</v>
      </c>
      <c r="CW1" s="12" t="s">
        <v>140</v>
      </c>
      <c r="CX1" s="13" t="s">
        <v>118</v>
      </c>
      <c r="CY1" s="14" t="s">
        <v>10</v>
      </c>
      <c r="CZ1" s="13" t="s">
        <v>50</v>
      </c>
      <c r="DA1" s="15" t="s">
        <v>2</v>
      </c>
      <c r="DB1" s="15" t="s">
        <v>97</v>
      </c>
      <c r="DC1" s="15" t="s">
        <v>130</v>
      </c>
      <c r="DD1" s="15" t="s">
        <v>24</v>
      </c>
      <c r="DE1" s="15" t="s">
        <v>122</v>
      </c>
      <c r="DF1" s="1" t="s">
        <v>28</v>
      </c>
      <c r="DG1" s="1" t="s">
        <v>22</v>
      </c>
    </row>
    <row r="2" spans="1:111" ht="12" customHeight="1" x14ac:dyDescent="0.25">
      <c r="A2" s="16" t="s">
        <v>4</v>
      </c>
      <c r="B2" s="16" t="s">
        <v>139</v>
      </c>
      <c r="C2" s="16" t="s">
        <v>11</v>
      </c>
      <c r="D2" s="16" t="s">
        <v>135</v>
      </c>
      <c r="E2" s="16" t="s">
        <v>198</v>
      </c>
      <c r="F2" s="16" t="s">
        <v>135</v>
      </c>
      <c r="G2" s="16" t="s">
        <v>198</v>
      </c>
      <c r="H2" s="17" t="s">
        <v>82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1707</v>
      </c>
      <c r="V2" s="18">
        <v>1707</v>
      </c>
      <c r="W2" s="18" t="s">
        <v>9</v>
      </c>
      <c r="X2" s="18" t="s">
        <v>113</v>
      </c>
      <c r="Y2" s="20" t="s">
        <v>9</v>
      </c>
      <c r="Z2" s="19" t="s">
        <v>88</v>
      </c>
      <c r="AA2" s="19" t="s">
        <v>88</v>
      </c>
      <c r="AB2" s="21" t="s">
        <v>88</v>
      </c>
      <c r="AC2" s="18" t="s">
        <v>113</v>
      </c>
      <c r="AD2" s="18" t="s">
        <v>88</v>
      </c>
      <c r="AE2" s="19" t="s">
        <v>88</v>
      </c>
      <c r="AF2" s="18" t="s">
        <v>66</v>
      </c>
      <c r="AG2" s="18"/>
      <c r="AH2" s="18"/>
      <c r="AI2" s="18"/>
      <c r="AJ2" s="18" t="s">
        <v>57</v>
      </c>
      <c r="AK2" s="18"/>
      <c r="AL2" s="18">
        <v>4654</v>
      </c>
      <c r="AM2" s="18" t="s">
        <v>69</v>
      </c>
      <c r="AN2" s="18"/>
      <c r="AO2" s="22" t="s">
        <v>151</v>
      </c>
      <c r="AP2" s="18"/>
      <c r="AQ2" s="18"/>
      <c r="AR2" s="20" t="s">
        <v>155</v>
      </c>
      <c r="AS2" s="25" t="s">
        <v>156</v>
      </c>
      <c r="AT2" s="26" t="s">
        <v>156</v>
      </c>
      <c r="AU2" s="27" t="s">
        <v>157</v>
      </c>
      <c r="AV2" s="27" t="s">
        <v>157</v>
      </c>
      <c r="AW2" s="24">
        <f t="shared" ref="AW2:AW9" si="0">LEN(SUBSTITUTE(AV2,", ",","))</f>
        <v>17</v>
      </c>
      <c r="AX2" s="26" t="s">
        <v>158</v>
      </c>
      <c r="AY2" s="27" t="s">
        <v>159</v>
      </c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 t="s">
        <v>160</v>
      </c>
      <c r="BN2" s="26"/>
      <c r="BO2" s="26"/>
      <c r="BP2" s="26"/>
      <c r="BQ2" s="25" t="s">
        <v>196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197</v>
      </c>
      <c r="DG2" s="1" t="s">
        <v>197</v>
      </c>
    </row>
    <row r="3" spans="1:111" ht="12" customHeight="1" x14ac:dyDescent="0.25">
      <c r="A3" s="16" t="s">
        <v>4</v>
      </c>
      <c r="B3" s="16" t="s">
        <v>139</v>
      </c>
      <c r="C3" s="16" t="s">
        <v>11</v>
      </c>
      <c r="D3" s="16" t="s">
        <v>135</v>
      </c>
      <c r="E3" s="16" t="s">
        <v>198</v>
      </c>
      <c r="F3" s="16" t="s">
        <v>135</v>
      </c>
      <c r="G3" s="16" t="s">
        <v>198</v>
      </c>
      <c r="H3" s="17" t="s">
        <v>82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1708</v>
      </c>
      <c r="V3" s="18">
        <v>1708</v>
      </c>
      <c r="W3" s="18" t="s">
        <v>9</v>
      </c>
      <c r="X3" s="18" t="s">
        <v>113</v>
      </c>
      <c r="Y3" s="20" t="s">
        <v>9</v>
      </c>
      <c r="Z3" s="19" t="s">
        <v>39</v>
      </c>
      <c r="AA3" s="19" t="s">
        <v>39</v>
      </c>
      <c r="AB3" s="21" t="s">
        <v>39</v>
      </c>
      <c r="AC3" s="18" t="s">
        <v>113</v>
      </c>
      <c r="AD3" s="18" t="s">
        <v>39</v>
      </c>
      <c r="AE3" s="19" t="s">
        <v>39</v>
      </c>
      <c r="AF3" s="18" t="s">
        <v>8</v>
      </c>
      <c r="AG3" s="18"/>
      <c r="AH3" s="18"/>
      <c r="AI3" s="18"/>
      <c r="AJ3" s="18" t="s">
        <v>14</v>
      </c>
      <c r="AK3" s="18"/>
      <c r="AL3" s="18">
        <v>4654</v>
      </c>
      <c r="AM3" s="18" t="s">
        <v>125</v>
      </c>
      <c r="AN3" s="18"/>
      <c r="AO3" s="23" t="s">
        <v>152</v>
      </c>
      <c r="AP3" s="18"/>
      <c r="AQ3" s="18"/>
      <c r="AR3" s="20" t="s">
        <v>161</v>
      </c>
      <c r="AS3" s="25" t="s">
        <v>162</v>
      </c>
      <c r="AT3" s="26" t="s">
        <v>162</v>
      </c>
      <c r="AU3" s="27" t="s">
        <v>163</v>
      </c>
      <c r="AV3" s="27" t="s">
        <v>164</v>
      </c>
      <c r="AW3" s="24">
        <f t="shared" si="0"/>
        <v>40</v>
      </c>
      <c r="AX3" s="26" t="s">
        <v>165</v>
      </c>
      <c r="AY3" s="27" t="s">
        <v>166</v>
      </c>
      <c r="AZ3" s="26" t="s">
        <v>167</v>
      </c>
      <c r="BA3" s="26"/>
      <c r="BB3" s="26"/>
      <c r="BC3" s="26" t="s">
        <v>168</v>
      </c>
      <c r="BD3" s="26"/>
      <c r="BE3" s="26"/>
      <c r="BF3" s="26"/>
      <c r="BG3" s="26"/>
      <c r="BH3" s="26"/>
      <c r="BI3" s="26"/>
      <c r="BJ3" s="26"/>
      <c r="BK3" s="26"/>
      <c r="BL3" s="26"/>
      <c r="BM3" s="26" t="s">
        <v>160</v>
      </c>
      <c r="BN3" s="26"/>
      <c r="BO3" s="26"/>
      <c r="BP3" s="26"/>
      <c r="BQ3" s="25" t="s">
        <v>196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197</v>
      </c>
      <c r="DG3" s="1" t="s">
        <v>197</v>
      </c>
    </row>
    <row r="4" spans="1:111" ht="12" customHeight="1" x14ac:dyDescent="0.25">
      <c r="A4" s="16" t="s">
        <v>4</v>
      </c>
      <c r="B4" s="16" t="s">
        <v>139</v>
      </c>
      <c r="C4" s="16" t="s">
        <v>11</v>
      </c>
      <c r="D4" s="16" t="s">
        <v>135</v>
      </c>
      <c r="E4" s="16" t="s">
        <v>198</v>
      </c>
      <c r="F4" s="16" t="s">
        <v>135</v>
      </c>
      <c r="G4" s="16" t="s">
        <v>198</v>
      </c>
      <c r="H4" s="17" t="s">
        <v>82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1709</v>
      </c>
      <c r="V4" s="18">
        <v>1709</v>
      </c>
      <c r="W4" s="18" t="s">
        <v>9</v>
      </c>
      <c r="X4" s="18" t="s">
        <v>113</v>
      </c>
      <c r="Y4" s="20" t="s">
        <v>9</v>
      </c>
      <c r="Z4" s="19" t="s">
        <v>54</v>
      </c>
      <c r="AA4" s="19" t="s">
        <v>54</v>
      </c>
      <c r="AB4" s="21" t="s">
        <v>54</v>
      </c>
      <c r="AC4" s="18" t="s">
        <v>113</v>
      </c>
      <c r="AD4" s="18" t="s">
        <v>54</v>
      </c>
      <c r="AE4" s="19" t="s">
        <v>54</v>
      </c>
      <c r="AF4" s="18" t="s">
        <v>37</v>
      </c>
      <c r="AG4" s="18"/>
      <c r="AH4" s="18"/>
      <c r="AI4" s="18"/>
      <c r="AJ4" s="18" t="s">
        <v>117</v>
      </c>
      <c r="AK4" s="18"/>
      <c r="AL4" s="18">
        <v>4654</v>
      </c>
      <c r="AM4" s="18" t="s">
        <v>32</v>
      </c>
      <c r="AN4" s="18"/>
      <c r="AO4" s="23" t="s">
        <v>152</v>
      </c>
      <c r="AP4" s="18"/>
      <c r="AQ4" s="18"/>
      <c r="AR4" s="20" t="s">
        <v>169</v>
      </c>
      <c r="AS4" s="25" t="s">
        <v>170</v>
      </c>
      <c r="AT4" s="26" t="s">
        <v>170</v>
      </c>
      <c r="AU4" s="27" t="s">
        <v>171</v>
      </c>
      <c r="AV4" s="27" t="s">
        <v>172</v>
      </c>
      <c r="AW4" s="24">
        <f t="shared" si="0"/>
        <v>40</v>
      </c>
      <c r="AX4" s="26" t="s">
        <v>165</v>
      </c>
      <c r="AY4" s="27" t="s">
        <v>166</v>
      </c>
      <c r="AZ4" s="26" t="s">
        <v>167</v>
      </c>
      <c r="BA4" s="26"/>
      <c r="BB4" s="26"/>
      <c r="BC4" s="26" t="s">
        <v>173</v>
      </c>
      <c r="BD4" s="26"/>
      <c r="BE4" s="26"/>
      <c r="BF4" s="26"/>
      <c r="BG4" s="26"/>
      <c r="BH4" s="26"/>
      <c r="BI4" s="26"/>
      <c r="BJ4" s="26"/>
      <c r="BK4" s="26"/>
      <c r="BL4" s="26"/>
      <c r="BM4" s="26" t="s">
        <v>160</v>
      </c>
      <c r="BN4" s="26"/>
      <c r="BO4" s="26"/>
      <c r="BP4" s="26"/>
      <c r="BQ4" s="25" t="s">
        <v>196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197</v>
      </c>
      <c r="DG4" s="1" t="s">
        <v>197</v>
      </c>
    </row>
    <row r="5" spans="1:111" ht="12" customHeight="1" x14ac:dyDescent="0.25">
      <c r="A5" s="16" t="s">
        <v>4</v>
      </c>
      <c r="B5" s="16" t="s">
        <v>139</v>
      </c>
      <c r="C5" s="16" t="s">
        <v>11</v>
      </c>
      <c r="D5" s="16" t="s">
        <v>135</v>
      </c>
      <c r="E5" s="16" t="s">
        <v>198</v>
      </c>
      <c r="F5" s="16" t="s">
        <v>135</v>
      </c>
      <c r="G5" s="16" t="s">
        <v>198</v>
      </c>
      <c r="H5" s="17" t="s">
        <v>82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1710</v>
      </c>
      <c r="V5" s="18">
        <v>1710</v>
      </c>
      <c r="W5" s="18" t="s">
        <v>9</v>
      </c>
      <c r="X5" s="18" t="s">
        <v>113</v>
      </c>
      <c r="Y5" s="20" t="s">
        <v>9</v>
      </c>
      <c r="Z5" s="19" t="s">
        <v>86</v>
      </c>
      <c r="AA5" s="19" t="s">
        <v>86</v>
      </c>
      <c r="AB5" s="21" t="s">
        <v>86</v>
      </c>
      <c r="AC5" s="18" t="s">
        <v>113</v>
      </c>
      <c r="AD5" s="18" t="s">
        <v>86</v>
      </c>
      <c r="AE5" s="19" t="s">
        <v>86</v>
      </c>
      <c r="AF5" s="18" t="s">
        <v>25</v>
      </c>
      <c r="AG5" s="18"/>
      <c r="AH5" s="18"/>
      <c r="AI5" s="18"/>
      <c r="AJ5" s="18" t="s">
        <v>21</v>
      </c>
      <c r="AK5" s="18"/>
      <c r="AL5" s="18">
        <v>4654</v>
      </c>
      <c r="AM5" s="18" t="s">
        <v>64</v>
      </c>
      <c r="AN5" s="18"/>
      <c r="AO5" s="24" t="s">
        <v>153</v>
      </c>
      <c r="AP5" s="18"/>
      <c r="AQ5" s="18"/>
      <c r="AR5" s="25"/>
      <c r="AS5" s="25" t="s">
        <v>174</v>
      </c>
      <c r="AT5" s="26" t="s">
        <v>174</v>
      </c>
      <c r="AU5" s="27"/>
      <c r="AV5" s="26" t="s">
        <v>175</v>
      </c>
      <c r="AW5" s="24">
        <f t="shared" si="0"/>
        <v>16</v>
      </c>
      <c r="AX5" s="26" t="s">
        <v>176</v>
      </c>
      <c r="AY5" s="26" t="s">
        <v>177</v>
      </c>
      <c r="AZ5" s="26" t="s">
        <v>178</v>
      </c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2" t="s">
        <v>196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197</v>
      </c>
      <c r="DG5" s="1" t="s">
        <v>197</v>
      </c>
    </row>
    <row r="6" spans="1:111" ht="12" customHeight="1" x14ac:dyDescent="0.25">
      <c r="A6" s="16" t="s">
        <v>4</v>
      </c>
      <c r="B6" s="16" t="s">
        <v>139</v>
      </c>
      <c r="C6" s="16" t="s">
        <v>11</v>
      </c>
      <c r="D6" s="16" t="s">
        <v>135</v>
      </c>
      <c r="E6" s="16" t="s">
        <v>198</v>
      </c>
      <c r="F6" s="16" t="s">
        <v>135</v>
      </c>
      <c r="G6" s="16" t="s">
        <v>198</v>
      </c>
      <c r="H6" s="17" t="s">
        <v>82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1711</v>
      </c>
      <c r="V6" s="18">
        <v>1711</v>
      </c>
      <c r="W6" s="18" t="s">
        <v>9</v>
      </c>
      <c r="X6" s="18" t="s">
        <v>113</v>
      </c>
      <c r="Y6" s="20" t="s">
        <v>9</v>
      </c>
      <c r="Z6" s="19" t="s">
        <v>34</v>
      </c>
      <c r="AA6" s="19" t="s">
        <v>34</v>
      </c>
      <c r="AB6" s="21" t="s">
        <v>150</v>
      </c>
      <c r="AC6" s="18" t="s">
        <v>113</v>
      </c>
      <c r="AD6" s="18" t="s">
        <v>34</v>
      </c>
      <c r="AE6" s="19" t="s">
        <v>34</v>
      </c>
      <c r="AF6" s="18" t="s">
        <v>100</v>
      </c>
      <c r="AG6" s="18"/>
      <c r="AH6" s="18"/>
      <c r="AI6" s="18"/>
      <c r="AJ6" s="18" t="s">
        <v>136</v>
      </c>
      <c r="AK6" s="18"/>
      <c r="AL6" s="18">
        <v>4654</v>
      </c>
      <c r="AM6" s="18" t="s">
        <v>12</v>
      </c>
      <c r="AN6" s="18"/>
      <c r="AO6" s="23" t="s">
        <v>152</v>
      </c>
      <c r="AP6" s="18"/>
      <c r="AQ6" s="18"/>
      <c r="AR6" s="20" t="s">
        <v>179</v>
      </c>
      <c r="AS6" s="25" t="s">
        <v>180</v>
      </c>
      <c r="AT6" s="26" t="s">
        <v>180</v>
      </c>
      <c r="AU6" s="27" t="s">
        <v>180</v>
      </c>
      <c r="AV6" s="27" t="s">
        <v>181</v>
      </c>
      <c r="AW6" s="24">
        <f t="shared" si="0"/>
        <v>20</v>
      </c>
      <c r="AX6" s="26" t="s">
        <v>165</v>
      </c>
      <c r="AY6" s="27" t="s">
        <v>166</v>
      </c>
      <c r="AZ6" s="26"/>
      <c r="BA6" s="26"/>
      <c r="BB6" s="26"/>
      <c r="BC6" s="26" t="s">
        <v>182</v>
      </c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5" t="s">
        <v>196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197</v>
      </c>
      <c r="DG6" s="1" t="s">
        <v>197</v>
      </c>
    </row>
    <row r="7" spans="1:111" ht="12" customHeight="1" x14ac:dyDescent="0.25">
      <c r="A7" s="16" t="s">
        <v>4</v>
      </c>
      <c r="B7" s="16" t="s">
        <v>139</v>
      </c>
      <c r="C7" s="16" t="s">
        <v>11</v>
      </c>
      <c r="D7" s="16" t="s">
        <v>135</v>
      </c>
      <c r="E7" s="16" t="s">
        <v>198</v>
      </c>
      <c r="F7" s="16" t="s">
        <v>135</v>
      </c>
      <c r="G7" s="16" t="s">
        <v>198</v>
      </c>
      <c r="H7" s="17" t="s">
        <v>82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1712</v>
      </c>
      <c r="V7" s="18">
        <v>1712</v>
      </c>
      <c r="W7" s="18" t="s">
        <v>9</v>
      </c>
      <c r="X7" s="18" t="s">
        <v>113</v>
      </c>
      <c r="Y7" s="20" t="s">
        <v>9</v>
      </c>
      <c r="Z7" s="19" t="s">
        <v>143</v>
      </c>
      <c r="AA7" s="19" t="s">
        <v>143</v>
      </c>
      <c r="AB7" s="21" t="s">
        <v>143</v>
      </c>
      <c r="AC7" s="18" t="s">
        <v>113</v>
      </c>
      <c r="AD7" s="18" t="s">
        <v>143</v>
      </c>
      <c r="AE7" s="19" t="s">
        <v>143</v>
      </c>
      <c r="AF7" s="18" t="s">
        <v>29</v>
      </c>
      <c r="AG7" s="18"/>
      <c r="AH7" s="18"/>
      <c r="AI7" s="18"/>
      <c r="AJ7" s="18" t="s">
        <v>96</v>
      </c>
      <c r="AK7" s="18"/>
      <c r="AL7" s="18">
        <v>4654</v>
      </c>
      <c r="AM7" s="18" t="s">
        <v>147</v>
      </c>
      <c r="AN7" s="18"/>
      <c r="AO7" s="22" t="s">
        <v>152</v>
      </c>
      <c r="AP7" s="18"/>
      <c r="AQ7" s="18"/>
      <c r="AR7" s="20" t="s">
        <v>183</v>
      </c>
      <c r="AS7" s="25" t="s">
        <v>184</v>
      </c>
      <c r="AT7" s="26" t="s">
        <v>184</v>
      </c>
      <c r="AU7" s="27" t="s">
        <v>185</v>
      </c>
      <c r="AV7" s="27" t="s">
        <v>186</v>
      </c>
      <c r="AW7" s="24">
        <f t="shared" si="0"/>
        <v>24</v>
      </c>
      <c r="AX7" s="26" t="s">
        <v>165</v>
      </c>
      <c r="AY7" s="27" t="s">
        <v>166</v>
      </c>
      <c r="AZ7" s="26" t="s">
        <v>187</v>
      </c>
      <c r="BA7" s="26" t="s">
        <v>188</v>
      </c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5" t="s">
        <v>196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197</v>
      </c>
      <c r="DG7" s="1" t="s">
        <v>197</v>
      </c>
    </row>
    <row r="8" spans="1:111" ht="12" customHeight="1" x14ac:dyDescent="0.25">
      <c r="A8" s="16" t="s">
        <v>4</v>
      </c>
      <c r="B8" s="16" t="s">
        <v>139</v>
      </c>
      <c r="C8" s="16" t="s">
        <v>11</v>
      </c>
      <c r="D8" s="16" t="s">
        <v>135</v>
      </c>
      <c r="E8" s="16" t="s">
        <v>198</v>
      </c>
      <c r="F8" s="16" t="s">
        <v>135</v>
      </c>
      <c r="G8" s="16" t="s">
        <v>198</v>
      </c>
      <c r="H8" s="17" t="s">
        <v>82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1713</v>
      </c>
      <c r="V8" s="18">
        <v>1713</v>
      </c>
      <c r="W8" s="18" t="s">
        <v>9</v>
      </c>
      <c r="X8" s="18" t="s">
        <v>113</v>
      </c>
      <c r="Y8" s="20" t="s">
        <v>9</v>
      </c>
      <c r="Z8" s="19" t="s">
        <v>72</v>
      </c>
      <c r="AA8" s="19" t="s">
        <v>72</v>
      </c>
      <c r="AB8" s="21" t="s">
        <v>72</v>
      </c>
      <c r="AC8" s="18" t="s">
        <v>113</v>
      </c>
      <c r="AD8" s="18" t="s">
        <v>72</v>
      </c>
      <c r="AE8" s="19" t="s">
        <v>72</v>
      </c>
      <c r="AF8" s="18" t="s">
        <v>19</v>
      </c>
      <c r="AG8" s="18"/>
      <c r="AH8" s="18"/>
      <c r="AI8" s="18"/>
      <c r="AJ8" s="18" t="s">
        <v>107</v>
      </c>
      <c r="AK8" s="18"/>
      <c r="AL8" s="18">
        <v>4654</v>
      </c>
      <c r="AM8" s="18" t="s">
        <v>75</v>
      </c>
      <c r="AN8" s="18"/>
      <c r="AO8" s="22" t="s">
        <v>152</v>
      </c>
      <c r="AP8" s="18"/>
      <c r="AQ8" s="18"/>
      <c r="AR8" s="20" t="s">
        <v>189</v>
      </c>
      <c r="AS8" s="25" t="s">
        <v>190</v>
      </c>
      <c r="AT8" s="26" t="s">
        <v>190</v>
      </c>
      <c r="AU8" s="27" t="s">
        <v>190</v>
      </c>
      <c r="AV8" s="27" t="s">
        <v>191</v>
      </c>
      <c r="AW8" s="24">
        <f t="shared" si="0"/>
        <v>20</v>
      </c>
      <c r="AX8" s="26" t="s">
        <v>165</v>
      </c>
      <c r="AY8" s="27" t="s">
        <v>166</v>
      </c>
      <c r="AZ8" s="26" t="s">
        <v>187</v>
      </c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5" t="s">
        <v>196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197</v>
      </c>
      <c r="DG8" s="1" t="s">
        <v>197</v>
      </c>
    </row>
    <row r="9" spans="1:111" ht="12" customHeight="1" x14ac:dyDescent="0.25">
      <c r="A9" s="16" t="s">
        <v>4</v>
      </c>
      <c r="B9" s="16" t="s">
        <v>139</v>
      </c>
      <c r="C9" s="16" t="s">
        <v>11</v>
      </c>
      <c r="D9" s="16" t="s">
        <v>135</v>
      </c>
      <c r="E9" s="16" t="s">
        <v>198</v>
      </c>
      <c r="F9" s="16" t="s">
        <v>135</v>
      </c>
      <c r="G9" s="16" t="s">
        <v>198</v>
      </c>
      <c r="H9" s="17" t="s">
        <v>82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1714</v>
      </c>
      <c r="V9" s="18">
        <v>1714</v>
      </c>
      <c r="W9" s="18" t="s">
        <v>9</v>
      </c>
      <c r="X9" s="18" t="s">
        <v>113</v>
      </c>
      <c r="Y9" s="20" t="s">
        <v>9</v>
      </c>
      <c r="Z9" s="19" t="s">
        <v>27</v>
      </c>
      <c r="AA9" s="19" t="s">
        <v>27</v>
      </c>
      <c r="AB9" s="21" t="s">
        <v>27</v>
      </c>
      <c r="AC9" s="18" t="s">
        <v>113</v>
      </c>
      <c r="AD9" s="18" t="s">
        <v>27</v>
      </c>
      <c r="AE9" s="19" t="s">
        <v>27</v>
      </c>
      <c r="AF9" s="18" t="s">
        <v>65</v>
      </c>
      <c r="AG9" s="18"/>
      <c r="AH9" s="18"/>
      <c r="AI9" s="18"/>
      <c r="AJ9" s="18" t="s">
        <v>111</v>
      </c>
      <c r="AK9" s="18"/>
      <c r="AL9" s="18">
        <v>4654</v>
      </c>
      <c r="AM9" s="18" t="s">
        <v>133</v>
      </c>
      <c r="AN9" s="18"/>
      <c r="AO9" s="24" t="s">
        <v>154</v>
      </c>
      <c r="AP9" s="18"/>
      <c r="AQ9" s="18"/>
      <c r="AR9" s="22"/>
      <c r="AS9" s="25" t="s">
        <v>192</v>
      </c>
      <c r="AT9" s="26" t="s">
        <v>192</v>
      </c>
      <c r="AU9" s="27"/>
      <c r="AV9" s="26" t="s">
        <v>193</v>
      </c>
      <c r="AW9" s="24">
        <f t="shared" si="0"/>
        <v>27</v>
      </c>
      <c r="AX9" s="26" t="s">
        <v>194</v>
      </c>
      <c r="AY9" s="26" t="s">
        <v>177</v>
      </c>
      <c r="AZ9" s="26" t="s">
        <v>165</v>
      </c>
      <c r="BA9" s="26"/>
      <c r="BB9" s="26"/>
      <c r="BC9" s="26"/>
      <c r="BD9" s="26"/>
      <c r="BE9" s="26"/>
      <c r="BF9" s="26"/>
      <c r="BG9" s="26"/>
      <c r="BH9" s="26" t="s">
        <v>195</v>
      </c>
      <c r="BI9" s="26"/>
      <c r="BJ9" s="26"/>
      <c r="BK9" s="26"/>
      <c r="BL9" s="26"/>
      <c r="BM9" s="26"/>
      <c r="BN9" s="26"/>
      <c r="BO9" s="26"/>
      <c r="BP9" s="26"/>
      <c r="BQ9" s="22" t="s">
        <v>196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197</v>
      </c>
      <c r="DG9" s="1" t="s">
        <v>197</v>
      </c>
    </row>
  </sheetData>
  <autoFilter ref="A1:DG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2023-08-17T09:36:01Z</dcterms:modified>
  <cp:category/>
</cp:coreProperties>
</file>