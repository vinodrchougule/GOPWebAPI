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OP 2023 -GRIHA to shobha mam\GOP dates\"/>
    </mc:Choice>
  </mc:AlternateContent>
  <xr:revisionPtr revIDLastSave="0" documentId="13_ncr:1_{CF989A07-BA16-4685-ACF5-2172E0FF20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1" l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<sst xmlns="http://schemas.openxmlformats.org/spreadsheetml/2006/main" count="163" uniqueCount="74">
  <si>
    <t>SYQ</t>
  </si>
  <si>
    <t>Production User</t>
  </si>
  <si>
    <t>Activities</t>
  </si>
  <si>
    <t>XAVITAZ 2.5GM INJECTION</t>
  </si>
  <si>
    <t>Classification</t>
  </si>
  <si>
    <t>Aster Mother IP</t>
  </si>
  <si>
    <t>RELIANT PLUS POLY AXIAL SCREW 4 X 12 MM - RPP412 - GESCO</t>
  </si>
  <si>
    <t>SLNO</t>
  </si>
  <si>
    <t>PRODUCT CREATED TIM</t>
  </si>
  <si>
    <t>RESPONSIBLE PERSON</t>
  </si>
  <si>
    <t>MIMS Hospital Kannur- Pharmacy OP IO, MIMS Hospital Kannur- Pharmacy IP IO</t>
  </si>
  <si>
    <t>REQUEST DATE</t>
  </si>
  <si>
    <t>LEAFLET A4 SIZE MULTICOLOUR</t>
  </si>
  <si>
    <t>UNIT</t>
  </si>
  <si>
    <t>I</t>
  </si>
  <si>
    <t>REMARKS IF ISSUES MARK AS "E"</t>
  </si>
  <si>
    <t>M</t>
  </si>
  <si>
    <t>RV Hospital Service</t>
  </si>
  <si>
    <t>13/05/2023</t>
  </si>
  <si>
    <t>BIOPSY SEMI AUTOMATED MISSION KIT 18Gx16CM 1816MSK-BARD</t>
  </si>
  <si>
    <t>FINAL PRODUCT CREATED CODE</t>
  </si>
  <si>
    <t>RECIVE CATEGORY</t>
  </si>
  <si>
    <t>TAXONOMY</t>
  </si>
  <si>
    <t>STATUS - MODIFY/NEW/REJECT</t>
  </si>
  <si>
    <t>PRODUCT CREATED DATE</t>
  </si>
  <si>
    <t>Whitefield Hospital IP, Whitefield Hospital OP</t>
  </si>
  <si>
    <t>CMI Hospital IP, CMI Hospital OP, Whitefield Hospital IP, Whitefield Hospital OP, RV Hospital IP, RV Hospital OP</t>
  </si>
  <si>
    <t>NO</t>
  </si>
  <si>
    <t>PROCESSED CATEGORY</t>
  </si>
  <si>
    <t>REQUEST TIME</t>
  </si>
  <si>
    <t>MIMS Hospital Kannur- Pharmacy OP IO, MIMS Hospital Kannur- Pharmacy IP IO, MIMS Hospital Kannur- Service IO</t>
  </si>
  <si>
    <t>HOSPITAL BEAUTIFICATION WORKS</t>
  </si>
  <si>
    <t>MIMS Hospital Kannur- Capex IO, MIMS Hospital Kannur- Service IO</t>
  </si>
  <si>
    <t>P</t>
  </si>
  <si>
    <t>Supply &amp; installation of main entrance glass door</t>
  </si>
  <si>
    <t>TRACHEOSTOMY TUBE 4.5 UNCUFFED 100/506/045 PORTEX</t>
  </si>
  <si>
    <t>Status</t>
  </si>
  <si>
    <t>GIVEN ITEM NAME</t>
  </si>
  <si>
    <t>PROCESSED Y/N</t>
  </si>
  <si>
    <t>COMMENTS</t>
  </si>
  <si>
    <t>MIMS Hospital Calicut- Pharmacy OP, MIMS Hospital Calicut- Pharmacy IP</t>
  </si>
  <si>
    <t>ONCOFLOUR 500MG INJECTION</t>
  </si>
  <si>
    <t>FINAL PRODUCT CREATED ITEM NAME</t>
  </si>
  <si>
    <t>Production Comments</t>
  </si>
  <si>
    <t>CONSIGNMENT</t>
  </si>
  <si>
    <t>YES</t>
  </si>
  <si>
    <t xml:space="preserve">TAT </t>
  </si>
  <si>
    <t>CLAVICLE HOOK 04 HOLE LEFT TITANIUM LCP N611L04 - NEBULA</t>
  </si>
  <si>
    <t>NEW</t>
  </si>
  <si>
    <t>Indirect.Facilities.Facilities Maintenance.Facilities Maintenance.Facilities Maintenance Services General</t>
  </si>
  <si>
    <t>SNEHAJA</t>
  </si>
  <si>
    <t>Y</t>
  </si>
  <si>
    <t>SUPPLY &amp; INSTALLATION OF MAIN ENTRANCE GLASS DOOR</t>
  </si>
  <si>
    <t>3-I-D-A1AT-XX09-XX09-00420</t>
  </si>
  <si>
    <t>Indirect/MRO Supplies/Construction/Construction Services/</t>
  </si>
  <si>
    <t>Indirect / General And Administrative / Printing and Stationery / Printing and Stationery</t>
  </si>
  <si>
    <t>MODIFY</t>
  </si>
  <si>
    <t>C</t>
  </si>
  <si>
    <t>Direct / Medical &amp; Surgical Instruments / Other Medical &amp; Surgical Instruments / Biopsy Instruments / Biopsy Instruments</t>
  </si>
  <si>
    <t>MISSION BIOPSY INSTRUMENT KIT-DISPOSABLE-18G*16CM-1816MSK-BARD</t>
  </si>
  <si>
    <t>3-F-AU7-AC5-AS06-XX09-00003</t>
  </si>
  <si>
    <t>Direct / Medical Consumables / Medical Consumables Miscellaneous / Endotracheal Tube &amp; Accessories</t>
  </si>
  <si>
    <t>TRACHEOSTOMY 4.5MM TUBES UNCUFFED PORTEX BLUE LINE 100/506/045 SMITH MEDICAL</t>
  </si>
  <si>
    <t>3-C-AM5-XX-FH20-XX09-00057</t>
  </si>
  <si>
    <t>Direct / Prostheses And Implants / Orthopedic Trauma Implants / Bone Plate</t>
  </si>
  <si>
    <t>3-D-AQ7-XX-DU41-XX09-00427</t>
  </si>
  <si>
    <t>Direct / Prostheses And Implants / Spinal Implants / Spinal Screw</t>
  </si>
  <si>
    <t>SCREWS 4MM X 12MM POLYAXIAL RELIANT PLUS RPP412 -GESCO</t>
  </si>
  <si>
    <t>3-D-BD5-XX-GO15-XX09-00087</t>
  </si>
  <si>
    <t>Direct / Pharmaceutical Drugs / Anti-Infectives (Systemic) / Cephalosporins / CEFTAZIDIME PENTAHYDRATE + AVIBACTAM SODIUM</t>
  </si>
  <si>
    <t>3-A-AQ58-DF-AS57-AW35-X-00001</t>
  </si>
  <si>
    <t>Direct.Pharmaceutical Drugs.Oncology.Cytotoxic Chemotherapy.FLUOROURACIL</t>
  </si>
  <si>
    <t>3-A-BD28-DF-FW30-BS10-X-00001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</si>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</sst>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11"/>
      <color rgb="FF242424"/>
      <name val="Segoe UI"/>
      <family val="2"/>
    </font>
    <font>
      <sz val="9"/>
      <color rgb="FF242424"/>
      <name val="Segoe UI"/>
      <family val="2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 applyBorder="1"/>
    <xf numFmtId="0" fontId="7" fillId="0" borderId="0" xfId="0" applyFont="1" applyBorder="1"/>
    <xf numFmtId="20" fontId="8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10" fillId="0" borderId="0" xfId="0" applyFont="1" applyBorder="1"/>
    <xf numFmtId="0" fontId="11" fillId="0" borderId="0" xfId="0" applyFont="1" applyFill="1" applyBorder="1"/>
    <xf numFmtId="0" fontId="11" fillId="0" borderId="1" xfId="0" applyFont="1"/>
    <xf numFmtId="0" fontId="0" fillId="0" borderId="1" xfId="0" applyAlignment="1">
      <alignment horizontal="center"/>
    </xf>
    <xf numFmtId="14" fontId="0" fillId="0" borderId="1" xfId="0" applyNumberFormat="1"/>
    <xf numFmtId="20" fontId="0" fillId="0" borderId="1" xfId="0" applyNumberFormat="1" applyAlignment="1">
      <alignment horizontal="center"/>
    </xf>
    <xf numFmtId="0" fontId="9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"/>
  <sheetViews>
    <sheetView tabSelected="1" workbookViewId="0">
      <selection activeCell="W15" sqref="W15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90.5546875" style="1" customWidth="1"/>
    <col min="9" max="9" width="63.8867187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7</v>
      </c>
      <c r="B1" s="2" t="s">
        <v>1</v>
      </c>
      <c r="C1" s="2" t="s">
        <v>2</v>
      </c>
      <c r="D1" s="3" t="s">
        <v>11</v>
      </c>
      <c r="E1" s="3" t="s">
        <v>29</v>
      </c>
      <c r="F1" s="3" t="s">
        <v>21</v>
      </c>
      <c r="G1" s="3" t="s">
        <v>44</v>
      </c>
      <c r="H1" s="3" t="s">
        <v>13</v>
      </c>
      <c r="I1" s="3" t="s">
        <v>37</v>
      </c>
      <c r="J1" s="4" t="s">
        <v>23</v>
      </c>
      <c r="K1" s="4" t="s">
        <v>28</v>
      </c>
      <c r="L1" s="4" t="s">
        <v>22</v>
      </c>
      <c r="M1" s="4" t="s">
        <v>9</v>
      </c>
      <c r="N1" s="4" t="s">
        <v>38</v>
      </c>
      <c r="O1" s="4" t="s">
        <v>24</v>
      </c>
      <c r="P1" s="4" t="s">
        <v>8</v>
      </c>
      <c r="Q1" s="4" t="s">
        <v>42</v>
      </c>
      <c r="R1" s="4" t="s">
        <v>20</v>
      </c>
      <c r="S1" s="4" t="s">
        <v>46</v>
      </c>
      <c r="T1" s="4" t="s">
        <v>15</v>
      </c>
      <c r="U1" s="4" t="s">
        <v>39</v>
      </c>
      <c r="V1" s="1" t="s">
        <v>36</v>
      </c>
      <c r="W1" s="1" t="s">
        <v>43</v>
      </c>
    </row>
    <row r="2" spans="1:23" ht="12" customHeight="1" x14ac:dyDescent="0.4">
      <c r="A2">
        <v>20</v>
      </c>
      <c r="B2" s="5" t="s">
        <v>0</v>
      </c>
      <c r="C2" s="5" t="s">
        <v>4</v>
      </c>
      <c r="D2" s="6" t="s">
        <v>18</v>
      </c>
      <c r="E2" s="7">
        <v>0.54791666666666705</v>
      </c>
      <c r="F2" s="8" t="s">
        <v>14</v>
      </c>
      <c r="G2" s="8" t="s">
        <v>27</v>
      </c>
      <c r="H2" s="9" t="s">
        <v>17</v>
      </c>
      <c r="I2" s="6" t="s">
        <v>34</v>
      </c>
      <c r="J2" t="s">
        <v>48</v>
      </c>
      <c r="K2" t="s">
        <v>14</v>
      </c>
      <c r="L2" s="11" t="s">
        <v>49</v>
      </c>
      <c r="M2" t="s">
        <v>50</v>
      </c>
      <c r="N2" s="12" t="s">
        <v>51</v>
      </c>
      <c r="O2" s="13"/>
      <c r="P2" s="14">
        <v>0.74722222222222223</v>
      </c>
      <c r="Q2" t="s">
        <v>52</v>
      </c>
      <c r="R2" s="15" t="s">
        <v>53</v>
      </c>
      <c r="S2" s="14">
        <f t="shared" ref="S2:S10" si="0">P2-E2</f>
        <v>0.19930555555555518</v>
      </c>
      <c r="T2"/>
      <c r="U2"/>
      <c r="V2" s="1" t="s">
        <v>73</v>
      </c>
      <c r="W2" s="1" t="s">
        <v>73</v>
      </c>
    </row>
    <row r="3" spans="1:23" ht="12" customHeight="1" x14ac:dyDescent="0.4">
      <c r="A3">
        <v>21</v>
      </c>
      <c r="B3" s="5" t="s">
        <v>0</v>
      </c>
      <c r="C3" s="5" t="s">
        <v>4</v>
      </c>
      <c r="D3" s="6" t="s">
        <v>18</v>
      </c>
      <c r="E3" s="7">
        <v>0.54861111111111105</v>
      </c>
      <c r="F3" s="8" t="s">
        <v>14</v>
      </c>
      <c r="G3" s="8" t="s">
        <v>27</v>
      </c>
      <c r="H3" s="9" t="s">
        <v>32</v>
      </c>
      <c r="I3" s="6" t="s">
        <v>31</v>
      </c>
      <c r="J3" t="s">
        <v>48</v>
      </c>
      <c r="K3" s="15" t="s">
        <v>14</v>
      </c>
      <c r="L3" s="11" t="s">
        <v>54</v>
      </c>
      <c r="M3" t="s">
        <v>50</v>
      </c>
      <c r="N3" s="12" t="s">
        <v>51</v>
      </c>
      <c r="O3" s="13"/>
      <c r="P3" s="14"/>
      <c r="Q3"/>
      <c r="R3" s="15"/>
      <c r="S3" s="14">
        <f t="shared" si="0"/>
        <v>-0.54861111111111105</v>
      </c>
      <c r="T3"/>
      <c r="U3"/>
      <c r="V3" s="1" t="s">
        <v>73</v>
      </c>
      <c r="W3" s="1" t="s">
        <v>73</v>
      </c>
    </row>
    <row r="4" spans="1:23" ht="12" customHeight="1" x14ac:dyDescent="0.4">
      <c r="A4">
        <v>22</v>
      </c>
      <c r="B4" s="5" t="s">
        <v>0</v>
      </c>
      <c r="C4" s="5" t="s">
        <v>4</v>
      </c>
      <c r="D4" s="6" t="s">
        <v>18</v>
      </c>
      <c r="E4" s="7">
        <v>0.55000000000000004</v>
      </c>
      <c r="F4" s="8" t="s">
        <v>14</v>
      </c>
      <c r="G4" s="8" t="s">
        <v>27</v>
      </c>
      <c r="H4" s="9" t="s">
        <v>30</v>
      </c>
      <c r="I4" s="6" t="s">
        <v>12</v>
      </c>
      <c r="J4" t="s">
        <v>48</v>
      </c>
      <c r="K4" s="15" t="s">
        <v>14</v>
      </c>
      <c r="L4" s="11" t="s">
        <v>55</v>
      </c>
      <c r="M4" t="s">
        <v>50</v>
      </c>
      <c r="N4" s="12" t="s">
        <v>51</v>
      </c>
      <c r="O4" s="13"/>
      <c r="P4" s="14"/>
      <c r="Q4"/>
      <c r="R4" s="15"/>
      <c r="S4" s="14">
        <f t="shared" si="0"/>
        <v>-0.55000000000000004</v>
      </c>
      <c r="T4"/>
      <c r="U4" s="10"/>
      <c r="V4" s="1" t="s">
        <v>73</v>
      </c>
      <c r="W4" s="1" t="s">
        <v>73</v>
      </c>
    </row>
    <row r="5" spans="1:23" ht="12" customHeight="1" x14ac:dyDescent="0.4">
      <c r="A5">
        <v>23</v>
      </c>
      <c r="B5" s="5" t="s">
        <v>0</v>
      </c>
      <c r="C5" s="5" t="s">
        <v>4</v>
      </c>
      <c r="D5" s="6" t="s">
        <v>18</v>
      </c>
      <c r="E5" s="7">
        <v>0.57291666666666696</v>
      </c>
      <c r="F5" s="8" t="s">
        <v>16</v>
      </c>
      <c r="G5" s="8" t="s">
        <v>27</v>
      </c>
      <c r="H5" s="9" t="s">
        <v>25</v>
      </c>
      <c r="I5" s="6" t="s">
        <v>19</v>
      </c>
      <c r="J5" t="s">
        <v>56</v>
      </c>
      <c r="K5" s="15" t="s">
        <v>57</v>
      </c>
      <c r="L5" s="11" t="s">
        <v>58</v>
      </c>
      <c r="M5" t="s">
        <v>50</v>
      </c>
      <c r="N5" s="12" t="s">
        <v>51</v>
      </c>
      <c r="O5" s="13">
        <v>45059</v>
      </c>
      <c r="P5" s="14">
        <v>0.6069444444444444</v>
      </c>
      <c r="Q5" t="s">
        <v>59</v>
      </c>
      <c r="R5" s="15" t="s">
        <v>60</v>
      </c>
      <c r="S5" s="14">
        <f t="shared" si="0"/>
        <v>3.4027777777777435E-2</v>
      </c>
      <c r="T5"/>
      <c r="U5"/>
      <c r="V5" s="1" t="s">
        <v>73</v>
      </c>
      <c r="W5" s="1" t="s">
        <v>73</v>
      </c>
    </row>
    <row r="6" spans="1:23" ht="12" customHeight="1" x14ac:dyDescent="0.4">
      <c r="A6">
        <v>24</v>
      </c>
      <c r="B6" s="5" t="s">
        <v>0</v>
      </c>
      <c r="C6" s="5" t="s">
        <v>4</v>
      </c>
      <c r="D6" s="6" t="s">
        <v>18</v>
      </c>
      <c r="E6" s="7">
        <v>0.65902777777777799</v>
      </c>
      <c r="F6" s="8" t="s">
        <v>16</v>
      </c>
      <c r="G6" s="8" t="s">
        <v>27</v>
      </c>
      <c r="H6" s="9" t="s">
        <v>5</v>
      </c>
      <c r="I6" s="6" t="s">
        <v>35</v>
      </c>
      <c r="J6" t="s">
        <v>56</v>
      </c>
      <c r="K6" s="15" t="s">
        <v>16</v>
      </c>
      <c r="L6" s="11" t="s">
        <v>61</v>
      </c>
      <c r="M6" t="s">
        <v>50</v>
      </c>
      <c r="N6" s="12" t="s">
        <v>51</v>
      </c>
      <c r="O6" s="13">
        <v>45059</v>
      </c>
      <c r="P6" s="14">
        <v>0.69166666666666676</v>
      </c>
      <c r="Q6" t="s">
        <v>62</v>
      </c>
      <c r="R6" s="15" t="s">
        <v>63</v>
      </c>
      <c r="S6" s="14">
        <f t="shared" si="0"/>
        <v>3.2638888888888773E-2</v>
      </c>
      <c r="T6"/>
      <c r="U6"/>
      <c r="V6" s="1" t="s">
        <v>73</v>
      </c>
      <c r="W6" s="1" t="s">
        <v>73</v>
      </c>
    </row>
    <row r="7" spans="1:23" ht="12" customHeight="1" x14ac:dyDescent="0.4">
      <c r="A7">
        <v>25</v>
      </c>
      <c r="B7" s="5" t="s">
        <v>0</v>
      </c>
      <c r="C7" s="5" t="s">
        <v>4</v>
      </c>
      <c r="D7" s="6" t="s">
        <v>18</v>
      </c>
      <c r="E7" s="7">
        <v>0.66805555555555596</v>
      </c>
      <c r="F7" s="8" t="s">
        <v>16</v>
      </c>
      <c r="G7" s="8" t="s">
        <v>45</v>
      </c>
      <c r="H7" s="9" t="s">
        <v>10</v>
      </c>
      <c r="I7" s="6" t="s">
        <v>47</v>
      </c>
      <c r="J7" t="s">
        <v>48</v>
      </c>
      <c r="K7" s="15" t="s">
        <v>57</v>
      </c>
      <c r="L7" s="11" t="s">
        <v>64</v>
      </c>
      <c r="M7" t="s">
        <v>50</v>
      </c>
      <c r="N7" s="12" t="s">
        <v>51</v>
      </c>
      <c r="O7" s="13">
        <v>45059</v>
      </c>
      <c r="P7" s="14">
        <v>0.69861111111111107</v>
      </c>
      <c r="Q7" t="s">
        <v>47</v>
      </c>
      <c r="R7" s="15" t="s">
        <v>65</v>
      </c>
      <c r="S7" s="14">
        <f t="shared" si="0"/>
        <v>3.0555555555555114E-2</v>
      </c>
      <c r="T7"/>
      <c r="U7"/>
      <c r="V7" s="1" t="s">
        <v>73</v>
      </c>
      <c r="W7" s="1" t="s">
        <v>73</v>
      </c>
    </row>
    <row r="8" spans="1:23" ht="12" customHeight="1" x14ac:dyDescent="0.4">
      <c r="A8">
        <v>26</v>
      </c>
      <c r="B8" s="5" t="s">
        <v>0</v>
      </c>
      <c r="C8" s="5" t="s">
        <v>4</v>
      </c>
      <c r="D8" s="6" t="s">
        <v>18</v>
      </c>
      <c r="E8" s="7">
        <v>0.67083333333333295</v>
      </c>
      <c r="F8" s="8" t="s">
        <v>16</v>
      </c>
      <c r="G8" s="8" t="s">
        <v>45</v>
      </c>
      <c r="H8" s="9" t="s">
        <v>26</v>
      </c>
      <c r="I8" s="6" t="s">
        <v>6</v>
      </c>
      <c r="J8" t="s">
        <v>48</v>
      </c>
      <c r="K8" s="15" t="s">
        <v>57</v>
      </c>
      <c r="L8" s="11" t="s">
        <v>66</v>
      </c>
      <c r="M8" t="s">
        <v>50</v>
      </c>
      <c r="N8" s="12" t="s">
        <v>51</v>
      </c>
      <c r="O8" s="13">
        <v>45059</v>
      </c>
      <c r="P8" s="14">
        <v>0.71666666666666667</v>
      </c>
      <c r="Q8" t="s">
        <v>67</v>
      </c>
      <c r="R8" s="15" t="s">
        <v>68</v>
      </c>
      <c r="S8" s="14">
        <f t="shared" si="0"/>
        <v>4.5833333333333726E-2</v>
      </c>
      <c r="T8"/>
      <c r="U8"/>
      <c r="V8" s="1" t="s">
        <v>73</v>
      </c>
      <c r="W8" s="1" t="s">
        <v>73</v>
      </c>
    </row>
    <row r="9" spans="1:23" ht="12" customHeight="1" x14ac:dyDescent="0.4">
      <c r="A9">
        <v>27</v>
      </c>
      <c r="B9" s="5" t="s">
        <v>0</v>
      </c>
      <c r="C9" s="5" t="s">
        <v>4</v>
      </c>
      <c r="D9" s="6" t="s">
        <v>18</v>
      </c>
      <c r="E9" s="7">
        <v>0.67916666666666703</v>
      </c>
      <c r="F9" s="8" t="s">
        <v>33</v>
      </c>
      <c r="G9" s="8" t="s">
        <v>27</v>
      </c>
      <c r="H9" s="9" t="s">
        <v>40</v>
      </c>
      <c r="I9" s="6" t="s">
        <v>3</v>
      </c>
      <c r="J9" t="s">
        <v>56</v>
      </c>
      <c r="K9" s="15" t="s">
        <v>33</v>
      </c>
      <c r="L9" s="11" t="s">
        <v>69</v>
      </c>
      <c r="M9" t="s">
        <v>50</v>
      </c>
      <c r="N9" s="12" t="s">
        <v>51</v>
      </c>
      <c r="O9" s="13">
        <v>45059</v>
      </c>
      <c r="P9" s="14">
        <v>0.72569444444444453</v>
      </c>
      <c r="Q9" t="s">
        <v>3</v>
      </c>
      <c r="R9" s="15" t="s">
        <v>70</v>
      </c>
      <c r="S9" s="14">
        <f t="shared" si="0"/>
        <v>4.6527777777777501E-2</v>
      </c>
      <c r="T9"/>
      <c r="U9"/>
      <c r="V9" s="1" t="s">
        <v>73</v>
      </c>
      <c r="W9" s="1" t="s">
        <v>73</v>
      </c>
    </row>
    <row r="10" spans="1:23" ht="12" customHeight="1" x14ac:dyDescent="0.4">
      <c r="A10">
        <v>28</v>
      </c>
      <c r="B10" s="5" t="s">
        <v>0</v>
      </c>
      <c r="C10" s="5" t="s">
        <v>4</v>
      </c>
      <c r="D10" s="6" t="s">
        <v>18</v>
      </c>
      <c r="E10" s="7">
        <v>0.69166666666666698</v>
      </c>
      <c r="F10" s="8" t="s">
        <v>33</v>
      </c>
      <c r="G10" s="8" t="s">
        <v>27</v>
      </c>
      <c r="H10" s="9" t="s">
        <v>26</v>
      </c>
      <c r="I10" s="6" t="s">
        <v>41</v>
      </c>
      <c r="J10" t="s">
        <v>56</v>
      </c>
      <c r="K10" s="15" t="s">
        <v>33</v>
      </c>
      <c r="L10" s="11" t="s">
        <v>71</v>
      </c>
      <c r="M10" t="s">
        <v>50</v>
      </c>
      <c r="N10" s="12" t="s">
        <v>51</v>
      </c>
      <c r="O10" s="13">
        <v>45059</v>
      </c>
      <c r="P10" s="14">
        <v>0.72569444444444453</v>
      </c>
      <c r="Q10" t="s">
        <v>41</v>
      </c>
      <c r="R10" s="15" t="s">
        <v>72</v>
      </c>
      <c r="S10" s="14">
        <f t="shared" si="0"/>
        <v>3.4027777777777546E-2</v>
      </c>
      <c r="T10"/>
      <c r="U10"/>
      <c r="V10" s="1" t="s">
        <v>73</v>
      </c>
      <c r="W10" s="1" t="s">
        <v>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sneha</cp:lastModifiedBy>
  <dcterms:created xsi:type="dcterms:W3CDTF">2013-06-26T05:33:36Z</dcterms:created>
  <dcterms:modified xsi:type="dcterms:W3CDTF">2023-05-13T14:16:21Z</dcterms:modified>
  <cp:category/>
</cp:coreProperties>
</file>