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Sheet1!$A$1:$DG$33</definedName>
  </definedNames>
  <calcPr calcId="145621"/>
  <webPublishing codePage="0"/>
</workbook>
</file>

<file path=xl/calcChain.xml><?xml version="1.0" encoding="utf-8"?>
<calcChain xmlns="http://schemas.openxmlformats.org/spreadsheetml/2006/main">
  <c r="AW33" i="1" l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<sst xmlns="http://schemas.openxmlformats.org/spreadsheetml/2006/main" count="1312" uniqueCount="442">
  <si>
    <t>SYNCHRO SELECT-14 STANDARD ST 215CM</t>
  </si>
  <si>
    <t>RefCat</t>
  </si>
  <si>
    <t>PRODIGO1052732</t>
  </si>
  <si>
    <t>UNSPC V24</t>
  </si>
  <si>
    <t>SSUP300STR</t>
  </si>
  <si>
    <t>Property</t>
  </si>
  <si>
    <t>TG5413080</t>
  </si>
  <si>
    <t>Mfg Item Number</t>
  </si>
  <si>
    <t>Packaging for drugs and solutions</t>
  </si>
  <si>
    <t>PDG</t>
  </si>
  <si>
    <t>Age</t>
  </si>
  <si>
    <t>TARGET TETRA 3.0MM X 8CM DETACHABLE COIL</t>
  </si>
  <si>
    <t>PRODIGO1052711</t>
  </si>
  <si>
    <t>TARGET TETRA 3.0MM X 10CM DETACHABLE COIL</t>
  </si>
  <si>
    <t>PRODIGO1052691</t>
  </si>
  <si>
    <t>Tab</t>
  </si>
  <si>
    <t>Location</t>
  </si>
  <si>
    <t>QA Code</t>
  </si>
  <si>
    <t>Material</t>
  </si>
  <si>
    <t>TG5412545</t>
  </si>
  <si>
    <t>DE Code</t>
  </si>
  <si>
    <t>PRODIGO1052634</t>
  </si>
  <si>
    <t>Validated MFR Num</t>
  </si>
  <si>
    <t>Job No</t>
  </si>
  <si>
    <t>TG5412560</t>
  </si>
  <si>
    <t>Delivered Date</t>
  </si>
  <si>
    <t>Short Description 60 Enriched1</t>
  </si>
  <si>
    <t>11kProdigoItemKey</t>
  </si>
  <si>
    <t>Sort Code</t>
  </si>
  <si>
    <t>PRODIGO1052694</t>
  </si>
  <si>
    <t>Description Duplicate</t>
  </si>
  <si>
    <t>Adjective</t>
  </si>
  <si>
    <t>TG5412060</t>
  </si>
  <si>
    <t>64kProdigoItemKey</t>
  </si>
  <si>
    <t>Classification Remarks</t>
  </si>
  <si>
    <t>Prodigo Standard Short Description - 254</t>
  </si>
  <si>
    <t>SYNCHRO SELECT-14 SOFT ST 300CM</t>
  </si>
  <si>
    <t>Brandname1</t>
  </si>
  <si>
    <t>Latex</t>
  </si>
  <si>
    <t>SYNCHRO SELECT-14 SUPPORT PS 215CM</t>
  </si>
  <si>
    <t>TARGET TETRA 3.5MM X 8CM DETACHABLE COIL</t>
  </si>
  <si>
    <t>Customer Code</t>
  </si>
  <si>
    <t>UNSPSC Description1</t>
  </si>
  <si>
    <t>URL</t>
  </si>
  <si>
    <t>PRODIGO1052716</t>
  </si>
  <si>
    <t>PRODIGO1052726</t>
  </si>
  <si>
    <t>Data Enrichment | UNSPSC Classification</t>
  </si>
  <si>
    <t>TG5414010</t>
  </si>
  <si>
    <t>Source1</t>
  </si>
  <si>
    <t>Item Name (Short Description)</t>
  </si>
  <si>
    <t>Quality A/R</t>
  </si>
  <si>
    <t>Accepted Date</t>
  </si>
  <si>
    <t>Mapped with 066</t>
  </si>
  <si>
    <t>TARGET TETRA 2.0MM X 3.5CM DETACHABLE COIL</t>
  </si>
  <si>
    <t>Project2</t>
  </si>
  <si>
    <t>Production User</t>
  </si>
  <si>
    <t>TARGET TETRA 4.0MM X 8CM DETACHABLE COIL</t>
  </si>
  <si>
    <t>TARGET TETRA 4.0MM X 10CM DETACHABLE COIL</t>
  </si>
  <si>
    <t>Volume/Weight</t>
  </si>
  <si>
    <t>Remarks</t>
  </si>
  <si>
    <t>ASIS Item Description (Long Description 4000)</t>
  </si>
  <si>
    <t>PRODIGO1052710</t>
  </si>
  <si>
    <t>PRODIGO1052708</t>
  </si>
  <si>
    <t>TARGET TETRA 1.5MM X 3CM DETACHABLE COIL</t>
  </si>
  <si>
    <t>PRODIGO1052720</t>
  </si>
  <si>
    <t>Gender</t>
  </si>
  <si>
    <t>Project1</t>
  </si>
  <si>
    <t>TG5412045</t>
  </si>
  <si>
    <t>ProdigoItemKey</t>
  </si>
  <si>
    <t>Start Date</t>
  </si>
  <si>
    <t>PRODIGO1052735</t>
  </si>
  <si>
    <t>Ref#</t>
  </si>
  <si>
    <t>PRODIGO1052734</t>
  </si>
  <si>
    <t>SlNo</t>
  </si>
  <si>
    <t>TARGET TETRA 1.5MM X 2CM DETACHABLE COIL</t>
  </si>
  <si>
    <t>PRODIGO1052693</t>
  </si>
  <si>
    <t>QE Comments</t>
  </si>
  <si>
    <t>PDF</t>
  </si>
  <si>
    <t>Source</t>
  </si>
  <si>
    <t>TRAY CATHETER URETHRAL FOLEY 16FR DIA SILICONE-ELASTOMER COATED CLOSED SYSTEM W/2000ML DRAINAGE BAG SWABSTICK 10ML INFLATION SYRINGE BARDIA LATEX STERILE SINGLE-USE</t>
  </si>
  <si>
    <t>Item Description (Long Description 4000)1</t>
  </si>
  <si>
    <t>SSFT300STR</t>
  </si>
  <si>
    <t>Modifier</t>
  </si>
  <si>
    <t>Corrected By</t>
  </si>
  <si>
    <t>TG5411520</t>
  </si>
  <si>
    <t>TARGET TETRA 3.5MM X 6CM DETACHABLE COIL</t>
  </si>
  <si>
    <t>Len</t>
  </si>
  <si>
    <t>Previous CE Code</t>
  </si>
  <si>
    <t>TARGET TETRA 3.0MM X 6CM DETACHABLE COIL</t>
  </si>
  <si>
    <t>Potential Duplicates1</t>
  </si>
  <si>
    <t>SE Code</t>
  </si>
  <si>
    <t>Mfg Name</t>
  </si>
  <si>
    <t>Standardized Manufacturer Name</t>
  </si>
  <si>
    <t>SafeCross Transseptal RF Puncture and Introducer System - Medium curve</t>
  </si>
  <si>
    <t>SLNo_Prod</t>
  </si>
  <si>
    <t>TG5414510</t>
  </si>
  <si>
    <t>RF3003</t>
  </si>
  <si>
    <t>Long Description 254 Enriched1</t>
  </si>
  <si>
    <t>EAST END MEDICAL</t>
  </si>
  <si>
    <t>SafeCross Transseptal RF Puncture and Introducer System - Small curve</t>
  </si>
  <si>
    <t>CE Comments</t>
  </si>
  <si>
    <t>PRODIGO1052730</t>
  </si>
  <si>
    <t>Status</t>
  </si>
  <si>
    <t>SSUP215STR</t>
  </si>
  <si>
    <t>PRODIGO1052722</t>
  </si>
  <si>
    <t>PRODIGO1052619</t>
  </si>
  <si>
    <t>Disposable</t>
  </si>
  <si>
    <t>TARGET TETRA 3.0MM X 4.5CM DETACHABLE COIL</t>
  </si>
  <si>
    <t>CR BARD</t>
  </si>
  <si>
    <t>Sort Comment</t>
  </si>
  <si>
    <t>HCPCS Desc1</t>
  </si>
  <si>
    <t>PRODIGO1052689</t>
  </si>
  <si>
    <t>HCPCS code</t>
  </si>
  <si>
    <t>016-237-2</t>
  </si>
  <si>
    <t>TG5414080</t>
  </si>
  <si>
    <t>Miscellaneous1</t>
  </si>
  <si>
    <t>Remarks1</t>
  </si>
  <si>
    <t>Project_Code</t>
  </si>
  <si>
    <t>PRODIGO1052731</t>
  </si>
  <si>
    <t>TG5413560</t>
  </si>
  <si>
    <t>TARGET TETRA 2.0MM X 6CM DETACHABLE COIL</t>
  </si>
  <si>
    <t>Activities</t>
  </si>
  <si>
    <t>QE Code</t>
  </si>
  <si>
    <t>TARGET TETRA 2.0MM X 4.5CM DETACHABLE COIL</t>
  </si>
  <si>
    <t>NA</t>
  </si>
  <si>
    <t>TG5412035</t>
  </si>
  <si>
    <t>BARD MEDICAL DIV</t>
  </si>
  <si>
    <t>Conc</t>
  </si>
  <si>
    <t>TARGET TETRA 2.5MM X 3.5CM DETACHABLE COIL</t>
  </si>
  <si>
    <t>Project</t>
  </si>
  <si>
    <t>ForGhria_Output_2023-07-06</t>
  </si>
  <si>
    <t>PRODIGO1052709</t>
  </si>
  <si>
    <t>Size</t>
  </si>
  <si>
    <t>PRODIGO1052729</t>
  </si>
  <si>
    <t>Production Comments</t>
  </si>
  <si>
    <t>HCPCS description</t>
  </si>
  <si>
    <t>SafeCross Transseptal RF Puncture and Introducer System - Large curve</t>
  </si>
  <si>
    <t>Potential Duplicates</t>
  </si>
  <si>
    <t>File Name</t>
  </si>
  <si>
    <t>TARGET TETRA 2.5MM X 6CM DETACHABLE COIL</t>
  </si>
  <si>
    <t>CND</t>
  </si>
  <si>
    <t>Ref</t>
  </si>
  <si>
    <t>UNSPSC</t>
  </si>
  <si>
    <t>SYNCHRO SELECT-14 STANDARD PS 300CM</t>
  </si>
  <si>
    <t>UNSPSC1</t>
  </si>
  <si>
    <t>Sterile</t>
  </si>
  <si>
    <t>Batch</t>
  </si>
  <si>
    <t>SYNCHRO SELECT-14 SUPPORT PS 300CM</t>
  </si>
  <si>
    <t>Color</t>
  </si>
  <si>
    <t>Short Description 60 Enriched</t>
  </si>
  <si>
    <t>Long Description</t>
  </si>
  <si>
    <t>TG5413060</t>
  </si>
  <si>
    <t>Validated MFR Name</t>
  </si>
  <si>
    <t>Classification Remarks1</t>
  </si>
  <si>
    <t>SSUP215PRE</t>
  </si>
  <si>
    <t>RF3002</t>
  </si>
  <si>
    <t>SSTD300PRE</t>
  </si>
  <si>
    <t>TG5412025</t>
  </si>
  <si>
    <t>Standardized UNSPSC</t>
  </si>
  <si>
    <t>PRODIGO1052620</t>
  </si>
  <si>
    <t>QA Comments</t>
  </si>
  <si>
    <t>PRODIGO1052640</t>
  </si>
  <si>
    <t>Short Description</t>
  </si>
  <si>
    <t>PRODIGO1052733</t>
  </si>
  <si>
    <t>ProdigoItemKey1</t>
  </si>
  <si>
    <t>TARGET TETRA 2.5MM X 4.5CM DETACHABLE COIL</t>
  </si>
  <si>
    <t>PRODIGO1052721</t>
  </si>
  <si>
    <t>Long Description 254 Enriched</t>
  </si>
  <si>
    <t>PRODIGO1052728</t>
  </si>
  <si>
    <t>TG5413580</t>
  </si>
  <si>
    <t>SYNCHRO SELECT-14 SUPPORT ST 300CM</t>
  </si>
  <si>
    <t>To Process</t>
  </si>
  <si>
    <t>BrandName</t>
  </si>
  <si>
    <t>UNSPSC Description</t>
  </si>
  <si>
    <t>TG5414060</t>
  </si>
  <si>
    <t>Descr Status</t>
  </si>
  <si>
    <t>TG5413510</t>
  </si>
  <si>
    <t>Noun</t>
  </si>
  <si>
    <t>PRODIGO1052719</t>
  </si>
  <si>
    <t>TARGET TETRA 4.5MM X 10CM DETACHABLE COIL</t>
  </si>
  <si>
    <t>Standardized UNSPSC1</t>
  </si>
  <si>
    <t>Item Description (Long Description)</t>
  </si>
  <si>
    <t>CATHETER URETHRAL FOLEY TIEMANN 18FR DIA COUDE TIP INTERMITTENT ALL-PURPOSE DRAINAGE EYEX1 LATEX STERILE SINGLE-USE</t>
  </si>
  <si>
    <t>STRYKER NEUROVASCULAR</t>
  </si>
  <si>
    <t>TG5412535</t>
  </si>
  <si>
    <t>TARGET TETRA 2.0MM X 2.5CM DETACHABLE COIL</t>
  </si>
  <si>
    <t>PRODIGO1052718</t>
  </si>
  <si>
    <t>HCPCS1</t>
  </si>
  <si>
    <t>RefName</t>
  </si>
  <si>
    <t>Delivered</t>
  </si>
  <si>
    <t>Miscellaneous</t>
  </si>
  <si>
    <t>Mfg Ref ID</t>
  </si>
  <si>
    <t>SYNCHRO SELECT-14 SUPPORT ST 215CM</t>
  </si>
  <si>
    <t>STRYKER</t>
  </si>
  <si>
    <t>Standardized Manufacturer Item Number</t>
  </si>
  <si>
    <t>SSTD215STR</t>
  </si>
  <si>
    <t>TG5413045</t>
  </si>
  <si>
    <t>TARGET TETRA 3.5MM X 10CM DETACHABLE COIL</t>
  </si>
  <si>
    <t>Job No1</t>
  </si>
  <si>
    <t>To_Process</t>
  </si>
  <si>
    <t>PRODIGO1052692</t>
  </si>
  <si>
    <t>TG5413010</t>
  </si>
  <si>
    <t>010118</t>
  </si>
  <si>
    <t>RF3001</t>
  </si>
  <si>
    <t>TG5411530</t>
  </si>
  <si>
    <t>SE Comments</t>
  </si>
  <si>
    <t>URL1</t>
  </si>
  <si>
    <t>SSUP300PRE</t>
  </si>
  <si>
    <t>TARGET TETRA 4.0MM X 6CM DETACHABLE COIL</t>
  </si>
  <si>
    <t>PRODIGO1052723</t>
  </si>
  <si>
    <t>Count</t>
  </si>
  <si>
    <t>PrimaryDimension(IDXODXLXWXHXDXTHK)</t>
  </si>
  <si>
    <t>PRODIGO1052717</t>
  </si>
  <si>
    <t>PRODIGO1052707</t>
  </si>
  <si>
    <t>PRODIGO1052727</t>
  </si>
  <si>
    <t>Secondary Dimension(IDXODXLXWXHXDXTHK)</t>
  </si>
  <si>
    <t>Potential / Desc Duplicate across Consolidated</t>
  </si>
  <si>
    <t>UNSOURCED</t>
  </si>
  <si>
    <t>SOURCED</t>
  </si>
  <si>
    <t>THIRD PARTY</t>
  </si>
  <si>
    <t>OK</t>
  </si>
  <si>
    <t>BARD C R INC</t>
  </si>
  <si>
    <t>STRYKER CORP</t>
  </si>
  <si>
    <t>BD</t>
  </si>
  <si>
    <t>BD_010118</t>
  </si>
  <si>
    <t>EAST END MEDICAL_RF3001</t>
  </si>
  <si>
    <t>EAST END MEDICAL_RF3002</t>
  </si>
  <si>
    <t>EAST END MEDICAL_RF3003</t>
  </si>
  <si>
    <t>STRYKER_SSFT300STR</t>
  </si>
  <si>
    <t>STRYKER_SSTD215STR</t>
  </si>
  <si>
    <t>STRYKER_SSTD300PRE</t>
  </si>
  <si>
    <t>STRYKER_SSUP215PRE</t>
  </si>
  <si>
    <t>STRYKER_SSUP215STR</t>
  </si>
  <si>
    <t>STRYKER_SSUP300PRE</t>
  </si>
  <si>
    <t>STRYKER_SSUP300STR</t>
  </si>
  <si>
    <t>STRYKER_TG5411520</t>
  </si>
  <si>
    <t>STRYKER_TG5411530</t>
  </si>
  <si>
    <t>STRYKER_TG5412025</t>
  </si>
  <si>
    <t>STRYKER_TG5412035</t>
  </si>
  <si>
    <t>STRYKER_TG5412045</t>
  </si>
  <si>
    <t>STRYKER_TG5412060</t>
  </si>
  <si>
    <t>STRYKER_TG5412535</t>
  </si>
  <si>
    <t>STRYKER_TG5412545</t>
  </si>
  <si>
    <t>STRYKER_TG5412560</t>
  </si>
  <si>
    <t>STRYKER_TG5413010</t>
  </si>
  <si>
    <t>STRYKER_TG5413045</t>
  </si>
  <si>
    <t>STRYKER_TG5413060</t>
  </si>
  <si>
    <t>STRYKER_TG5413080</t>
  </si>
  <si>
    <t>STRYKER_TG5413510</t>
  </si>
  <si>
    <t>STRYKER_TG5413560</t>
  </si>
  <si>
    <t>STRYKER_TG5413580</t>
  </si>
  <si>
    <t>STRYKER_TG5414010</t>
  </si>
  <si>
    <t>STRYKER_TG5414060</t>
  </si>
  <si>
    <t>STRYKER_TG5414080</t>
  </si>
  <si>
    <t>STRYKER_TG5414510</t>
  </si>
  <si>
    <t>42142702  Urethral urinary catheters</t>
  </si>
  <si>
    <t>CATHETER, FOLEY, URETHRAL, 16 FR, TRAY, CLOSED SYSTEM, WITH 2000 CC DRAINAGE BAG, SWABSTICK, 10 CC INFLATION SYRINGE, SILICONE ELASTOMER COATED, STERILE, BARDIA, LATEX, DISPOSABLE</t>
  </si>
  <si>
    <t>CATH, FOL, URETH, 16 FR, TY, CLOSED SYS, W/ 2000 CC DRAINAGE BG, SWABSTK, 10 CC INFLATION SYR, SIL ELASTMR COAT, STRL, BARDIA, LTX, DISP</t>
  </si>
  <si>
    <t>CATHETER, FOL, URETH, 16 FR, TY, CLOSED SYS, W/ 2000 CC BG, BARDIA</t>
  </si>
  <si>
    <t>CATHETER</t>
  </si>
  <si>
    <t>FOLEY</t>
  </si>
  <si>
    <t>URETHRAL</t>
  </si>
  <si>
    <t>16 FR</t>
  </si>
  <si>
    <t>TRAY, CLOSED SYSTEM, WITH 2000 CC DRAINAGE BAG, SWABSTICK, 10 CC INFLATION SYRINGE</t>
  </si>
  <si>
    <t>SILICONE ELASTOMER COATED</t>
  </si>
  <si>
    <t>STERILE</t>
  </si>
  <si>
    <t>BARDIA</t>
  </si>
  <si>
    <t>LATEX</t>
  </si>
  <si>
    <t>DISPOSABLE</t>
  </si>
  <si>
    <t>URL NOT FOUND</t>
  </si>
  <si>
    <t>A4352</t>
  </si>
  <si>
    <t>INTERMITTENT URINARY CATHETER; COUDE (CURVED) TIP, WITH OR WITHOUT COATING (TEFLON, SILICONE, SILICONE ELASTOMERIC, OR HYDROPHILIC, ETC.), EACH</t>
  </si>
  <si>
    <t>Red Rubber Intermittent Catheters 18FR</t>
  </si>
  <si>
    <t>CATHETER, INTERMITTENT, URETHRAL, 18 FR, FOLEY, COUDE TIP, ALL PURPOSE, DRAINAGE EYE, RED RUBBER, STERILE, TIEMANN, LATEX, DISPOSABLE</t>
  </si>
  <si>
    <t>CATH, INTERMITTENT, URETH, 18 FR, FOL, COUDE TIP, ALL PURP, DRAINAGE EYE, RED RUBBER, STRL, TIEM, LTX, DISP</t>
  </si>
  <si>
    <t>CATHETER, INTERMITTENT, URETH, 18 FR, FOL, COUDE TIP, TIEM, DISP</t>
  </si>
  <si>
    <t>INTERMITTENT</t>
  </si>
  <si>
    <t>18 FR</t>
  </si>
  <si>
    <t>FOLEY, COUDE TIP, ALL PURPOSE, DRAINAGE EYE</t>
  </si>
  <si>
    <t>RED RUBBER</t>
  </si>
  <si>
    <t>TIEMANN</t>
  </si>
  <si>
    <t>https://www.bd.com/en-us/products-and-solutions/products/product-page.010118</t>
  </si>
  <si>
    <t>42203403  Diagnostic or interventional vascular catheter introducers</t>
  </si>
  <si>
    <t>C1894</t>
  </si>
  <si>
    <t>INTRODUCER/SHEATH, OTHER THAN GUIDING, OTHER THAN INTRACARDIAC ELECTROPHYSIOLOGICAL, NON-LASER</t>
  </si>
  <si>
    <t>INTRODUCER, SHEATH, SMALL CURVE, TRANSSEPTAL, RADIOFREQUENCY PUNCTURE, SAFECROSS</t>
  </si>
  <si>
    <t>INTRO, SHTH, SM CRV, TRANSSEPTAL, RF PUNC, SAFECROSS</t>
  </si>
  <si>
    <t>INTRODUCER, SHTH, SM CRV, TRANSSEPTAL, RF PUNC, SAFECROSS</t>
  </si>
  <si>
    <t>INTRODUCER</t>
  </si>
  <si>
    <t>SHEATH</t>
  </si>
  <si>
    <t>SMALL CURVE</t>
  </si>
  <si>
    <t>TRANSSEPTAL</t>
  </si>
  <si>
    <t>RADIOFREQUENCY PUNCTURE</t>
  </si>
  <si>
    <t>SAFECROSS</t>
  </si>
  <si>
    <t>INTRODUCER, SHEATH, MEDIUM CURVE, TRANSSEPTAL, RADIOFREQUENCY PUNCTURE, SAFECROSS</t>
  </si>
  <si>
    <t>INTRO, SHTH, MED CRV, TRANSSEPTAL, RF PUNC, SAFECROSS</t>
  </si>
  <si>
    <t>INTRODUCER, SHTH, MED CRV, TRANSSEPTAL, RF PUNC, SAFECROSS</t>
  </si>
  <si>
    <t>MEDIUM CURVE</t>
  </si>
  <si>
    <t>INTRODUCER, SHEATH, LARGE CURVE, TRANSSEPTAL, RADIOFREQUENCY PUNCTURE, SAFECROSS</t>
  </si>
  <si>
    <t>INTRO, SHTH, LG CRV, TRANSSEPTAL, RF PUNC, SAFECROSS</t>
  </si>
  <si>
    <t>INTRODUCER, SHTH, LG CRV, TRANSSEPTAL, RF PUNC, SAFECROSS</t>
  </si>
  <si>
    <t>LARGE CURVE</t>
  </si>
  <si>
    <t>42203404  Vascular imaging guidewires</t>
  </si>
  <si>
    <t>C1769</t>
  </si>
  <si>
    <t>GUIDE WIRE</t>
  </si>
  <si>
    <t>Exchange Length Soft 300cm</t>
  </si>
  <si>
    <t>GUIDEWIRE, VASCULAR, STRAIGHT, 0.014 INX300 CM, 35 CM, EXCHANGE LENGTH, SOFT, HYDROPHILIC COATED, STERILE, SYNCHRO SELECT, LATEX</t>
  </si>
  <si>
    <t>GUIDEWIRE, VASC, STR, 0.014 INX300 CM, 35 CM, EXCHANGE LEN, SFT, HYDRPHLC COAT, STRL, SYNCHRO SEL, LTX</t>
  </si>
  <si>
    <t>GUIDEWIRE, VASC, STR, 0.014 INX300 CM, 35 CM, SFT, SYNCHRO SEL</t>
  </si>
  <si>
    <t>GUIDEWIRE</t>
  </si>
  <si>
    <t>VASCULAR</t>
  </si>
  <si>
    <t>STRAIGHT</t>
  </si>
  <si>
    <t>0.014 INX300 CM</t>
  </si>
  <si>
    <t>35 CM</t>
  </si>
  <si>
    <t>EXCHANGE LENGTH, SOFT</t>
  </si>
  <si>
    <t>HYDROPHILIC COATED</t>
  </si>
  <si>
    <t>SYNCHRO SELECT</t>
  </si>
  <si>
    <t>https://www.stryker.com/us/en/neurovascular/products/synchro-select-guidewires.html, https://accessgudid.nlm.nih.gov/devices/07613327508581</t>
  </si>
  <si>
    <t>Access Length Standard 215cm</t>
  </si>
  <si>
    <t>GUIDEWIRE, VASCULAR, STRAIGHT, 0.014 INX215 CM, 35 CM, ACCESS LENGTH, STANDARD, HYDROPHILIC COATED, STERILE, SYNCHRO SELECT, LATEX</t>
  </si>
  <si>
    <t>GUIDEWIRE, VASC, STR, 0.014 INX215 CM, 35 CM, ACCS LEN, STD, HYDRPHLC COAT, STRL, SYNCHRO SEL, LTX</t>
  </si>
  <si>
    <t>GUIDEWIRE, VASC, STR, 0.014 INX215 CM, 35 CM, STD, SYNCHRO SEL</t>
  </si>
  <si>
    <t>0.014 INX215 CM</t>
  </si>
  <si>
    <t>ACCESS LENGTH, STANDARD</t>
  </si>
  <si>
    <t>https://www.stryker.com/us/en/neurovascular/products/synchro-select-guidewires.html, https://accessgudid.nlm.nih.gov/devices/07613327508499</t>
  </si>
  <si>
    <t>Exchange Length Standard Pre-Shaped 300cm</t>
  </si>
  <si>
    <t>GUIDEWIRE, VASCULAR, PRE-SHAPED, 0.014 INX300 CM, 35 CM, EXCHANGE LENGTH, STANDARD, HYDROPHILIC COATED, STERILE, SYNCHRO SELECT, LATEX</t>
  </si>
  <si>
    <t>GUIDEWIRE, VASC, PRE-SHAPED, 0.014 INX300 CM, 35 CM, EXCHANGE LEN, STD, HYDRPHLC COAT, STRL, SYNCHRO SEL, LTX</t>
  </si>
  <si>
    <t>GUIDEWIRE, VASC, PRE-SHAPED, 0.014 INX300 CM, 35 CM, STD, SYNCHRO</t>
  </si>
  <si>
    <t>PRE-SHAPED</t>
  </si>
  <si>
    <t>EXCHANGE LENGTH, STANDARD</t>
  </si>
  <si>
    <t>https://www.stryker.com/us/en/neurovascular/products/synchro-select-guidewires.html, https://accessgudid.nlm.nih.gov/devices/07613327508529</t>
  </si>
  <si>
    <t>Access Length Support Pre-Shaped 215cm</t>
  </si>
  <si>
    <t>GUIDEWIRE, VASCULAR, PRE-SHAPED, 0.014 INX215 CM, 35 CM, ACCESS LENGTH, SUPPORT, HYDROPHILIC COATED, STERILE, SYNCHRO SELECT, LATEX</t>
  </si>
  <si>
    <t>GUIDEWIRE, VASC, PRE-SHAPED, 0.014 INX215 CM, 35 CM, ACCS LEN, SUPP, HYDRPHLC COAT, STRL, SYNCHRO SEL, LTX</t>
  </si>
  <si>
    <t>GUIDEWIRE, VASC, PRE-SHAPED, 0.014 INX215 CM, 35 CM, SYNCHRO SEL</t>
  </si>
  <si>
    <t>ACCESS LENGTH, SUPPORT</t>
  </si>
  <si>
    <t>https://www.stryker.com/us/en/neurovascular/products/synchro-select-guidewires.html, https://accessgudid.nlm.nih.gov/devices/07613327508635</t>
  </si>
  <si>
    <t>Access Length Support 215cm</t>
  </si>
  <si>
    <t>GUIDEWIRE, VASCULAR, STRAIGHT, 0.014 INX215 CM, 35 CM, ACCESS LENGTH, SUPPORT, HYDROPHILIC COATED, STERILE, SYNCHRO SELECT, LATEX</t>
  </si>
  <si>
    <t>GUIDEWIRE, VASC, STR, 0.014 INX215 CM, 35 CM, ACCS LEN, SUPP, HYDRPHLC COAT, STRL, SYNCHRO SEL, LTX</t>
  </si>
  <si>
    <t>GUIDEWIRE, VASC, STR, 0.014 INX215 CM, 35 CM, ACCS, SYNCHRO SEL</t>
  </si>
  <si>
    <t>https://www.stryker.com/us/en/neurovascular/products/synchro-select-guidewires.html, https://accessgudid.nlm.nih.gov/devices/07613327508611</t>
  </si>
  <si>
    <t>Exchange Length Support Pre-Shaped 300cm</t>
  </si>
  <si>
    <t>GUIDEWIRE, VASCULAR, PRE-SHAPED, 0.014 INX300 CM, 35 CM, EXCHANGE LENGTH, SUPPORT, HYDROPHILIC COATED, STERILE, SYNCHRO SELECT, LATEX</t>
  </si>
  <si>
    <t>GUIDEWIRE, VASC, PRE-SHAPED, 0.014 INX300 CM, 35 CM, EXCHANGE LEN, SUPP, HYDRPHLC COAT, STRL, SYNCHRO SEL, LTX</t>
  </si>
  <si>
    <t>GUIDEWIRE, VASC, PRE-SHAPED, 0.014 INX300 CM, 35 CM, SUPP, SYNCHRO</t>
  </si>
  <si>
    <t>EXCHANGE LENGTH, SUPPORT</t>
  </si>
  <si>
    <t>https://www.stryker.com/us/en/neurovascular/products/synchro-select-guidewires.html, https://accessgudid.nlm.nih.gov/devices/07613327508642</t>
  </si>
  <si>
    <t>Exchange Length Support 300cm</t>
  </si>
  <si>
    <t>GUIDEWIRE, VASCULAR, STRAIGHT, 0.014 INX300 CM, 35 CM, EXCHANGE LENGTH, SUPPORT, HYDROPHILIC COATED, STERILE, SYNCHRO SELECT, LATEX</t>
  </si>
  <si>
    <t>GUIDEWIRE, VASC, STR, 0.014 INX300 CM, 35 CM, EXCHANGE LEN, SUPP, HYDRPHLC COAT, STRL, SYNCHRO SEL, LTX</t>
  </si>
  <si>
    <t>GUIDEWIRE, VASC, STR, 0.014 INX300 CM, 35 CM, SUPP, SYNCHRO SEL</t>
  </si>
  <si>
    <t>https://www.stryker.com/us/en/neurovascular/products/synchro-select-guidewires.html, https://accessgudid.nlm.nih.gov/devices/07613327508628</t>
  </si>
  <si>
    <t>42296011  Vascular coils</t>
  </si>
  <si>
    <t>C1884</t>
  </si>
  <si>
    <t>EMBOLIZATION PROTECTIVE SYSTEM</t>
  </si>
  <si>
    <t>COIL, EMBOLIZATION, DETACHABLE, 1.5 MMX2 CM, STERILE, TARGET TETRA, LATEX</t>
  </si>
  <si>
    <t>COIL, EMB, DETACHABLE, 1.5 MMX2 CM, STRL, TARGET TETRA, LTX</t>
  </si>
  <si>
    <t>COIL</t>
  </si>
  <si>
    <t>EMBOLIZATION</t>
  </si>
  <si>
    <t>DETACHABLE</t>
  </si>
  <si>
    <t>1.5 MMX2 CM</t>
  </si>
  <si>
    <t>TARGET TETRA</t>
  </si>
  <si>
    <t>https://www.physiciansofficeresource.com/diagnostics/gudid-stryker~corporation/gudid-detachable-coil-07613327580099/, https://accessgudid.nlm.nih.gov/devices/07613327580099</t>
  </si>
  <si>
    <t>COIL, EMBOLIZATION, DETACHABLE, 1.5 MMX3 CM, STERILE, TARGET TETRA, LATEX</t>
  </si>
  <si>
    <t>COIL, EMB, DETACHABLE, 1.5 MMX3 CM, STRL, TARGET TETRA, LTX</t>
  </si>
  <si>
    <t>1.5 MMX3 CM</t>
  </si>
  <si>
    <t>https://www.physiciansofficeresource.com/diagnostics/gudid-stryker~corporation/gudid-detachable-coil-07613327580105/, https://accessgudid.nlm.nih.gov/devices/07613327580105</t>
  </si>
  <si>
    <t>COIL, EMBOLIZATION, DETACHABLE, 2 MMX2.5 CM, STERILE, TARGET TETRA, LATEX</t>
  </si>
  <si>
    <t>COIL, EMB, DETACHABLE, 2 MMX2.5 CM, STRL, TARGET TETRA, LTX</t>
  </si>
  <si>
    <t>2 MMX2.5 CM</t>
  </si>
  <si>
    <t>https://www.physiciansofficeresource.com/diagnostics/gudid-stryker~corporation/gudid-detachable-coil-07613327578577/, https://accessgudid.nlm.nih.gov/devices/07613327578577</t>
  </si>
  <si>
    <t>COIL, EMBOLIZATION, DETACHABLE, 2 MMX3.5 CM, STERILE, TARGET TETRA, LATEX</t>
  </si>
  <si>
    <t>COIL, EMB, DETACHABLE, 2 MMX3.5 CM, STRL, TARGET TETRA, LTX</t>
  </si>
  <si>
    <t>2 MMX3.5 CM</t>
  </si>
  <si>
    <t>https://www.physiciansofficeresource.com/diagnostics/gudid-stryker~corporation/gudid-detachable-coil-07613327578584/, https://accessgudid.nlm.nih.gov/devices/07613327578584</t>
  </si>
  <si>
    <t>COIL, EMBOLIZATION, DETACHABLE, 2 MMX4.5 CM, STERILE, TARGET TETRA, LATEX</t>
  </si>
  <si>
    <t>COIL, EMB, DETACHABLE, 2 MMX4.5 CM, STRL, TARGET TETRA, LTX</t>
  </si>
  <si>
    <t>2 MMX4.5 CM</t>
  </si>
  <si>
    <t>https://www.physiciansofficeresource.com/diagnostics/gudid-stryker~corporation/gudid-detachable-coil-07613327578591/, https://accessgudid.nlm.nih.gov/devices/07613327578591</t>
  </si>
  <si>
    <t>COIL, EMBOLIZATION, DETACHABLE, 2 MMX6 CM, STERILE, TARGET TETRA, LATEX</t>
  </si>
  <si>
    <t>COIL, EMB, DETACHABLE, 2 MMX6 CM, STRL, TARGET TETRA, LTX</t>
  </si>
  <si>
    <t>2 MMX6 CM</t>
  </si>
  <si>
    <t>https://www.physiciansofficeresource.com/diagnostics/gudid-stryker~corporation/gudid-detachable-coil-07613327578607/, https://accessgudid.nlm.nih.gov/devices/07613327578607</t>
  </si>
  <si>
    <t>COIL, EMBOLIZATION, DETACHABLE, 2.5 MMX3.5 CM, STERILE, TARGET TETRA, LATEX</t>
  </si>
  <si>
    <t>COIL, EMB, DETACHABLE, 2.5 MMX3.5 CM, STRL, TARGET TETRA, LTX</t>
  </si>
  <si>
    <t>2.5 MMX3.5 CM</t>
  </si>
  <si>
    <t>https://www.physiciansofficeresource.com/diagnostics/gudid-stryker~corporation/gudid-detachable-coil-07613327578614/, https://accessgudid.nlm.nih.gov/devices/07613327578614</t>
  </si>
  <si>
    <t>COIL, EMBOLIZATION, DETACHABLE, 2.5 MMX4.5 CM, STERILE, TARGET TETRA, LATEX</t>
  </si>
  <si>
    <t>COIL, EMB, DETACHABLE, 2.5 MMX4.5 CM, STRL, TARGET TETRA, LTX</t>
  </si>
  <si>
    <t>2.5 MMX4.5 CM</t>
  </si>
  <si>
    <t>https://accessgudid.nlm.nih.gov/devices/07613327578621</t>
  </si>
  <si>
    <t>COIL, EMBOLIZATION, DETACHABLE, 2.5 MMX6 CM, STERILE, TARGET TETRA, LATEX</t>
  </si>
  <si>
    <t>COIL, EMB, DETACHABLE, 2.5 MMX6 CM, STRL, TARGET TETRA, LTX</t>
  </si>
  <si>
    <t>2.5 MMX6 CM</t>
  </si>
  <si>
    <t>https://www.physiciansofficeresource.com/diagnostics/gudid-stryker~corporation/gudid-detachable-coil-07613327578638/, https://accessgudid.nlm.nih.gov/devices/07613327578638</t>
  </si>
  <si>
    <t>COIL, EMBOLIZATION, DETACHABLE, 3 MMX10 CM, STERILE, TARGET TETRA, LATEX</t>
  </si>
  <si>
    <t>COIL, EMB, DETACHABLE, 3 MMX10 CM, STRL, TARGET TETRA, LTX</t>
  </si>
  <si>
    <t>3 MMX10 CM</t>
  </si>
  <si>
    <t>https://www.physiciansofficeresource.com/diagnostics/gudid-stryker~corporation/gudid-detachable-coil-07613327578676/, https://accessgudid.nlm.nih.gov/devices/07613327578676</t>
  </si>
  <si>
    <t>COIL, EMBOLIZATION, DETACHABLE, 3 MMX4.5 CM, STERILE, TARGET TETRA, LATEX</t>
  </si>
  <si>
    <t>COIL, EMB, DETACHABLE, 3 MMX4.5 CM, STRL, TARGET TETRA, LTX</t>
  </si>
  <si>
    <t>3 MMX4.5 CM</t>
  </si>
  <si>
    <t>https://www.physiciansofficeresource.com/diagnostics/gudid-stryker~corporation/gudid-detachable-coil-07613327578645/, https://accessgudid.nlm.nih.gov/devices/07613327578645</t>
  </si>
  <si>
    <t>COIL, EMBOLIZATION, DETACHABLE, 3 MMX6 CM, STERILE, TARGET TETRA, LATEX</t>
  </si>
  <si>
    <t>COIL, EMB, DETACHABLE, 3 MMX6 CM, STRL, TARGET TETRA, LTX</t>
  </si>
  <si>
    <t>3 MMX6 CM</t>
  </si>
  <si>
    <t>https://www.physiciansofficeresource.com/diagnostics/gudid-stryker~corporation/gudid-detachable-coil-07613327578652/, https://accessgudid.nlm.nih.gov/devices/07613327578652</t>
  </si>
  <si>
    <t>COIL, EMBOLIZATION, DETACHABLE, 3 MMX8 CM, STERILE, TARGET TETRA, LATEX</t>
  </si>
  <si>
    <t>COIL, EMB, DETACHABLE, 3 MMX8 CM, STRL, TARGET TETRA, LTX</t>
  </si>
  <si>
    <t>3 MMX8 CM</t>
  </si>
  <si>
    <t>https://accessgudid.nlm.nih.gov/devices/07613327578669</t>
  </si>
  <si>
    <t>COIL, EMBOLIZATION, DETACHABLE, 3.5 MMX10 CM, STERILE, TARGET TETRA, LATEX</t>
  </si>
  <si>
    <t>COIL, EMB, DETACHABLE, 3.5 MMX10 CM, STRL, TARGET TETRA, LTX</t>
  </si>
  <si>
    <t>3.5 MMX10 CM</t>
  </si>
  <si>
    <t>https://accessgudid.nlm.nih.gov/devices/07613327578706</t>
  </si>
  <si>
    <t>COIL, EMBOLIZATION, DETACHABLE, 3.5 MMX6 CM, STERILE, TARGET TETRA, LATEX</t>
  </si>
  <si>
    <t>COIL, EMB, DETACHABLE, 3.5 MMX6 CM, STRL, TARGET TETRA, LTX</t>
  </si>
  <si>
    <t>3.5 MMX6 CM</t>
  </si>
  <si>
    <t>https://www.physiciansofficeresource.com/diagnostics/gudid-stryker~corporation/gudid-detachable-coil-07613327578683/, https://accessgudid.nlm.nih.gov/devices/07613327578683</t>
  </si>
  <si>
    <t>COIL, EMBOLIZATION, DETACHABLE, 3.5 MMX8 CM, STERILE, TARGET TETRA, LATEX</t>
  </si>
  <si>
    <t>COIL, EMB, DETACHABLE, 3.5 MMX8 CM, STRL, TARGET TETRA, LTX</t>
  </si>
  <si>
    <t>3.5 MMX8 CM</t>
  </si>
  <si>
    <t>https://www.physiciansofficeresource.com/diagnostics/gudid-stryker~corporation/gudid-detachable-coil-07613327578690/, https://accessgudid.nlm.nih.gov/devices/07613327578690</t>
  </si>
  <si>
    <t>COIL, EMBOLIZATION, DETACHABLE, 4 MMX10 CM, STERILE, TARGET TETRA, LATEX</t>
  </si>
  <si>
    <t>COIL, EMB, DETACHABLE, 4 MMX10 CM, STRL, TARGET TETRA, LTX</t>
  </si>
  <si>
    <t>4 MMX10 CM</t>
  </si>
  <si>
    <t>https://accessgudid.nlm.nih.gov/devices/07613327578737</t>
  </si>
  <si>
    <t>COIL, EMBOLIZATION, DETACHABLE, 4 MMX6 CM, STERILE, TARGET TETRA, LATEX</t>
  </si>
  <si>
    <t>COIL, EMB, DETACHABLE, 4 MMX6 CM, STRL, TARGET TETRA, LTX</t>
  </si>
  <si>
    <t>4 MMX6 CM</t>
  </si>
  <si>
    <t>https://accessgudid.nlm.nih.gov/devices/07613327578713</t>
  </si>
  <si>
    <t>COIL, EMBOLIZATION, DETACHABLE, 4 MMX8 CM, STERILE, TARGET TETRA, LATEX</t>
  </si>
  <si>
    <t>COIL, EMB, DETACHABLE, 4 MMX8 CM, STRL, TARGET TETRA, LTX</t>
  </si>
  <si>
    <t>4 MMX8 CM</t>
  </si>
  <si>
    <t>https://accessgudid.nlm.nih.gov/devices/07613327578720</t>
  </si>
  <si>
    <t>COIL, EMBOLIZATION, DETACHABLE, 4.5 MMX10 CM, STERILE, TARGET TETRA, LATEX</t>
  </si>
  <si>
    <t>COIL, EMB, DETACHABLE, 4.5 MMX10 CM, STRL, TARGET TETRA, LTX</t>
  </si>
  <si>
    <t>4.5 MMX10 CM</t>
  </si>
  <si>
    <t>https://www.physiciansofficeresource.com/diagnostics/gudid-stryker~corporation/gudid-detachable-coil-07613327578744/, https://accessgudid.nlm.nih.gov/devices/07613327578744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</si>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</sst>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/>
    </xf>
    <xf numFmtId="0" fontId="6" fillId="0" borderId="1" xfId="0" applyNumberFormat="1" applyFont="1" applyAlignment="1">
      <alignment horizontal="left"/>
    </xf>
    <xf numFmtId="0" fontId="6" fillId="0" borderId="1" xfId="0" quotePrefix="1" applyNumberFormat="1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33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4.7109375" style="1" customWidth="1"/>
    <col min="22" max="22" width="5.7109375" style="1" customWidth="1"/>
    <col min="23" max="23" width="25.57031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169.425781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41</v>
      </c>
      <c r="B1" s="2" t="s">
        <v>23</v>
      </c>
      <c r="C1" s="2" t="s">
        <v>129</v>
      </c>
      <c r="D1" s="2" t="s">
        <v>90</v>
      </c>
      <c r="E1" s="2" t="s">
        <v>205</v>
      </c>
      <c r="F1" s="2" t="s">
        <v>55</v>
      </c>
      <c r="G1" s="2" t="s">
        <v>100</v>
      </c>
      <c r="H1" s="2" t="s">
        <v>121</v>
      </c>
      <c r="I1" s="2" t="s">
        <v>28</v>
      </c>
      <c r="J1" s="2" t="s">
        <v>109</v>
      </c>
      <c r="K1" s="2" t="s">
        <v>122</v>
      </c>
      <c r="L1" s="2" t="s">
        <v>76</v>
      </c>
      <c r="M1" s="2" t="s">
        <v>17</v>
      </c>
      <c r="N1" s="2" t="s">
        <v>160</v>
      </c>
      <c r="O1" s="2" t="s">
        <v>20</v>
      </c>
      <c r="P1" s="2" t="s">
        <v>83</v>
      </c>
      <c r="Q1" s="2" t="s">
        <v>69</v>
      </c>
      <c r="R1" s="2" t="s">
        <v>51</v>
      </c>
      <c r="S1" s="2" t="s">
        <v>50</v>
      </c>
      <c r="T1" s="2" t="s">
        <v>94</v>
      </c>
      <c r="U1" s="3" t="s">
        <v>141</v>
      </c>
      <c r="V1" s="3" t="s">
        <v>73</v>
      </c>
      <c r="W1" s="4" t="s">
        <v>91</v>
      </c>
      <c r="X1" s="5" t="s">
        <v>92</v>
      </c>
      <c r="Y1" s="6" t="s">
        <v>152</v>
      </c>
      <c r="Z1" s="4" t="s">
        <v>7</v>
      </c>
      <c r="AA1" s="5" t="s">
        <v>194</v>
      </c>
      <c r="AB1" s="6" t="s">
        <v>22</v>
      </c>
      <c r="AC1" s="2" t="s">
        <v>188</v>
      </c>
      <c r="AD1" s="2" t="s">
        <v>1</v>
      </c>
      <c r="AE1" s="7" t="s">
        <v>71</v>
      </c>
      <c r="AF1" s="2" t="s">
        <v>127</v>
      </c>
      <c r="AG1" s="5" t="s">
        <v>142</v>
      </c>
      <c r="AH1" s="5" t="s">
        <v>158</v>
      </c>
      <c r="AI1" s="5" t="s">
        <v>173</v>
      </c>
      <c r="AJ1" s="5" t="s">
        <v>49</v>
      </c>
      <c r="AK1" s="5" t="s">
        <v>181</v>
      </c>
      <c r="AL1" s="5" t="s">
        <v>191</v>
      </c>
      <c r="AM1" s="5" t="s">
        <v>68</v>
      </c>
      <c r="AN1" s="5" t="s">
        <v>78</v>
      </c>
      <c r="AO1" s="6" t="s">
        <v>3</v>
      </c>
      <c r="AP1" s="2" t="s">
        <v>112</v>
      </c>
      <c r="AQ1" s="2" t="s">
        <v>135</v>
      </c>
      <c r="AR1" s="8" t="s">
        <v>60</v>
      </c>
      <c r="AS1" s="6" t="s">
        <v>150</v>
      </c>
      <c r="AT1" s="6" t="s">
        <v>167</v>
      </c>
      <c r="AU1" s="9" t="s">
        <v>162</v>
      </c>
      <c r="AV1" s="9" t="s">
        <v>149</v>
      </c>
      <c r="AW1" s="10" t="s">
        <v>86</v>
      </c>
      <c r="AX1" s="8" t="s">
        <v>177</v>
      </c>
      <c r="AY1" s="8" t="s">
        <v>82</v>
      </c>
      <c r="AZ1" s="8" t="s">
        <v>31</v>
      </c>
      <c r="BA1" s="8" t="s">
        <v>132</v>
      </c>
      <c r="BB1" s="8" t="s">
        <v>10</v>
      </c>
      <c r="BC1" s="8" t="s">
        <v>211</v>
      </c>
      <c r="BD1" s="8" t="s">
        <v>215</v>
      </c>
      <c r="BE1" s="8" t="s">
        <v>58</v>
      </c>
      <c r="BF1" s="8" t="s">
        <v>65</v>
      </c>
      <c r="BG1" s="8" t="s">
        <v>16</v>
      </c>
      <c r="BH1" s="8" t="s">
        <v>5</v>
      </c>
      <c r="BI1" s="8" t="s">
        <v>18</v>
      </c>
      <c r="BJ1" s="8" t="s">
        <v>8</v>
      </c>
      <c r="BK1" s="8" t="s">
        <v>148</v>
      </c>
      <c r="BL1" s="8" t="s">
        <v>145</v>
      </c>
      <c r="BM1" s="8" t="s">
        <v>172</v>
      </c>
      <c r="BN1" s="8" t="s">
        <v>38</v>
      </c>
      <c r="BO1" s="8" t="s">
        <v>106</v>
      </c>
      <c r="BP1" s="8" t="s">
        <v>190</v>
      </c>
      <c r="BQ1" s="6" t="s">
        <v>43</v>
      </c>
      <c r="BR1" s="6" t="s">
        <v>77</v>
      </c>
      <c r="BS1" s="8" t="s">
        <v>137</v>
      </c>
      <c r="BT1" s="8" t="s">
        <v>30</v>
      </c>
      <c r="BU1" s="8" t="s">
        <v>59</v>
      </c>
      <c r="BV1" s="8" t="s">
        <v>34</v>
      </c>
      <c r="BW1" s="8" t="s">
        <v>216</v>
      </c>
      <c r="BX1" s="8" t="s">
        <v>87</v>
      </c>
      <c r="BY1" s="8" t="s">
        <v>175</v>
      </c>
      <c r="BZ1" s="8" t="s">
        <v>52</v>
      </c>
      <c r="CA1" s="11" t="s">
        <v>144</v>
      </c>
      <c r="CB1" s="11" t="s">
        <v>180</v>
      </c>
      <c r="CC1" s="11" t="s">
        <v>42</v>
      </c>
      <c r="CD1" s="11" t="s">
        <v>187</v>
      </c>
      <c r="CE1" s="11" t="s">
        <v>80</v>
      </c>
      <c r="CF1" s="11" t="s">
        <v>26</v>
      </c>
      <c r="CG1" s="11" t="s">
        <v>97</v>
      </c>
      <c r="CH1" s="11" t="s">
        <v>35</v>
      </c>
      <c r="CI1" s="11" t="s">
        <v>37</v>
      </c>
      <c r="CJ1" s="11" t="s">
        <v>115</v>
      </c>
      <c r="CK1" s="11" t="s">
        <v>206</v>
      </c>
      <c r="CL1" s="11" t="s">
        <v>89</v>
      </c>
      <c r="CM1" s="11" t="s">
        <v>153</v>
      </c>
      <c r="CN1" s="11" t="s">
        <v>116</v>
      </c>
      <c r="CO1" s="11" t="s">
        <v>110</v>
      </c>
      <c r="CP1" s="11" t="s">
        <v>15</v>
      </c>
      <c r="CQ1" s="11" t="s">
        <v>117</v>
      </c>
      <c r="CR1" s="11" t="s">
        <v>138</v>
      </c>
      <c r="CS1" s="11" t="s">
        <v>146</v>
      </c>
      <c r="CT1" s="5" t="s">
        <v>164</v>
      </c>
      <c r="CU1" s="5" t="s">
        <v>199</v>
      </c>
      <c r="CV1" s="5" t="s">
        <v>33</v>
      </c>
      <c r="CW1" s="5" t="s">
        <v>27</v>
      </c>
      <c r="CX1" s="12" t="s">
        <v>66</v>
      </c>
      <c r="CY1" s="13" t="s">
        <v>198</v>
      </c>
      <c r="CZ1" s="12" t="s">
        <v>54</v>
      </c>
      <c r="DA1" s="14" t="s">
        <v>171</v>
      </c>
      <c r="DB1" s="14" t="s">
        <v>189</v>
      </c>
      <c r="DC1" s="14" t="s">
        <v>25</v>
      </c>
      <c r="DD1" s="14" t="s">
        <v>210</v>
      </c>
      <c r="DE1" s="14" t="s">
        <v>48</v>
      </c>
      <c r="DF1" s="1" t="s">
        <v>102</v>
      </c>
      <c r="DG1" s="1" t="s">
        <v>134</v>
      </c>
    </row>
    <row r="2" spans="1:111" ht="12" customHeight="1" x14ac:dyDescent="0.25">
      <c r="A2" s="15" t="s">
        <v>9</v>
      </c>
      <c r="B2" t="s">
        <v>113</v>
      </c>
      <c r="C2" t="s">
        <v>130</v>
      </c>
      <c r="D2" t="s">
        <v>140</v>
      </c>
      <c r="E2" s="17" t="s">
        <v>217</v>
      </c>
      <c r="F2" t="s">
        <v>140</v>
      </c>
      <c r="G2" s="17" t="s">
        <v>220</v>
      </c>
      <c r="H2" s="16" t="s">
        <v>46</v>
      </c>
      <c r="I2"/>
      <c r="J2"/>
      <c r="K2"/>
      <c r="L2"/>
      <c r="M2"/>
      <c r="N2"/>
      <c r="O2"/>
      <c r="P2"/>
      <c r="Q2"/>
      <c r="R2"/>
      <c r="S2"/>
      <c r="T2"/>
      <c r="U2">
        <v>11</v>
      </c>
      <c r="V2">
        <v>1</v>
      </c>
      <c r="W2" t="s">
        <v>126</v>
      </c>
      <c r="X2" t="s">
        <v>108</v>
      </c>
      <c r="Y2" s="17" t="s">
        <v>221</v>
      </c>
      <c r="Z2" t="e">
        <v>#N/A</v>
      </c>
      <c r="AA2" t="s">
        <v>124</v>
      </c>
      <c r="AB2" s="17"/>
      <c r="AC2" s="17" t="s">
        <v>223</v>
      </c>
      <c r="AD2" s="17"/>
      <c r="AE2" s="17"/>
      <c r="AF2" s="17" t="s">
        <v>223</v>
      </c>
      <c r="AG2"/>
      <c r="AH2"/>
      <c r="AI2"/>
      <c r="AJ2" t="s">
        <v>79</v>
      </c>
      <c r="AK2"/>
      <c r="AL2">
        <v>426</v>
      </c>
      <c r="AM2" t="s">
        <v>213</v>
      </c>
      <c r="AN2"/>
      <c r="AO2" s="17" t="s">
        <v>255</v>
      </c>
      <c r="AP2" s="17"/>
      <c r="AQ2" s="17"/>
      <c r="AR2" s="17" t="s">
        <v>79</v>
      </c>
      <c r="AS2" s="18" t="s">
        <v>256</v>
      </c>
      <c r="AT2" s="18" t="s">
        <v>256</v>
      </c>
      <c r="AU2" s="17" t="s">
        <v>257</v>
      </c>
      <c r="AV2" s="17" t="s">
        <v>258</v>
      </c>
      <c r="AW2" s="17">
        <f>LEN(SUBSTITUTE(AV2, ", "," "))</f>
        <v>59</v>
      </c>
      <c r="AX2" s="18" t="s">
        <v>259</v>
      </c>
      <c r="AY2" s="18" t="s">
        <v>260</v>
      </c>
      <c r="AZ2" s="18" t="s">
        <v>261</v>
      </c>
      <c r="BA2" s="17"/>
      <c r="BB2" s="17"/>
      <c r="BC2" s="18" t="s">
        <v>262</v>
      </c>
      <c r="BD2" s="17"/>
      <c r="BE2" s="17"/>
      <c r="BF2" s="17"/>
      <c r="BG2" s="17"/>
      <c r="BH2" s="18" t="s">
        <v>263</v>
      </c>
      <c r="BI2" s="18" t="s">
        <v>264</v>
      </c>
      <c r="BJ2" s="17"/>
      <c r="BK2" s="17"/>
      <c r="BL2" s="18" t="s">
        <v>265</v>
      </c>
      <c r="BM2" s="18" t="s">
        <v>266</v>
      </c>
      <c r="BN2" s="18" t="s">
        <v>267</v>
      </c>
      <c r="BO2" s="18" t="s">
        <v>268</v>
      </c>
      <c r="BP2" s="17"/>
      <c r="BQ2" s="17" t="s">
        <v>269</v>
      </c>
      <c r="BR2" s="17"/>
      <c r="BS2" s="17"/>
      <c r="BT2" s="17"/>
      <c r="BU2" s="17"/>
      <c r="BV2" s="17"/>
      <c r="BW2" s="17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441</v>
      </c>
    </row>
    <row r="3" spans="1:111" ht="12" customHeight="1" x14ac:dyDescent="0.25">
      <c r="A3" s="15" t="s">
        <v>9</v>
      </c>
      <c r="B3" t="s">
        <v>113</v>
      </c>
      <c r="C3" t="s">
        <v>130</v>
      </c>
      <c r="D3" t="s">
        <v>140</v>
      </c>
      <c r="E3" s="17" t="s">
        <v>218</v>
      </c>
      <c r="F3" t="s">
        <v>140</v>
      </c>
      <c r="G3" s="17" t="s">
        <v>220</v>
      </c>
      <c r="H3" s="16" t="s">
        <v>46</v>
      </c>
      <c r="I3"/>
      <c r="J3"/>
      <c r="K3"/>
      <c r="L3"/>
      <c r="M3"/>
      <c r="N3"/>
      <c r="O3"/>
      <c r="P3"/>
      <c r="Q3"/>
      <c r="R3"/>
      <c r="S3"/>
      <c r="T3"/>
      <c r="U3">
        <v>12</v>
      </c>
      <c r="V3">
        <v>2</v>
      </c>
      <c r="W3" t="s">
        <v>126</v>
      </c>
      <c r="X3" t="s">
        <v>108</v>
      </c>
      <c r="Y3" s="17" t="s">
        <v>221</v>
      </c>
      <c r="Z3" t="s">
        <v>202</v>
      </c>
      <c r="AA3">
        <v>10118</v>
      </c>
      <c r="AB3" s="17" t="s">
        <v>202</v>
      </c>
      <c r="AC3" s="17" t="s">
        <v>223</v>
      </c>
      <c r="AD3" s="17" t="s">
        <v>202</v>
      </c>
      <c r="AE3" s="17" t="s">
        <v>202</v>
      </c>
      <c r="AF3" s="17" t="s">
        <v>224</v>
      </c>
      <c r="AG3"/>
      <c r="AH3"/>
      <c r="AI3"/>
      <c r="AJ3" t="s">
        <v>182</v>
      </c>
      <c r="AK3"/>
      <c r="AL3">
        <v>426</v>
      </c>
      <c r="AM3" t="s">
        <v>105</v>
      </c>
      <c r="AN3"/>
      <c r="AO3" s="17" t="s">
        <v>255</v>
      </c>
      <c r="AP3" s="17" t="s">
        <v>270</v>
      </c>
      <c r="AQ3" s="17" t="s">
        <v>271</v>
      </c>
      <c r="AR3" s="17" t="s">
        <v>272</v>
      </c>
      <c r="AS3" s="18" t="s">
        <v>273</v>
      </c>
      <c r="AT3" s="18" t="s">
        <v>273</v>
      </c>
      <c r="AU3" s="17" t="s">
        <v>274</v>
      </c>
      <c r="AV3" s="17" t="s">
        <v>275</v>
      </c>
      <c r="AW3" s="17">
        <f>LEN(SUBSTITUTE(AV3, ", "," "))</f>
        <v>57</v>
      </c>
      <c r="AX3" s="18" t="s">
        <v>259</v>
      </c>
      <c r="AY3" s="18" t="s">
        <v>276</v>
      </c>
      <c r="AZ3" s="18" t="s">
        <v>261</v>
      </c>
      <c r="BA3" s="17"/>
      <c r="BB3" s="17"/>
      <c r="BC3" s="18" t="s">
        <v>277</v>
      </c>
      <c r="BD3" s="17"/>
      <c r="BE3" s="17"/>
      <c r="BF3" s="17"/>
      <c r="BG3" s="17"/>
      <c r="BH3" s="18" t="s">
        <v>278</v>
      </c>
      <c r="BI3" s="18" t="s">
        <v>279</v>
      </c>
      <c r="BJ3" s="17"/>
      <c r="BK3" s="17"/>
      <c r="BL3" s="18" t="s">
        <v>265</v>
      </c>
      <c r="BM3" s="18" t="s">
        <v>280</v>
      </c>
      <c r="BN3" s="18" t="s">
        <v>267</v>
      </c>
      <c r="BO3" s="18" t="s">
        <v>268</v>
      </c>
      <c r="BP3" s="17"/>
      <c r="BQ3" s="17" t="s">
        <v>281</v>
      </c>
      <c r="BR3" s="17"/>
      <c r="BS3" s="17"/>
      <c r="BT3" s="17"/>
      <c r="BU3" s="17"/>
      <c r="BV3" s="17"/>
      <c r="BW3" s="17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441</v>
      </c>
    </row>
    <row r="4" spans="1:111" ht="12" customHeight="1" x14ac:dyDescent="0.25">
      <c r="A4" s="15" t="s">
        <v>9</v>
      </c>
      <c r="B4" t="s">
        <v>113</v>
      </c>
      <c r="C4" t="s">
        <v>130</v>
      </c>
      <c r="D4" t="s">
        <v>140</v>
      </c>
      <c r="E4" s="17" t="s">
        <v>217</v>
      </c>
      <c r="F4" t="s">
        <v>140</v>
      </c>
      <c r="G4" s="17" t="s">
        <v>220</v>
      </c>
      <c r="H4" s="16" t="s">
        <v>46</v>
      </c>
      <c r="I4"/>
      <c r="J4"/>
      <c r="K4"/>
      <c r="L4"/>
      <c r="M4"/>
      <c r="N4"/>
      <c r="O4"/>
      <c r="P4"/>
      <c r="Q4"/>
      <c r="R4"/>
      <c r="S4"/>
      <c r="T4"/>
      <c r="U4">
        <v>13</v>
      </c>
      <c r="V4">
        <v>3</v>
      </c>
      <c r="W4" t="s">
        <v>98</v>
      </c>
      <c r="X4" t="s">
        <v>98</v>
      </c>
      <c r="Y4" s="17" t="s">
        <v>98</v>
      </c>
      <c r="Z4" t="s">
        <v>203</v>
      </c>
      <c r="AA4" t="s">
        <v>203</v>
      </c>
      <c r="AB4" s="17" t="s">
        <v>203</v>
      </c>
      <c r="AC4" s="17" t="s">
        <v>98</v>
      </c>
      <c r="AD4" s="17" t="s">
        <v>203</v>
      </c>
      <c r="AE4" s="17" t="s">
        <v>203</v>
      </c>
      <c r="AF4" s="17" t="s">
        <v>225</v>
      </c>
      <c r="AG4"/>
      <c r="AH4"/>
      <c r="AI4"/>
      <c r="AJ4" t="s">
        <v>99</v>
      </c>
      <c r="AK4"/>
      <c r="AL4">
        <v>4907</v>
      </c>
      <c r="AM4" t="s">
        <v>161</v>
      </c>
      <c r="AN4"/>
      <c r="AO4" s="17" t="s">
        <v>282</v>
      </c>
      <c r="AP4" s="17" t="s">
        <v>283</v>
      </c>
      <c r="AQ4" s="17" t="s">
        <v>284</v>
      </c>
      <c r="AR4" s="17" t="s">
        <v>99</v>
      </c>
      <c r="AS4" s="18" t="s">
        <v>285</v>
      </c>
      <c r="AT4" s="18" t="s">
        <v>285</v>
      </c>
      <c r="AU4" s="17" t="s">
        <v>286</v>
      </c>
      <c r="AV4" s="17" t="s">
        <v>287</v>
      </c>
      <c r="AW4" s="17">
        <f>LEN(SUBSTITUTE(AV4, ", "," "))</f>
        <v>52</v>
      </c>
      <c r="AX4" s="18" t="s">
        <v>288</v>
      </c>
      <c r="AY4" s="18" t="s">
        <v>289</v>
      </c>
      <c r="AZ4" s="18" t="s">
        <v>290</v>
      </c>
      <c r="BA4" s="17"/>
      <c r="BB4" s="17"/>
      <c r="BC4" s="17"/>
      <c r="BD4" s="17"/>
      <c r="BE4" s="17"/>
      <c r="BF4" s="17"/>
      <c r="BG4" s="18" t="s">
        <v>291</v>
      </c>
      <c r="BH4" s="18" t="s">
        <v>292</v>
      </c>
      <c r="BI4" s="17"/>
      <c r="BJ4" s="17"/>
      <c r="BK4" s="17"/>
      <c r="BL4" s="17"/>
      <c r="BM4" s="18" t="s">
        <v>293</v>
      </c>
      <c r="BN4" s="17"/>
      <c r="BO4" s="17"/>
      <c r="BP4" s="17"/>
      <c r="BQ4" s="17" t="s">
        <v>269</v>
      </c>
      <c r="BR4" s="17"/>
      <c r="BS4" s="17"/>
      <c r="BT4" s="17"/>
      <c r="BU4" s="17"/>
      <c r="BV4" s="17"/>
      <c r="BW4" s="17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441</v>
      </c>
    </row>
    <row r="5" spans="1:111" ht="12" customHeight="1" x14ac:dyDescent="0.25">
      <c r="A5" s="15" t="s">
        <v>9</v>
      </c>
      <c r="B5" t="s">
        <v>113</v>
      </c>
      <c r="C5" t="s">
        <v>130</v>
      </c>
      <c r="D5" t="s">
        <v>140</v>
      </c>
      <c r="E5" s="17" t="s">
        <v>217</v>
      </c>
      <c r="F5" t="s">
        <v>140</v>
      </c>
      <c r="G5" s="17" t="s">
        <v>220</v>
      </c>
      <c r="H5" s="16" t="s">
        <v>46</v>
      </c>
      <c r="I5"/>
      <c r="J5"/>
      <c r="K5"/>
      <c r="L5"/>
      <c r="M5"/>
      <c r="N5"/>
      <c r="O5"/>
      <c r="P5"/>
      <c r="Q5"/>
      <c r="R5"/>
      <c r="S5"/>
      <c r="T5"/>
      <c r="U5">
        <v>14</v>
      </c>
      <c r="V5">
        <v>4</v>
      </c>
      <c r="W5" t="s">
        <v>98</v>
      </c>
      <c r="X5" t="s">
        <v>98</v>
      </c>
      <c r="Y5" s="17" t="s">
        <v>98</v>
      </c>
      <c r="Z5" t="s">
        <v>155</v>
      </c>
      <c r="AA5" t="s">
        <v>155</v>
      </c>
      <c r="AB5" s="17" t="s">
        <v>155</v>
      </c>
      <c r="AC5" s="17" t="s">
        <v>98</v>
      </c>
      <c r="AD5" s="17" t="s">
        <v>155</v>
      </c>
      <c r="AE5" s="17" t="s">
        <v>155</v>
      </c>
      <c r="AF5" s="17" t="s">
        <v>226</v>
      </c>
      <c r="AG5"/>
      <c r="AH5"/>
      <c r="AI5"/>
      <c r="AJ5" t="s">
        <v>93</v>
      </c>
      <c r="AK5"/>
      <c r="AL5">
        <v>4907</v>
      </c>
      <c r="AM5" t="s">
        <v>159</v>
      </c>
      <c r="AN5"/>
      <c r="AO5" s="17" t="s">
        <v>282</v>
      </c>
      <c r="AP5" s="17" t="s">
        <v>283</v>
      </c>
      <c r="AQ5" s="17" t="s">
        <v>284</v>
      </c>
      <c r="AR5" s="17" t="s">
        <v>93</v>
      </c>
      <c r="AS5" s="18" t="s">
        <v>294</v>
      </c>
      <c r="AT5" s="18" t="s">
        <v>294</v>
      </c>
      <c r="AU5" s="17" t="s">
        <v>295</v>
      </c>
      <c r="AV5" s="17" t="s">
        <v>296</v>
      </c>
      <c r="AW5" s="17">
        <f>LEN(SUBSTITUTE(AV5, ", "," "))</f>
        <v>53</v>
      </c>
      <c r="AX5" s="18" t="s">
        <v>288</v>
      </c>
      <c r="AY5" s="18" t="s">
        <v>289</v>
      </c>
      <c r="AZ5" s="18" t="s">
        <v>297</v>
      </c>
      <c r="BA5" s="17"/>
      <c r="BB5" s="17"/>
      <c r="BC5" s="17"/>
      <c r="BD5" s="17"/>
      <c r="BE5" s="17"/>
      <c r="BF5" s="17"/>
      <c r="BG5" s="18" t="s">
        <v>291</v>
      </c>
      <c r="BH5" s="18" t="s">
        <v>292</v>
      </c>
      <c r="BI5" s="17"/>
      <c r="BJ5" s="17"/>
      <c r="BK5" s="17"/>
      <c r="BL5" s="17"/>
      <c r="BM5" s="18" t="s">
        <v>293</v>
      </c>
      <c r="BN5" s="17"/>
      <c r="BO5" s="17"/>
      <c r="BP5" s="17"/>
      <c r="BQ5" s="17" t="s">
        <v>269</v>
      </c>
      <c r="BR5" s="17"/>
      <c r="BS5" s="17"/>
      <c r="BT5" s="17"/>
      <c r="BU5" s="17"/>
      <c r="BV5" s="17"/>
      <c r="BW5" s="17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441</v>
      </c>
    </row>
    <row r="6" spans="1:111" ht="12" customHeight="1" x14ac:dyDescent="0.25">
      <c r="A6" s="15" t="s">
        <v>9</v>
      </c>
      <c r="B6" t="s">
        <v>113</v>
      </c>
      <c r="C6" t="s">
        <v>130</v>
      </c>
      <c r="D6" t="s">
        <v>140</v>
      </c>
      <c r="E6" s="17" t="s">
        <v>217</v>
      </c>
      <c r="F6" t="s">
        <v>140</v>
      </c>
      <c r="G6" s="17" t="s">
        <v>220</v>
      </c>
      <c r="H6" s="16" t="s">
        <v>46</v>
      </c>
      <c r="I6"/>
      <c r="J6"/>
      <c r="K6"/>
      <c r="L6"/>
      <c r="M6"/>
      <c r="N6"/>
      <c r="O6"/>
      <c r="P6"/>
      <c r="Q6"/>
      <c r="R6"/>
      <c r="S6"/>
      <c r="T6"/>
      <c r="U6">
        <v>15</v>
      </c>
      <c r="V6">
        <v>5</v>
      </c>
      <c r="W6" t="s">
        <v>98</v>
      </c>
      <c r="X6" t="s">
        <v>98</v>
      </c>
      <c r="Y6" s="17" t="s">
        <v>98</v>
      </c>
      <c r="Z6" t="s">
        <v>96</v>
      </c>
      <c r="AA6" t="s">
        <v>96</v>
      </c>
      <c r="AB6" s="17" t="s">
        <v>96</v>
      </c>
      <c r="AC6" s="17" t="s">
        <v>98</v>
      </c>
      <c r="AD6" s="17" t="s">
        <v>96</v>
      </c>
      <c r="AE6" s="17" t="s">
        <v>96</v>
      </c>
      <c r="AF6" s="17" t="s">
        <v>227</v>
      </c>
      <c r="AG6"/>
      <c r="AH6"/>
      <c r="AI6"/>
      <c r="AJ6" t="s">
        <v>136</v>
      </c>
      <c r="AK6"/>
      <c r="AL6">
        <v>4907</v>
      </c>
      <c r="AM6" t="s">
        <v>21</v>
      </c>
      <c r="AN6"/>
      <c r="AO6" s="17" t="s">
        <v>282</v>
      </c>
      <c r="AP6" s="17" t="s">
        <v>283</v>
      </c>
      <c r="AQ6" s="17" t="s">
        <v>284</v>
      </c>
      <c r="AR6" s="17" t="s">
        <v>136</v>
      </c>
      <c r="AS6" s="18" t="s">
        <v>298</v>
      </c>
      <c r="AT6" s="18" t="s">
        <v>298</v>
      </c>
      <c r="AU6" s="17" t="s">
        <v>299</v>
      </c>
      <c r="AV6" s="17" t="s">
        <v>300</v>
      </c>
      <c r="AW6" s="17">
        <f>LEN(SUBSTITUTE(AV6, ", "," "))</f>
        <v>52</v>
      </c>
      <c r="AX6" s="18" t="s">
        <v>288</v>
      </c>
      <c r="AY6" s="18" t="s">
        <v>289</v>
      </c>
      <c r="AZ6" s="18" t="s">
        <v>301</v>
      </c>
      <c r="BA6" s="17"/>
      <c r="BB6" s="17"/>
      <c r="BC6" s="17"/>
      <c r="BD6" s="17"/>
      <c r="BE6" s="17"/>
      <c r="BF6" s="17"/>
      <c r="BG6" s="18" t="s">
        <v>291</v>
      </c>
      <c r="BH6" s="18" t="s">
        <v>292</v>
      </c>
      <c r="BI6" s="17"/>
      <c r="BJ6" s="17"/>
      <c r="BK6" s="17"/>
      <c r="BL6" s="17"/>
      <c r="BM6" s="18" t="s">
        <v>293</v>
      </c>
      <c r="BN6" s="17"/>
      <c r="BO6" s="17"/>
      <c r="BP6" s="17"/>
      <c r="BQ6" s="17" t="s">
        <v>269</v>
      </c>
      <c r="BR6" s="17"/>
      <c r="BS6" s="17"/>
      <c r="BT6" s="17"/>
      <c r="BU6" s="17"/>
      <c r="BV6" s="17"/>
      <c r="BW6" s="17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441</v>
      </c>
    </row>
    <row r="7" spans="1:111" ht="12" customHeight="1" x14ac:dyDescent="0.25">
      <c r="A7" s="15" t="s">
        <v>9</v>
      </c>
      <c r="B7" t="s">
        <v>113</v>
      </c>
      <c r="C7" t="s">
        <v>130</v>
      </c>
      <c r="D7" t="s">
        <v>140</v>
      </c>
      <c r="E7" s="17" t="s">
        <v>218</v>
      </c>
      <c r="F7" t="s">
        <v>140</v>
      </c>
      <c r="G7" s="17" t="s">
        <v>220</v>
      </c>
      <c r="H7" s="16" t="s">
        <v>46</v>
      </c>
      <c r="I7"/>
      <c r="J7"/>
      <c r="K7"/>
      <c r="L7"/>
      <c r="M7"/>
      <c r="N7"/>
      <c r="O7"/>
      <c r="P7"/>
      <c r="Q7"/>
      <c r="R7"/>
      <c r="S7"/>
      <c r="T7"/>
      <c r="U7">
        <v>16</v>
      </c>
      <c r="V7">
        <v>6</v>
      </c>
      <c r="W7" t="s">
        <v>183</v>
      </c>
      <c r="X7" t="s">
        <v>193</v>
      </c>
      <c r="Y7" s="17" t="s">
        <v>222</v>
      </c>
      <c r="Z7" t="s">
        <v>81</v>
      </c>
      <c r="AA7" t="s">
        <v>81</v>
      </c>
      <c r="AB7" s="17" t="s">
        <v>81</v>
      </c>
      <c r="AC7" s="17" t="s">
        <v>193</v>
      </c>
      <c r="AD7" s="17" t="s">
        <v>81</v>
      </c>
      <c r="AE7" s="17" t="s">
        <v>81</v>
      </c>
      <c r="AF7" s="17" t="s">
        <v>228</v>
      </c>
      <c r="AG7"/>
      <c r="AH7"/>
      <c r="AI7"/>
      <c r="AJ7" t="s">
        <v>36</v>
      </c>
      <c r="AK7"/>
      <c r="AL7">
        <v>3573</v>
      </c>
      <c r="AM7" t="s">
        <v>111</v>
      </c>
      <c r="AN7"/>
      <c r="AO7" s="17" t="s">
        <v>302</v>
      </c>
      <c r="AP7" s="17" t="s">
        <v>303</v>
      </c>
      <c r="AQ7" s="17" t="s">
        <v>304</v>
      </c>
      <c r="AR7" s="17" t="s">
        <v>305</v>
      </c>
      <c r="AS7" s="18" t="s">
        <v>306</v>
      </c>
      <c r="AT7" s="18" t="s">
        <v>306</v>
      </c>
      <c r="AU7" s="17" t="s">
        <v>307</v>
      </c>
      <c r="AV7" s="17" t="s">
        <v>308</v>
      </c>
      <c r="AW7" s="17">
        <f>LEN(SUBSTITUTE(AV7, ", "," "))</f>
        <v>56</v>
      </c>
      <c r="AX7" s="18" t="s">
        <v>309</v>
      </c>
      <c r="AY7" s="18" t="s">
        <v>310</v>
      </c>
      <c r="AZ7" s="18" t="s">
        <v>311</v>
      </c>
      <c r="BA7" s="17"/>
      <c r="BB7" s="17"/>
      <c r="BC7" s="19" t="s">
        <v>312</v>
      </c>
      <c r="BD7" s="18" t="s">
        <v>313</v>
      </c>
      <c r="BE7" s="17"/>
      <c r="BF7" s="17"/>
      <c r="BG7" s="17"/>
      <c r="BH7" s="18" t="s">
        <v>314</v>
      </c>
      <c r="BI7" s="18" t="s">
        <v>315</v>
      </c>
      <c r="BJ7" s="17"/>
      <c r="BK7" s="17"/>
      <c r="BL7" s="18" t="s">
        <v>265</v>
      </c>
      <c r="BM7" s="18" t="s">
        <v>316</v>
      </c>
      <c r="BN7" s="18" t="s">
        <v>267</v>
      </c>
      <c r="BO7" s="17"/>
      <c r="BP7" s="17"/>
      <c r="BQ7" s="17" t="s">
        <v>317</v>
      </c>
      <c r="BR7" s="17"/>
      <c r="BS7" s="17"/>
      <c r="BT7" s="17"/>
      <c r="BU7" s="17"/>
      <c r="BV7" s="17"/>
      <c r="BW7" s="1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441</v>
      </c>
    </row>
    <row r="8" spans="1:111" ht="12" customHeight="1" x14ac:dyDescent="0.25">
      <c r="A8" s="15" t="s">
        <v>9</v>
      </c>
      <c r="B8" t="s">
        <v>113</v>
      </c>
      <c r="C8" t="s">
        <v>130</v>
      </c>
      <c r="D8" t="s">
        <v>140</v>
      </c>
      <c r="E8" s="17" t="s">
        <v>218</v>
      </c>
      <c r="F8" t="s">
        <v>140</v>
      </c>
      <c r="G8" s="17" t="s">
        <v>220</v>
      </c>
      <c r="H8" s="16" t="s">
        <v>46</v>
      </c>
      <c r="I8"/>
      <c r="J8"/>
      <c r="K8"/>
      <c r="L8"/>
      <c r="M8"/>
      <c r="N8"/>
      <c r="O8"/>
      <c r="P8"/>
      <c r="Q8"/>
      <c r="R8"/>
      <c r="S8"/>
      <c r="T8"/>
      <c r="U8">
        <v>17</v>
      </c>
      <c r="V8">
        <v>7</v>
      </c>
      <c r="W8" t="s">
        <v>183</v>
      </c>
      <c r="X8" t="s">
        <v>193</v>
      </c>
      <c r="Y8" s="17" t="s">
        <v>222</v>
      </c>
      <c r="Z8" t="s">
        <v>195</v>
      </c>
      <c r="AA8" t="s">
        <v>195</v>
      </c>
      <c r="AB8" s="17" t="s">
        <v>195</v>
      </c>
      <c r="AC8" s="17" t="s">
        <v>193</v>
      </c>
      <c r="AD8" s="17" t="s">
        <v>195</v>
      </c>
      <c r="AE8" s="17" t="s">
        <v>195</v>
      </c>
      <c r="AF8" s="17" t="s">
        <v>229</v>
      </c>
      <c r="AG8"/>
      <c r="AH8"/>
      <c r="AI8"/>
      <c r="AJ8" t="s">
        <v>0</v>
      </c>
      <c r="AK8"/>
      <c r="AL8">
        <v>3573</v>
      </c>
      <c r="AM8" t="s">
        <v>45</v>
      </c>
      <c r="AN8"/>
      <c r="AO8" s="17" t="s">
        <v>302</v>
      </c>
      <c r="AP8" s="17" t="s">
        <v>303</v>
      </c>
      <c r="AQ8" s="17" t="s">
        <v>304</v>
      </c>
      <c r="AR8" s="17" t="s">
        <v>318</v>
      </c>
      <c r="AS8" s="18" t="s">
        <v>319</v>
      </c>
      <c r="AT8" s="18" t="s">
        <v>319</v>
      </c>
      <c r="AU8" s="17" t="s">
        <v>320</v>
      </c>
      <c r="AV8" s="17" t="s">
        <v>321</v>
      </c>
      <c r="AW8" s="17">
        <f>LEN(SUBSTITUTE(AV8, ", "," "))</f>
        <v>56</v>
      </c>
      <c r="AX8" s="18" t="s">
        <v>309</v>
      </c>
      <c r="AY8" s="18" t="s">
        <v>310</v>
      </c>
      <c r="AZ8" s="18" t="s">
        <v>311</v>
      </c>
      <c r="BA8" s="17"/>
      <c r="BB8" s="17"/>
      <c r="BC8" s="19" t="s">
        <v>322</v>
      </c>
      <c r="BD8" s="18" t="s">
        <v>313</v>
      </c>
      <c r="BE8" s="17"/>
      <c r="BF8" s="17"/>
      <c r="BG8" s="17"/>
      <c r="BH8" s="18" t="s">
        <v>323</v>
      </c>
      <c r="BI8" s="18" t="s">
        <v>315</v>
      </c>
      <c r="BJ8" s="17"/>
      <c r="BK8" s="17"/>
      <c r="BL8" s="18" t="s">
        <v>265</v>
      </c>
      <c r="BM8" s="18" t="s">
        <v>316</v>
      </c>
      <c r="BN8" s="18" t="s">
        <v>267</v>
      </c>
      <c r="BO8" s="17"/>
      <c r="BP8" s="17"/>
      <c r="BQ8" s="17" t="s">
        <v>324</v>
      </c>
      <c r="BR8" s="17"/>
      <c r="BS8" s="17"/>
      <c r="BT8" s="17"/>
      <c r="BU8" s="17"/>
      <c r="BV8" s="17"/>
      <c r="BW8" s="17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441</v>
      </c>
    </row>
    <row r="9" spans="1:111" ht="12" customHeight="1" x14ac:dyDescent="0.25">
      <c r="A9" s="15" t="s">
        <v>9</v>
      </c>
      <c r="B9" t="s">
        <v>113</v>
      </c>
      <c r="C9" t="s">
        <v>130</v>
      </c>
      <c r="D9" t="s">
        <v>140</v>
      </c>
      <c r="E9" s="17" t="s">
        <v>218</v>
      </c>
      <c r="F9" t="s">
        <v>140</v>
      </c>
      <c r="G9" s="17" t="s">
        <v>220</v>
      </c>
      <c r="H9" s="16" t="s">
        <v>46</v>
      </c>
      <c r="I9"/>
      <c r="J9"/>
      <c r="K9"/>
      <c r="L9"/>
      <c r="M9"/>
      <c r="N9"/>
      <c r="O9"/>
      <c r="P9"/>
      <c r="Q9"/>
      <c r="R9"/>
      <c r="S9"/>
      <c r="T9"/>
      <c r="U9">
        <v>18</v>
      </c>
      <c r="V9">
        <v>8</v>
      </c>
      <c r="W9" t="s">
        <v>183</v>
      </c>
      <c r="X9" t="s">
        <v>193</v>
      </c>
      <c r="Y9" s="17" t="s">
        <v>222</v>
      </c>
      <c r="Z9" t="s">
        <v>156</v>
      </c>
      <c r="AA9" t="s">
        <v>156</v>
      </c>
      <c r="AB9" s="17" t="s">
        <v>156</v>
      </c>
      <c r="AC9" s="17" t="s">
        <v>193</v>
      </c>
      <c r="AD9" s="17" t="s">
        <v>156</v>
      </c>
      <c r="AE9" s="17" t="s">
        <v>156</v>
      </c>
      <c r="AF9" s="17" t="s">
        <v>230</v>
      </c>
      <c r="AG9"/>
      <c r="AH9"/>
      <c r="AI9"/>
      <c r="AJ9" t="s">
        <v>143</v>
      </c>
      <c r="AK9"/>
      <c r="AL9">
        <v>3573</v>
      </c>
      <c r="AM9" t="s">
        <v>44</v>
      </c>
      <c r="AN9"/>
      <c r="AO9" s="17" t="s">
        <v>302</v>
      </c>
      <c r="AP9" s="17" t="s">
        <v>303</v>
      </c>
      <c r="AQ9" s="17" t="s">
        <v>304</v>
      </c>
      <c r="AR9" s="17" t="s">
        <v>325</v>
      </c>
      <c r="AS9" s="18" t="s">
        <v>326</v>
      </c>
      <c r="AT9" s="18" t="s">
        <v>326</v>
      </c>
      <c r="AU9" s="17" t="s">
        <v>327</v>
      </c>
      <c r="AV9" s="17" t="s">
        <v>328</v>
      </c>
      <c r="AW9" s="17">
        <f>LEN(SUBSTITUTE(AV9, ", "," "))</f>
        <v>59</v>
      </c>
      <c r="AX9" s="18" t="s">
        <v>309</v>
      </c>
      <c r="AY9" s="18" t="s">
        <v>310</v>
      </c>
      <c r="AZ9" s="18" t="s">
        <v>329</v>
      </c>
      <c r="BA9" s="17"/>
      <c r="BB9" s="17"/>
      <c r="BC9" s="19" t="s">
        <v>312</v>
      </c>
      <c r="BD9" s="18" t="s">
        <v>313</v>
      </c>
      <c r="BE9" s="17"/>
      <c r="BF9" s="17"/>
      <c r="BG9" s="17"/>
      <c r="BH9" s="18" t="s">
        <v>330</v>
      </c>
      <c r="BI9" s="18" t="s">
        <v>315</v>
      </c>
      <c r="BJ9" s="17"/>
      <c r="BK9" s="17"/>
      <c r="BL9" s="18" t="s">
        <v>265</v>
      </c>
      <c r="BM9" s="18" t="s">
        <v>316</v>
      </c>
      <c r="BN9" s="18" t="s">
        <v>267</v>
      </c>
      <c r="BO9" s="17"/>
      <c r="BP9" s="17"/>
      <c r="BQ9" s="17" t="s">
        <v>331</v>
      </c>
      <c r="BR9" s="17"/>
      <c r="BS9" s="17"/>
      <c r="BT9" s="17"/>
      <c r="BU9" s="17"/>
      <c r="BV9" s="17"/>
      <c r="BW9" s="17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441</v>
      </c>
    </row>
    <row r="10" spans="1:111" ht="12" customHeight="1" x14ac:dyDescent="0.25">
      <c r="A10" s="15" t="s">
        <v>9</v>
      </c>
      <c r="B10" t="s">
        <v>113</v>
      </c>
      <c r="C10" t="s">
        <v>130</v>
      </c>
      <c r="D10" t="s">
        <v>140</v>
      </c>
      <c r="E10" s="17" t="s">
        <v>218</v>
      </c>
      <c r="F10" t="s">
        <v>140</v>
      </c>
      <c r="G10" s="17" t="s">
        <v>220</v>
      </c>
      <c r="H10" s="16" t="s">
        <v>46</v>
      </c>
      <c r="I10"/>
      <c r="J10"/>
      <c r="K10"/>
      <c r="L10"/>
      <c r="M10"/>
      <c r="N10"/>
      <c r="O10"/>
      <c r="P10"/>
      <c r="Q10"/>
      <c r="R10"/>
      <c r="S10"/>
      <c r="T10"/>
      <c r="U10">
        <v>19</v>
      </c>
      <c r="V10">
        <v>9</v>
      </c>
      <c r="W10" t="s">
        <v>183</v>
      </c>
      <c r="X10" t="s">
        <v>193</v>
      </c>
      <c r="Y10" s="17" t="s">
        <v>222</v>
      </c>
      <c r="Z10" t="s">
        <v>154</v>
      </c>
      <c r="AA10" t="s">
        <v>154</v>
      </c>
      <c r="AB10" s="17" t="s">
        <v>154</v>
      </c>
      <c r="AC10" s="17" t="s">
        <v>193</v>
      </c>
      <c r="AD10" s="17" t="s">
        <v>154</v>
      </c>
      <c r="AE10" s="17" t="s">
        <v>154</v>
      </c>
      <c r="AF10" s="17" t="s">
        <v>231</v>
      </c>
      <c r="AG10"/>
      <c r="AH10"/>
      <c r="AI10"/>
      <c r="AJ10" t="s">
        <v>39</v>
      </c>
      <c r="AK10"/>
      <c r="AL10">
        <v>3573</v>
      </c>
      <c r="AM10" t="s">
        <v>214</v>
      </c>
      <c r="AN10"/>
      <c r="AO10" s="17" t="s">
        <v>302</v>
      </c>
      <c r="AP10" s="17" t="s">
        <v>303</v>
      </c>
      <c r="AQ10" s="17" t="s">
        <v>304</v>
      </c>
      <c r="AR10" s="17" t="s">
        <v>332</v>
      </c>
      <c r="AS10" s="18" t="s">
        <v>333</v>
      </c>
      <c r="AT10" s="18" t="s">
        <v>333</v>
      </c>
      <c r="AU10" s="17" t="s">
        <v>334</v>
      </c>
      <c r="AV10" s="17" t="s">
        <v>335</v>
      </c>
      <c r="AW10" s="17">
        <f>LEN(SUBSTITUTE(AV10, ", "," "))</f>
        <v>59</v>
      </c>
      <c r="AX10" s="18" t="s">
        <v>309</v>
      </c>
      <c r="AY10" s="18" t="s">
        <v>310</v>
      </c>
      <c r="AZ10" s="18" t="s">
        <v>329</v>
      </c>
      <c r="BA10" s="17"/>
      <c r="BB10" s="17"/>
      <c r="BC10" s="19" t="s">
        <v>322</v>
      </c>
      <c r="BD10" s="18" t="s">
        <v>313</v>
      </c>
      <c r="BE10" s="17"/>
      <c r="BF10" s="17"/>
      <c r="BG10" s="17"/>
      <c r="BH10" s="18" t="s">
        <v>336</v>
      </c>
      <c r="BI10" s="18" t="s">
        <v>315</v>
      </c>
      <c r="BJ10" s="17"/>
      <c r="BK10" s="17"/>
      <c r="BL10" s="18" t="s">
        <v>265</v>
      </c>
      <c r="BM10" s="18" t="s">
        <v>316</v>
      </c>
      <c r="BN10" s="18" t="s">
        <v>267</v>
      </c>
      <c r="BO10" s="17"/>
      <c r="BP10" s="17"/>
      <c r="BQ10" s="17" t="s">
        <v>337</v>
      </c>
      <c r="BR10" s="17"/>
      <c r="BS10" s="17"/>
      <c r="BT10" s="17"/>
      <c r="BU10" s="17"/>
      <c r="BV10" s="17"/>
      <c r="BW10" s="17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441</v>
      </c>
    </row>
    <row r="11" spans="1:111" ht="12" customHeight="1" x14ac:dyDescent="0.25">
      <c r="A11" s="15" t="s">
        <v>9</v>
      </c>
      <c r="B11" t="s">
        <v>113</v>
      </c>
      <c r="C11" t="s">
        <v>130</v>
      </c>
      <c r="D11" t="s">
        <v>140</v>
      </c>
      <c r="E11" s="17" t="s">
        <v>218</v>
      </c>
      <c r="F11" t="s">
        <v>140</v>
      </c>
      <c r="G11" s="17" t="s">
        <v>220</v>
      </c>
      <c r="H11" s="16" t="s">
        <v>46</v>
      </c>
      <c r="I11"/>
      <c r="J11"/>
      <c r="K11"/>
      <c r="L11"/>
      <c r="M11"/>
      <c r="N11"/>
      <c r="O11"/>
      <c r="P11"/>
      <c r="Q11"/>
      <c r="R11"/>
      <c r="S11"/>
      <c r="T11"/>
      <c r="U11">
        <v>20</v>
      </c>
      <c r="V11">
        <v>10</v>
      </c>
      <c r="W11" t="s">
        <v>183</v>
      </c>
      <c r="X11" t="s">
        <v>193</v>
      </c>
      <c r="Y11" s="17" t="s">
        <v>222</v>
      </c>
      <c r="Z11" t="s">
        <v>103</v>
      </c>
      <c r="AA11" t="s">
        <v>103</v>
      </c>
      <c r="AB11" s="17" t="s">
        <v>103</v>
      </c>
      <c r="AC11" s="17" t="s">
        <v>193</v>
      </c>
      <c r="AD11" s="17" t="s">
        <v>103</v>
      </c>
      <c r="AE11" s="17" t="s">
        <v>103</v>
      </c>
      <c r="AF11" s="17" t="s">
        <v>232</v>
      </c>
      <c r="AG11"/>
      <c r="AH11"/>
      <c r="AI11"/>
      <c r="AJ11" t="s">
        <v>192</v>
      </c>
      <c r="AK11"/>
      <c r="AL11">
        <v>3573</v>
      </c>
      <c r="AM11" t="s">
        <v>212</v>
      </c>
      <c r="AN11"/>
      <c r="AO11" s="17" t="s">
        <v>302</v>
      </c>
      <c r="AP11" s="17" t="s">
        <v>303</v>
      </c>
      <c r="AQ11" s="17" t="s">
        <v>304</v>
      </c>
      <c r="AR11" s="17" t="s">
        <v>338</v>
      </c>
      <c r="AS11" s="18" t="s">
        <v>339</v>
      </c>
      <c r="AT11" s="18" t="s">
        <v>339</v>
      </c>
      <c r="AU11" s="17" t="s">
        <v>340</v>
      </c>
      <c r="AV11" s="17" t="s">
        <v>341</v>
      </c>
      <c r="AW11" s="17">
        <f>LEN(SUBSTITUTE(AV11, ", "," "))</f>
        <v>57</v>
      </c>
      <c r="AX11" s="18" t="s">
        <v>309</v>
      </c>
      <c r="AY11" s="18" t="s">
        <v>310</v>
      </c>
      <c r="AZ11" s="18" t="s">
        <v>311</v>
      </c>
      <c r="BA11" s="17"/>
      <c r="BB11" s="17"/>
      <c r="BC11" s="19" t="s">
        <v>322</v>
      </c>
      <c r="BD11" s="18" t="s">
        <v>313</v>
      </c>
      <c r="BE11" s="17"/>
      <c r="BF11" s="17"/>
      <c r="BG11" s="17"/>
      <c r="BH11" s="18" t="s">
        <v>336</v>
      </c>
      <c r="BI11" s="18" t="s">
        <v>315</v>
      </c>
      <c r="BJ11" s="17"/>
      <c r="BK11" s="17"/>
      <c r="BL11" s="18" t="s">
        <v>265</v>
      </c>
      <c r="BM11" s="18" t="s">
        <v>316</v>
      </c>
      <c r="BN11" s="18" t="s">
        <v>267</v>
      </c>
      <c r="BO11" s="17"/>
      <c r="BP11" s="17"/>
      <c r="BQ11" s="17" t="s">
        <v>342</v>
      </c>
      <c r="BR11" s="17"/>
      <c r="BS11" s="17"/>
      <c r="BT11" s="17"/>
      <c r="BU11" s="17"/>
      <c r="BV11" s="17"/>
      <c r="BW11" s="17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441</v>
      </c>
    </row>
    <row r="12" spans="1:111" ht="12" customHeight="1" x14ac:dyDescent="0.25">
      <c r="A12" s="15" t="s">
        <v>9</v>
      </c>
      <c r="B12" t="s">
        <v>113</v>
      </c>
      <c r="C12" t="s">
        <v>130</v>
      </c>
      <c r="D12" t="s">
        <v>140</v>
      </c>
      <c r="E12" s="17" t="s">
        <v>218</v>
      </c>
      <c r="F12" t="s">
        <v>140</v>
      </c>
      <c r="G12" s="17" t="s">
        <v>220</v>
      </c>
      <c r="H12" s="16" t="s">
        <v>46</v>
      </c>
      <c r="I12"/>
      <c r="J12"/>
      <c r="K12"/>
      <c r="L12"/>
      <c r="M12"/>
      <c r="N12"/>
      <c r="O12"/>
      <c r="P12"/>
      <c r="Q12"/>
      <c r="R12"/>
      <c r="S12"/>
      <c r="T12"/>
      <c r="U12">
        <v>21</v>
      </c>
      <c r="V12">
        <v>11</v>
      </c>
      <c r="W12" t="s">
        <v>183</v>
      </c>
      <c r="X12" t="s">
        <v>193</v>
      </c>
      <c r="Y12" s="17" t="s">
        <v>222</v>
      </c>
      <c r="Z12" t="s">
        <v>207</v>
      </c>
      <c r="AA12" t="s">
        <v>207</v>
      </c>
      <c r="AB12" s="17" t="s">
        <v>207</v>
      </c>
      <c r="AC12" s="17" t="s">
        <v>193</v>
      </c>
      <c r="AD12" s="17" t="s">
        <v>207</v>
      </c>
      <c r="AE12" s="17" t="s">
        <v>207</v>
      </c>
      <c r="AF12" s="17" t="s">
        <v>233</v>
      </c>
      <c r="AG12"/>
      <c r="AH12"/>
      <c r="AI12"/>
      <c r="AJ12" t="s">
        <v>147</v>
      </c>
      <c r="AK12"/>
      <c r="AL12">
        <v>3573</v>
      </c>
      <c r="AM12" t="s">
        <v>14</v>
      </c>
      <c r="AN12"/>
      <c r="AO12" s="17" t="s">
        <v>302</v>
      </c>
      <c r="AP12" s="17" t="s">
        <v>303</v>
      </c>
      <c r="AQ12" s="17" t="s">
        <v>304</v>
      </c>
      <c r="AR12" s="17" t="s">
        <v>343</v>
      </c>
      <c r="AS12" s="18" t="s">
        <v>344</v>
      </c>
      <c r="AT12" s="18" t="s">
        <v>344</v>
      </c>
      <c r="AU12" s="17" t="s">
        <v>345</v>
      </c>
      <c r="AV12" s="17" t="s">
        <v>346</v>
      </c>
      <c r="AW12" s="17">
        <f>LEN(SUBSTITUTE(AV12, ", "," "))</f>
        <v>60</v>
      </c>
      <c r="AX12" s="18" t="s">
        <v>309</v>
      </c>
      <c r="AY12" s="18" t="s">
        <v>310</v>
      </c>
      <c r="AZ12" s="18" t="s">
        <v>329</v>
      </c>
      <c r="BA12" s="17"/>
      <c r="BB12" s="17"/>
      <c r="BC12" s="19" t="s">
        <v>312</v>
      </c>
      <c r="BD12" s="18" t="s">
        <v>313</v>
      </c>
      <c r="BE12" s="17"/>
      <c r="BF12" s="17"/>
      <c r="BG12" s="17"/>
      <c r="BH12" s="18" t="s">
        <v>347</v>
      </c>
      <c r="BI12" s="18" t="s">
        <v>315</v>
      </c>
      <c r="BJ12" s="17"/>
      <c r="BK12" s="17"/>
      <c r="BL12" s="18" t="s">
        <v>265</v>
      </c>
      <c r="BM12" s="18" t="s">
        <v>316</v>
      </c>
      <c r="BN12" s="18" t="s">
        <v>267</v>
      </c>
      <c r="BO12" s="17"/>
      <c r="BP12" s="17"/>
      <c r="BQ12" s="17" t="s">
        <v>348</v>
      </c>
      <c r="BR12" s="17"/>
      <c r="BS12" s="17"/>
      <c r="BT12" s="17"/>
      <c r="BU12" s="17"/>
      <c r="BV12" s="17"/>
      <c r="BW12" s="17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441</v>
      </c>
    </row>
    <row r="13" spans="1:111" ht="12" customHeight="1" x14ac:dyDescent="0.25">
      <c r="A13" s="15" t="s">
        <v>9</v>
      </c>
      <c r="B13" t="s">
        <v>113</v>
      </c>
      <c r="C13" t="s">
        <v>130</v>
      </c>
      <c r="D13" t="s">
        <v>140</v>
      </c>
      <c r="E13" s="17" t="s">
        <v>218</v>
      </c>
      <c r="F13" t="s">
        <v>140</v>
      </c>
      <c r="G13" s="17" t="s">
        <v>220</v>
      </c>
      <c r="H13" s="16" t="s">
        <v>46</v>
      </c>
      <c r="I13"/>
      <c r="J13"/>
      <c r="K13"/>
      <c r="L13"/>
      <c r="M13"/>
      <c r="N13"/>
      <c r="O13"/>
      <c r="P13"/>
      <c r="Q13"/>
      <c r="R13"/>
      <c r="S13"/>
      <c r="T13"/>
      <c r="U13">
        <v>22</v>
      </c>
      <c r="V13">
        <v>12</v>
      </c>
      <c r="W13" t="s">
        <v>183</v>
      </c>
      <c r="X13" t="s">
        <v>193</v>
      </c>
      <c r="Y13" s="17" t="s">
        <v>222</v>
      </c>
      <c r="Z13" t="s">
        <v>4</v>
      </c>
      <c r="AA13" t="s">
        <v>4</v>
      </c>
      <c r="AB13" s="17" t="s">
        <v>4</v>
      </c>
      <c r="AC13" s="17" t="s">
        <v>193</v>
      </c>
      <c r="AD13" s="17" t="s">
        <v>4</v>
      </c>
      <c r="AE13" s="17" t="s">
        <v>4</v>
      </c>
      <c r="AF13" s="17" t="s">
        <v>234</v>
      </c>
      <c r="AG13"/>
      <c r="AH13"/>
      <c r="AI13"/>
      <c r="AJ13" t="s">
        <v>170</v>
      </c>
      <c r="AK13"/>
      <c r="AL13">
        <v>3573</v>
      </c>
      <c r="AM13" t="s">
        <v>168</v>
      </c>
      <c r="AN13"/>
      <c r="AO13" s="17" t="s">
        <v>302</v>
      </c>
      <c r="AP13" s="17" t="s">
        <v>303</v>
      </c>
      <c r="AQ13" s="17" t="s">
        <v>304</v>
      </c>
      <c r="AR13" s="17" t="s">
        <v>349</v>
      </c>
      <c r="AS13" s="18" t="s">
        <v>350</v>
      </c>
      <c r="AT13" s="18" t="s">
        <v>350</v>
      </c>
      <c r="AU13" s="17" t="s">
        <v>351</v>
      </c>
      <c r="AV13" s="17" t="s">
        <v>352</v>
      </c>
      <c r="AW13" s="17">
        <f>LEN(SUBSTITUTE(AV13, ", "," "))</f>
        <v>57</v>
      </c>
      <c r="AX13" s="18" t="s">
        <v>309</v>
      </c>
      <c r="AY13" s="18" t="s">
        <v>310</v>
      </c>
      <c r="AZ13" s="18" t="s">
        <v>311</v>
      </c>
      <c r="BA13" s="17"/>
      <c r="BB13" s="17"/>
      <c r="BC13" s="19" t="s">
        <v>312</v>
      </c>
      <c r="BD13" s="18" t="s">
        <v>313</v>
      </c>
      <c r="BE13" s="17"/>
      <c r="BF13" s="17"/>
      <c r="BG13" s="17"/>
      <c r="BH13" s="18" t="s">
        <v>347</v>
      </c>
      <c r="BI13" s="18" t="s">
        <v>315</v>
      </c>
      <c r="BJ13" s="17"/>
      <c r="BK13" s="17"/>
      <c r="BL13" s="18" t="s">
        <v>265</v>
      </c>
      <c r="BM13" s="18" t="s">
        <v>316</v>
      </c>
      <c r="BN13" s="18" t="s">
        <v>267</v>
      </c>
      <c r="BO13" s="17"/>
      <c r="BP13" s="17"/>
      <c r="BQ13" s="17" t="s">
        <v>353</v>
      </c>
      <c r="BR13" s="17"/>
      <c r="BS13" s="17"/>
      <c r="BT13" s="17"/>
      <c r="BU13" s="17"/>
      <c r="BV13" s="17"/>
      <c r="BW13" s="17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441</v>
      </c>
    </row>
    <row r="14" spans="1:111" ht="12" customHeight="1" x14ac:dyDescent="0.25">
      <c r="A14" s="15" t="s">
        <v>9</v>
      </c>
      <c r="B14" t="s">
        <v>113</v>
      </c>
      <c r="C14" t="s">
        <v>130</v>
      </c>
      <c r="D14" t="s">
        <v>140</v>
      </c>
      <c r="E14" s="17" t="s">
        <v>219</v>
      </c>
      <c r="F14" t="s">
        <v>140</v>
      </c>
      <c r="G14" s="17" t="s">
        <v>220</v>
      </c>
      <c r="H14" s="16" t="s">
        <v>46</v>
      </c>
      <c r="I14"/>
      <c r="J14"/>
      <c r="K14"/>
      <c r="L14"/>
      <c r="M14"/>
      <c r="N14"/>
      <c r="O14"/>
      <c r="P14"/>
      <c r="Q14"/>
      <c r="R14"/>
      <c r="S14"/>
      <c r="T14"/>
      <c r="U14">
        <v>23</v>
      </c>
      <c r="V14">
        <v>13</v>
      </c>
      <c r="W14" t="s">
        <v>183</v>
      </c>
      <c r="X14" t="s">
        <v>193</v>
      </c>
      <c r="Y14" s="17" t="s">
        <v>222</v>
      </c>
      <c r="Z14" t="s">
        <v>84</v>
      </c>
      <c r="AA14" t="s">
        <v>84</v>
      </c>
      <c r="AB14" s="17" t="s">
        <v>84</v>
      </c>
      <c r="AC14" s="17" t="s">
        <v>193</v>
      </c>
      <c r="AD14" s="17" t="s">
        <v>84</v>
      </c>
      <c r="AE14" s="17" t="s">
        <v>84</v>
      </c>
      <c r="AF14" s="17" t="s">
        <v>235</v>
      </c>
      <c r="AG14"/>
      <c r="AH14"/>
      <c r="AI14"/>
      <c r="AJ14" t="s">
        <v>74</v>
      </c>
      <c r="AK14"/>
      <c r="AL14">
        <v>3573</v>
      </c>
      <c r="AM14" t="s">
        <v>186</v>
      </c>
      <c r="AN14"/>
      <c r="AO14" s="17" t="s">
        <v>354</v>
      </c>
      <c r="AP14" s="17" t="s">
        <v>355</v>
      </c>
      <c r="AQ14" s="17" t="s">
        <v>356</v>
      </c>
      <c r="AR14" s="17" t="s">
        <v>74</v>
      </c>
      <c r="AS14" s="18" t="s">
        <v>357</v>
      </c>
      <c r="AT14" s="18" t="s">
        <v>357</v>
      </c>
      <c r="AU14" s="17" t="s">
        <v>358</v>
      </c>
      <c r="AV14" s="17" t="s">
        <v>358</v>
      </c>
      <c r="AW14" s="17">
        <f>LEN(SUBSTITUTE(AV14, ", "," "))</f>
        <v>53</v>
      </c>
      <c r="AX14" s="18" t="s">
        <v>359</v>
      </c>
      <c r="AY14" s="18" t="s">
        <v>360</v>
      </c>
      <c r="AZ14" s="18" t="s">
        <v>361</v>
      </c>
      <c r="BA14" s="17"/>
      <c r="BB14" s="17"/>
      <c r="BC14" s="18" t="s">
        <v>362</v>
      </c>
      <c r="BD14" s="17"/>
      <c r="BE14" s="17"/>
      <c r="BF14" s="17"/>
      <c r="BG14" s="17"/>
      <c r="BH14" s="17"/>
      <c r="BI14" s="17"/>
      <c r="BJ14" s="17"/>
      <c r="BK14" s="17"/>
      <c r="BL14" s="18" t="s">
        <v>265</v>
      </c>
      <c r="BM14" s="18" t="s">
        <v>363</v>
      </c>
      <c r="BN14" s="18" t="s">
        <v>267</v>
      </c>
      <c r="BO14" s="17"/>
      <c r="BP14" s="17"/>
      <c r="BQ14" s="17" t="s">
        <v>364</v>
      </c>
      <c r="BR14" s="17"/>
      <c r="BS14" s="17"/>
      <c r="BT14" s="17"/>
      <c r="BU14" s="17"/>
      <c r="BV14" s="17"/>
      <c r="BW14" s="17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441</v>
      </c>
    </row>
    <row r="15" spans="1:111" ht="12" customHeight="1" x14ac:dyDescent="0.25">
      <c r="A15" s="15" t="s">
        <v>9</v>
      </c>
      <c r="B15" t="s">
        <v>113</v>
      </c>
      <c r="C15" t="s">
        <v>130</v>
      </c>
      <c r="D15" t="s">
        <v>140</v>
      </c>
      <c r="E15" s="17" t="s">
        <v>219</v>
      </c>
      <c r="F15" t="s">
        <v>140</v>
      </c>
      <c r="G15" s="17" t="s">
        <v>220</v>
      </c>
      <c r="H15" s="16" t="s">
        <v>46</v>
      </c>
      <c r="I15"/>
      <c r="J15"/>
      <c r="K15"/>
      <c r="L15"/>
      <c r="M15"/>
      <c r="N15"/>
      <c r="O15"/>
      <c r="P15"/>
      <c r="Q15"/>
      <c r="R15"/>
      <c r="S15"/>
      <c r="T15"/>
      <c r="U15">
        <v>24</v>
      </c>
      <c r="V15">
        <v>14</v>
      </c>
      <c r="W15" t="s">
        <v>183</v>
      </c>
      <c r="X15" t="s">
        <v>193</v>
      </c>
      <c r="Y15" s="17" t="s">
        <v>222</v>
      </c>
      <c r="Z15" t="s">
        <v>204</v>
      </c>
      <c r="AA15" t="s">
        <v>204</v>
      </c>
      <c r="AB15" s="17" t="s">
        <v>204</v>
      </c>
      <c r="AC15" s="17" t="s">
        <v>193</v>
      </c>
      <c r="AD15" s="17" t="s">
        <v>204</v>
      </c>
      <c r="AE15" s="17" t="s">
        <v>204</v>
      </c>
      <c r="AF15" s="17" t="s">
        <v>236</v>
      </c>
      <c r="AG15"/>
      <c r="AH15"/>
      <c r="AI15"/>
      <c r="AJ15" t="s">
        <v>63</v>
      </c>
      <c r="AK15"/>
      <c r="AL15">
        <v>3573</v>
      </c>
      <c r="AM15" t="s">
        <v>178</v>
      </c>
      <c r="AN15"/>
      <c r="AO15" s="17" t="s">
        <v>354</v>
      </c>
      <c r="AP15" s="17" t="s">
        <v>355</v>
      </c>
      <c r="AQ15" s="17" t="s">
        <v>356</v>
      </c>
      <c r="AR15" s="17" t="s">
        <v>63</v>
      </c>
      <c r="AS15" s="18" t="s">
        <v>365</v>
      </c>
      <c r="AT15" s="18" t="s">
        <v>365</v>
      </c>
      <c r="AU15" s="17" t="s">
        <v>366</v>
      </c>
      <c r="AV15" s="17" t="s">
        <v>366</v>
      </c>
      <c r="AW15" s="17">
        <f>LEN(SUBSTITUTE(AV15, ", "," "))</f>
        <v>53</v>
      </c>
      <c r="AX15" s="18" t="s">
        <v>359</v>
      </c>
      <c r="AY15" s="18" t="s">
        <v>360</v>
      </c>
      <c r="AZ15" s="18" t="s">
        <v>361</v>
      </c>
      <c r="BA15" s="17"/>
      <c r="BB15" s="17"/>
      <c r="BC15" s="18" t="s">
        <v>367</v>
      </c>
      <c r="BD15" s="17"/>
      <c r="BE15" s="17"/>
      <c r="BF15" s="17"/>
      <c r="BG15" s="17"/>
      <c r="BH15" s="17"/>
      <c r="BI15" s="17"/>
      <c r="BJ15" s="17"/>
      <c r="BK15" s="17"/>
      <c r="BL15" s="18" t="s">
        <v>265</v>
      </c>
      <c r="BM15" s="18" t="s">
        <v>363</v>
      </c>
      <c r="BN15" s="18" t="s">
        <v>267</v>
      </c>
      <c r="BO15" s="17"/>
      <c r="BP15" s="17"/>
      <c r="BQ15" s="17" t="s">
        <v>368</v>
      </c>
      <c r="BR15" s="17"/>
      <c r="BS15" s="17"/>
      <c r="BT15" s="17"/>
      <c r="BU15" s="17"/>
      <c r="BV15" s="17"/>
      <c r="BW15" s="17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441</v>
      </c>
    </row>
    <row r="16" spans="1:111" ht="12" customHeight="1" x14ac:dyDescent="0.25">
      <c r="A16" s="15" t="s">
        <v>9</v>
      </c>
      <c r="B16" t="s">
        <v>113</v>
      </c>
      <c r="C16" t="s">
        <v>130</v>
      </c>
      <c r="D16" t="s">
        <v>140</v>
      </c>
      <c r="E16" s="17" t="s">
        <v>219</v>
      </c>
      <c r="F16" t="s">
        <v>140</v>
      </c>
      <c r="G16" s="17" t="s">
        <v>220</v>
      </c>
      <c r="H16" s="16" t="s">
        <v>46</v>
      </c>
      <c r="I16"/>
      <c r="J16"/>
      <c r="K16"/>
      <c r="L16"/>
      <c r="M16"/>
      <c r="N16"/>
      <c r="O16"/>
      <c r="P16"/>
      <c r="Q16"/>
      <c r="R16"/>
      <c r="S16"/>
      <c r="T16"/>
      <c r="U16">
        <v>25</v>
      </c>
      <c r="V16">
        <v>15</v>
      </c>
      <c r="W16" t="s">
        <v>183</v>
      </c>
      <c r="X16" t="s">
        <v>193</v>
      </c>
      <c r="Y16" s="17" t="s">
        <v>222</v>
      </c>
      <c r="Z16" t="s">
        <v>157</v>
      </c>
      <c r="AA16" t="s">
        <v>157</v>
      </c>
      <c r="AB16" s="17" t="s">
        <v>157</v>
      </c>
      <c r="AC16" s="17" t="s">
        <v>193</v>
      </c>
      <c r="AD16" s="17" t="s">
        <v>157</v>
      </c>
      <c r="AE16" s="17" t="s">
        <v>157</v>
      </c>
      <c r="AF16" s="17" t="s">
        <v>237</v>
      </c>
      <c r="AG16"/>
      <c r="AH16"/>
      <c r="AI16"/>
      <c r="AJ16" t="s">
        <v>185</v>
      </c>
      <c r="AK16"/>
      <c r="AL16">
        <v>3573</v>
      </c>
      <c r="AM16" t="s">
        <v>62</v>
      </c>
      <c r="AN16"/>
      <c r="AO16" s="17" t="s">
        <v>354</v>
      </c>
      <c r="AP16" s="17" t="s">
        <v>355</v>
      </c>
      <c r="AQ16" s="17" t="s">
        <v>356</v>
      </c>
      <c r="AR16" s="17" t="s">
        <v>185</v>
      </c>
      <c r="AS16" s="18" t="s">
        <v>369</v>
      </c>
      <c r="AT16" s="18" t="s">
        <v>369</v>
      </c>
      <c r="AU16" s="17" t="s">
        <v>370</v>
      </c>
      <c r="AV16" s="17" t="s">
        <v>370</v>
      </c>
      <c r="AW16" s="17">
        <f>LEN(SUBSTITUTE(AV16, ", "," "))</f>
        <v>53</v>
      </c>
      <c r="AX16" s="18" t="s">
        <v>359</v>
      </c>
      <c r="AY16" s="18" t="s">
        <v>360</v>
      </c>
      <c r="AZ16" s="18" t="s">
        <v>361</v>
      </c>
      <c r="BA16" s="17"/>
      <c r="BB16" s="17"/>
      <c r="BC16" s="18" t="s">
        <v>371</v>
      </c>
      <c r="BD16" s="17"/>
      <c r="BE16" s="17"/>
      <c r="BF16" s="17"/>
      <c r="BG16" s="17"/>
      <c r="BH16" s="17"/>
      <c r="BI16" s="17"/>
      <c r="BJ16" s="17"/>
      <c r="BK16" s="17"/>
      <c r="BL16" s="18" t="s">
        <v>265</v>
      </c>
      <c r="BM16" s="18" t="s">
        <v>363</v>
      </c>
      <c r="BN16" s="18" t="s">
        <v>267</v>
      </c>
      <c r="BO16" s="17"/>
      <c r="BP16" s="17"/>
      <c r="BQ16" s="17" t="s">
        <v>372</v>
      </c>
      <c r="BR16" s="17"/>
      <c r="BS16" s="17"/>
      <c r="BT16" s="17"/>
      <c r="BU16" s="17"/>
      <c r="BV16" s="17"/>
      <c r="BW16" s="17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441</v>
      </c>
    </row>
    <row r="17" spans="1:110" ht="12" customHeight="1" x14ac:dyDescent="0.25">
      <c r="A17" s="15" t="s">
        <v>9</v>
      </c>
      <c r="B17" t="s">
        <v>113</v>
      </c>
      <c r="C17" t="s">
        <v>130</v>
      </c>
      <c r="D17" t="s">
        <v>140</v>
      </c>
      <c r="E17" s="17" t="s">
        <v>219</v>
      </c>
      <c r="F17" t="s">
        <v>140</v>
      </c>
      <c r="G17" s="17" t="s">
        <v>220</v>
      </c>
      <c r="H17" s="16" t="s">
        <v>46</v>
      </c>
      <c r="I17"/>
      <c r="J17"/>
      <c r="K17"/>
      <c r="L17"/>
      <c r="M17"/>
      <c r="N17"/>
      <c r="O17"/>
      <c r="P17"/>
      <c r="Q17"/>
      <c r="R17"/>
      <c r="S17"/>
      <c r="T17"/>
      <c r="U17">
        <v>26</v>
      </c>
      <c r="V17">
        <v>16</v>
      </c>
      <c r="W17" t="s">
        <v>183</v>
      </c>
      <c r="X17" t="s">
        <v>193</v>
      </c>
      <c r="Y17" s="17" t="s">
        <v>222</v>
      </c>
      <c r="Z17" t="s">
        <v>125</v>
      </c>
      <c r="AA17" t="s">
        <v>125</v>
      </c>
      <c r="AB17" s="17" t="s">
        <v>125</v>
      </c>
      <c r="AC17" s="17" t="s">
        <v>193</v>
      </c>
      <c r="AD17" s="17" t="s">
        <v>125</v>
      </c>
      <c r="AE17" s="17" t="s">
        <v>125</v>
      </c>
      <c r="AF17" s="17" t="s">
        <v>238</v>
      </c>
      <c r="AG17"/>
      <c r="AH17"/>
      <c r="AI17"/>
      <c r="AJ17" t="s">
        <v>53</v>
      </c>
      <c r="AK17"/>
      <c r="AL17">
        <v>3573</v>
      </c>
      <c r="AM17" t="s">
        <v>131</v>
      </c>
      <c r="AN17"/>
      <c r="AO17" s="17" t="s">
        <v>354</v>
      </c>
      <c r="AP17" s="17" t="s">
        <v>355</v>
      </c>
      <c r="AQ17" s="17" t="s">
        <v>356</v>
      </c>
      <c r="AR17" s="17" t="s">
        <v>53</v>
      </c>
      <c r="AS17" s="18" t="s">
        <v>373</v>
      </c>
      <c r="AT17" s="18" t="s">
        <v>373</v>
      </c>
      <c r="AU17" s="17" t="s">
        <v>374</v>
      </c>
      <c r="AV17" s="17" t="s">
        <v>374</v>
      </c>
      <c r="AW17" s="17">
        <f>LEN(SUBSTITUTE(AV17, ", "," "))</f>
        <v>53</v>
      </c>
      <c r="AX17" s="18" t="s">
        <v>359</v>
      </c>
      <c r="AY17" s="18" t="s">
        <v>360</v>
      </c>
      <c r="AZ17" s="18" t="s">
        <v>361</v>
      </c>
      <c r="BA17" s="17"/>
      <c r="BB17" s="17"/>
      <c r="BC17" s="18" t="s">
        <v>375</v>
      </c>
      <c r="BD17" s="17"/>
      <c r="BE17" s="17"/>
      <c r="BF17" s="17"/>
      <c r="BG17" s="17"/>
      <c r="BH17" s="17"/>
      <c r="BI17" s="17"/>
      <c r="BJ17" s="17"/>
      <c r="BK17" s="17"/>
      <c r="BL17" s="18" t="s">
        <v>265</v>
      </c>
      <c r="BM17" s="18" t="s">
        <v>363</v>
      </c>
      <c r="BN17" s="18" t="s">
        <v>267</v>
      </c>
      <c r="BO17" s="17"/>
      <c r="BP17" s="17"/>
      <c r="BQ17" s="17" t="s">
        <v>376</v>
      </c>
      <c r="BR17" s="17"/>
      <c r="BS17" s="17"/>
      <c r="BT17" s="17"/>
      <c r="BU17" s="17"/>
      <c r="BV17" s="17"/>
      <c r="BW17" s="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441</v>
      </c>
    </row>
    <row r="18" spans="1:110" ht="12" customHeight="1" x14ac:dyDescent="0.25">
      <c r="A18" s="15" t="s">
        <v>9</v>
      </c>
      <c r="B18" t="s">
        <v>113</v>
      </c>
      <c r="C18" t="s">
        <v>130</v>
      </c>
      <c r="D18" t="s">
        <v>140</v>
      </c>
      <c r="E18" s="17" t="s">
        <v>219</v>
      </c>
      <c r="F18" t="s">
        <v>140</v>
      </c>
      <c r="G18" s="17" t="s">
        <v>220</v>
      </c>
      <c r="H18" s="16" t="s">
        <v>46</v>
      </c>
      <c r="I18"/>
      <c r="J18"/>
      <c r="K18"/>
      <c r="L18"/>
      <c r="M18"/>
      <c r="N18"/>
      <c r="O18"/>
      <c r="P18"/>
      <c r="Q18"/>
      <c r="R18"/>
      <c r="S18"/>
      <c r="T18"/>
      <c r="U18">
        <v>27</v>
      </c>
      <c r="V18">
        <v>17</v>
      </c>
      <c r="W18" t="s">
        <v>183</v>
      </c>
      <c r="X18" t="s">
        <v>193</v>
      </c>
      <c r="Y18" s="17" t="s">
        <v>222</v>
      </c>
      <c r="Z18" t="s">
        <v>67</v>
      </c>
      <c r="AA18" t="s">
        <v>67</v>
      </c>
      <c r="AB18" s="17" t="s">
        <v>67</v>
      </c>
      <c r="AC18" s="17" t="s">
        <v>193</v>
      </c>
      <c r="AD18" s="17" t="s">
        <v>67</v>
      </c>
      <c r="AE18" s="17" t="s">
        <v>67</v>
      </c>
      <c r="AF18" s="17" t="s">
        <v>239</v>
      </c>
      <c r="AG18"/>
      <c r="AH18"/>
      <c r="AI18"/>
      <c r="AJ18" t="s">
        <v>123</v>
      </c>
      <c r="AK18"/>
      <c r="AL18">
        <v>3573</v>
      </c>
      <c r="AM18" t="s">
        <v>133</v>
      </c>
      <c r="AN18"/>
      <c r="AO18" s="17" t="s">
        <v>354</v>
      </c>
      <c r="AP18" s="17" t="s">
        <v>355</v>
      </c>
      <c r="AQ18" s="17" t="s">
        <v>356</v>
      </c>
      <c r="AR18" s="17" t="s">
        <v>123</v>
      </c>
      <c r="AS18" s="18" t="s">
        <v>377</v>
      </c>
      <c r="AT18" s="18" t="s">
        <v>377</v>
      </c>
      <c r="AU18" s="17" t="s">
        <v>378</v>
      </c>
      <c r="AV18" s="17" t="s">
        <v>378</v>
      </c>
      <c r="AW18" s="17">
        <f>LEN(SUBSTITUTE(AV18, ", "," "))</f>
        <v>53</v>
      </c>
      <c r="AX18" s="18" t="s">
        <v>359</v>
      </c>
      <c r="AY18" s="18" t="s">
        <v>360</v>
      </c>
      <c r="AZ18" s="18" t="s">
        <v>361</v>
      </c>
      <c r="BA18" s="17"/>
      <c r="BB18" s="17"/>
      <c r="BC18" s="18" t="s">
        <v>379</v>
      </c>
      <c r="BD18" s="17"/>
      <c r="BE18" s="17"/>
      <c r="BF18" s="17"/>
      <c r="BG18" s="17"/>
      <c r="BH18" s="17"/>
      <c r="BI18" s="17"/>
      <c r="BJ18" s="17"/>
      <c r="BK18" s="17"/>
      <c r="BL18" s="18" t="s">
        <v>265</v>
      </c>
      <c r="BM18" s="18" t="s">
        <v>363</v>
      </c>
      <c r="BN18" s="18" t="s">
        <v>267</v>
      </c>
      <c r="BO18" s="17"/>
      <c r="BP18" s="17"/>
      <c r="BQ18" s="17" t="s">
        <v>380</v>
      </c>
      <c r="BR18" s="17"/>
      <c r="BS18" s="17"/>
      <c r="BT18" s="17"/>
      <c r="BU18" s="17"/>
      <c r="BV18" s="17"/>
      <c r="BW18" s="17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441</v>
      </c>
    </row>
    <row r="19" spans="1:110" ht="12" customHeight="1" x14ac:dyDescent="0.25">
      <c r="A19" s="15" t="s">
        <v>9</v>
      </c>
      <c r="B19" t="s">
        <v>113</v>
      </c>
      <c r="C19" t="s">
        <v>130</v>
      </c>
      <c r="D19" t="s">
        <v>140</v>
      </c>
      <c r="E19" s="17" t="s">
        <v>219</v>
      </c>
      <c r="F19" t="s">
        <v>140</v>
      </c>
      <c r="G19" s="17" t="s">
        <v>220</v>
      </c>
      <c r="H19" s="16" t="s">
        <v>46</v>
      </c>
      <c r="I19"/>
      <c r="J19"/>
      <c r="K19"/>
      <c r="L19"/>
      <c r="M19"/>
      <c r="N19"/>
      <c r="O19"/>
      <c r="P19"/>
      <c r="Q19"/>
      <c r="R19"/>
      <c r="S19"/>
      <c r="T19"/>
      <c r="U19">
        <v>28</v>
      </c>
      <c r="V19">
        <v>18</v>
      </c>
      <c r="W19" t="s">
        <v>183</v>
      </c>
      <c r="X19" t="s">
        <v>193</v>
      </c>
      <c r="Y19" s="17" t="s">
        <v>222</v>
      </c>
      <c r="Z19" t="s">
        <v>32</v>
      </c>
      <c r="AA19" t="s">
        <v>32</v>
      </c>
      <c r="AB19" s="17" t="s">
        <v>32</v>
      </c>
      <c r="AC19" s="17" t="s">
        <v>193</v>
      </c>
      <c r="AD19" s="17" t="s">
        <v>32</v>
      </c>
      <c r="AE19" s="17" t="s">
        <v>32</v>
      </c>
      <c r="AF19" s="17" t="s">
        <v>240</v>
      </c>
      <c r="AG19"/>
      <c r="AH19"/>
      <c r="AI19"/>
      <c r="AJ19" t="s">
        <v>120</v>
      </c>
      <c r="AK19"/>
      <c r="AL19">
        <v>3573</v>
      </c>
      <c r="AM19" t="s">
        <v>61</v>
      </c>
      <c r="AN19"/>
      <c r="AO19" s="17" t="s">
        <v>354</v>
      </c>
      <c r="AP19" s="17" t="s">
        <v>355</v>
      </c>
      <c r="AQ19" s="17" t="s">
        <v>356</v>
      </c>
      <c r="AR19" s="17" t="s">
        <v>120</v>
      </c>
      <c r="AS19" s="18" t="s">
        <v>381</v>
      </c>
      <c r="AT19" s="18" t="s">
        <v>381</v>
      </c>
      <c r="AU19" s="17" t="s">
        <v>382</v>
      </c>
      <c r="AV19" s="17" t="s">
        <v>382</v>
      </c>
      <c r="AW19" s="17">
        <f>LEN(SUBSTITUTE(AV19, ", "," "))</f>
        <v>51</v>
      </c>
      <c r="AX19" s="18" t="s">
        <v>359</v>
      </c>
      <c r="AY19" s="18" t="s">
        <v>360</v>
      </c>
      <c r="AZ19" s="18" t="s">
        <v>361</v>
      </c>
      <c r="BA19" s="17"/>
      <c r="BB19" s="17"/>
      <c r="BC19" s="18" t="s">
        <v>383</v>
      </c>
      <c r="BD19" s="17"/>
      <c r="BE19" s="17"/>
      <c r="BF19" s="17"/>
      <c r="BG19" s="17"/>
      <c r="BH19" s="17"/>
      <c r="BI19" s="17"/>
      <c r="BJ19" s="17"/>
      <c r="BK19" s="17"/>
      <c r="BL19" s="18" t="s">
        <v>265</v>
      </c>
      <c r="BM19" s="18" t="s">
        <v>363</v>
      </c>
      <c r="BN19" s="18" t="s">
        <v>267</v>
      </c>
      <c r="BO19" s="17"/>
      <c r="BP19" s="17"/>
      <c r="BQ19" s="17" t="s">
        <v>384</v>
      </c>
      <c r="BR19" s="17"/>
      <c r="BS19" s="17"/>
      <c r="BT19" s="17"/>
      <c r="BU19" s="17"/>
      <c r="BV19" s="17"/>
      <c r="BW19" s="17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441</v>
      </c>
    </row>
    <row r="20" spans="1:110" ht="12" customHeight="1" x14ac:dyDescent="0.25">
      <c r="A20" s="15" t="s">
        <v>9</v>
      </c>
      <c r="B20" t="s">
        <v>113</v>
      </c>
      <c r="C20" t="s">
        <v>130</v>
      </c>
      <c r="D20" t="s">
        <v>140</v>
      </c>
      <c r="E20" s="17" t="s">
        <v>219</v>
      </c>
      <c r="F20" t="s">
        <v>140</v>
      </c>
      <c r="G20" s="17" t="s">
        <v>220</v>
      </c>
      <c r="H20" s="16" t="s">
        <v>46</v>
      </c>
      <c r="I20"/>
      <c r="J20"/>
      <c r="K20"/>
      <c r="L20"/>
      <c r="M20"/>
      <c r="N20"/>
      <c r="O20"/>
      <c r="P20"/>
      <c r="Q20"/>
      <c r="R20"/>
      <c r="S20"/>
      <c r="T20"/>
      <c r="U20">
        <v>29</v>
      </c>
      <c r="V20">
        <v>19</v>
      </c>
      <c r="W20" t="s">
        <v>183</v>
      </c>
      <c r="X20" t="s">
        <v>193</v>
      </c>
      <c r="Y20" s="17" t="s">
        <v>222</v>
      </c>
      <c r="Z20" t="s">
        <v>184</v>
      </c>
      <c r="AA20" t="s">
        <v>184</v>
      </c>
      <c r="AB20" s="17" t="s">
        <v>184</v>
      </c>
      <c r="AC20" s="17" t="s">
        <v>193</v>
      </c>
      <c r="AD20" s="17" t="s">
        <v>184</v>
      </c>
      <c r="AE20" s="17" t="s">
        <v>184</v>
      </c>
      <c r="AF20" s="17" t="s">
        <v>241</v>
      </c>
      <c r="AG20"/>
      <c r="AH20"/>
      <c r="AI20"/>
      <c r="AJ20" t="s">
        <v>128</v>
      </c>
      <c r="AK20"/>
      <c r="AL20">
        <v>3573</v>
      </c>
      <c r="AM20" t="s">
        <v>101</v>
      </c>
      <c r="AN20"/>
      <c r="AO20" s="17" t="s">
        <v>354</v>
      </c>
      <c r="AP20" s="17" t="s">
        <v>355</v>
      </c>
      <c r="AQ20" s="17" t="s">
        <v>356</v>
      </c>
      <c r="AR20" s="17" t="s">
        <v>128</v>
      </c>
      <c r="AS20" s="18" t="s">
        <v>385</v>
      </c>
      <c r="AT20" s="18" t="s">
        <v>385</v>
      </c>
      <c r="AU20" s="17" t="s">
        <v>386</v>
      </c>
      <c r="AV20" s="17" t="s">
        <v>386</v>
      </c>
      <c r="AW20" s="17">
        <f>LEN(SUBSTITUTE(AV20, ", "," "))</f>
        <v>55</v>
      </c>
      <c r="AX20" s="18" t="s">
        <v>359</v>
      </c>
      <c r="AY20" s="18" t="s">
        <v>360</v>
      </c>
      <c r="AZ20" s="18" t="s">
        <v>361</v>
      </c>
      <c r="BA20" s="17"/>
      <c r="BB20" s="17"/>
      <c r="BC20" s="18" t="s">
        <v>387</v>
      </c>
      <c r="BD20" s="17"/>
      <c r="BE20" s="17"/>
      <c r="BF20" s="17"/>
      <c r="BG20" s="17"/>
      <c r="BH20" s="17"/>
      <c r="BI20" s="17"/>
      <c r="BJ20" s="17"/>
      <c r="BK20" s="17"/>
      <c r="BL20" s="18" t="s">
        <v>265</v>
      </c>
      <c r="BM20" s="18" t="s">
        <v>363</v>
      </c>
      <c r="BN20" s="18" t="s">
        <v>267</v>
      </c>
      <c r="BO20" s="17"/>
      <c r="BP20" s="17"/>
      <c r="BQ20" s="17" t="s">
        <v>388</v>
      </c>
      <c r="BR20" s="17"/>
      <c r="BS20" s="17"/>
      <c r="BT20" s="17"/>
      <c r="BU20" s="17"/>
      <c r="BV20" s="17"/>
      <c r="BW20" s="17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441</v>
      </c>
    </row>
    <row r="21" spans="1:110" ht="12" customHeight="1" x14ac:dyDescent="0.25">
      <c r="A21" s="15" t="s">
        <v>9</v>
      </c>
      <c r="B21" t="s">
        <v>113</v>
      </c>
      <c r="C21" t="s">
        <v>130</v>
      </c>
      <c r="D21" t="s">
        <v>140</v>
      </c>
      <c r="E21" s="17" t="s">
        <v>219</v>
      </c>
      <c r="F21" t="s">
        <v>140</v>
      </c>
      <c r="G21" s="17" t="s">
        <v>220</v>
      </c>
      <c r="H21" s="16" t="s">
        <v>46</v>
      </c>
      <c r="I21"/>
      <c r="J21"/>
      <c r="K21"/>
      <c r="L21"/>
      <c r="M21"/>
      <c r="N21"/>
      <c r="O21"/>
      <c r="P21"/>
      <c r="Q21"/>
      <c r="R21"/>
      <c r="S21"/>
      <c r="T21"/>
      <c r="U21">
        <v>30</v>
      </c>
      <c r="V21">
        <v>20</v>
      </c>
      <c r="W21" t="s">
        <v>183</v>
      </c>
      <c r="X21" t="s">
        <v>193</v>
      </c>
      <c r="Y21" s="17" t="s">
        <v>222</v>
      </c>
      <c r="Z21" t="s">
        <v>19</v>
      </c>
      <c r="AA21" t="s">
        <v>19</v>
      </c>
      <c r="AB21" s="17" t="s">
        <v>19</v>
      </c>
      <c r="AC21" s="17" t="s">
        <v>193</v>
      </c>
      <c r="AD21" s="17" t="s">
        <v>19</v>
      </c>
      <c r="AE21" s="17" t="s">
        <v>19</v>
      </c>
      <c r="AF21" s="17" t="s">
        <v>242</v>
      </c>
      <c r="AG21"/>
      <c r="AH21"/>
      <c r="AI21"/>
      <c r="AJ21" t="s">
        <v>165</v>
      </c>
      <c r="AK21"/>
      <c r="AL21">
        <v>3573</v>
      </c>
      <c r="AM21" t="s">
        <v>64</v>
      </c>
      <c r="AN21"/>
      <c r="AO21" s="17" t="s">
        <v>354</v>
      </c>
      <c r="AP21" s="17" t="s">
        <v>355</v>
      </c>
      <c r="AQ21" s="17" t="s">
        <v>356</v>
      </c>
      <c r="AR21" s="17" t="s">
        <v>165</v>
      </c>
      <c r="AS21" s="18" t="s">
        <v>389</v>
      </c>
      <c r="AT21" s="18" t="s">
        <v>389</v>
      </c>
      <c r="AU21" s="17" t="s">
        <v>390</v>
      </c>
      <c r="AV21" s="17" t="s">
        <v>390</v>
      </c>
      <c r="AW21" s="17">
        <f>LEN(SUBSTITUTE(AV21, ", "," "))</f>
        <v>55</v>
      </c>
      <c r="AX21" s="18" t="s">
        <v>359</v>
      </c>
      <c r="AY21" s="18" t="s">
        <v>360</v>
      </c>
      <c r="AZ21" s="18" t="s">
        <v>361</v>
      </c>
      <c r="BA21" s="17"/>
      <c r="BB21" s="17"/>
      <c r="BC21" s="18" t="s">
        <v>391</v>
      </c>
      <c r="BD21" s="17"/>
      <c r="BE21" s="17"/>
      <c r="BF21" s="17"/>
      <c r="BG21" s="17"/>
      <c r="BH21" s="17"/>
      <c r="BI21" s="17"/>
      <c r="BJ21" s="17"/>
      <c r="BK21" s="17"/>
      <c r="BL21" s="18" t="s">
        <v>265</v>
      </c>
      <c r="BM21" s="18" t="s">
        <v>363</v>
      </c>
      <c r="BN21" s="18" t="s">
        <v>267</v>
      </c>
      <c r="BO21" s="17"/>
      <c r="BP21" s="17"/>
      <c r="BQ21" s="17" t="s">
        <v>392</v>
      </c>
      <c r="BR21" s="17"/>
      <c r="BS21" s="17"/>
      <c r="BT21" s="17"/>
      <c r="BU21" s="17"/>
      <c r="BV21" s="17"/>
      <c r="BW21" s="17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441</v>
      </c>
    </row>
    <row r="22" spans="1:110" ht="12" customHeight="1" x14ac:dyDescent="0.25">
      <c r="A22" s="15" t="s">
        <v>9</v>
      </c>
      <c r="B22" t="s">
        <v>113</v>
      </c>
      <c r="C22" t="s">
        <v>130</v>
      </c>
      <c r="D22" t="s">
        <v>140</v>
      </c>
      <c r="E22" s="17" t="s">
        <v>219</v>
      </c>
      <c r="F22" t="s">
        <v>140</v>
      </c>
      <c r="G22" s="17" t="s">
        <v>220</v>
      </c>
      <c r="H22" s="16" t="s">
        <v>46</v>
      </c>
      <c r="I22"/>
      <c r="J22"/>
      <c r="K22"/>
      <c r="L22"/>
      <c r="M22"/>
      <c r="N22"/>
      <c r="O22"/>
      <c r="P22"/>
      <c r="Q22"/>
      <c r="R22"/>
      <c r="S22"/>
      <c r="T22"/>
      <c r="U22">
        <v>31</v>
      </c>
      <c r="V22">
        <v>21</v>
      </c>
      <c r="W22" t="s">
        <v>183</v>
      </c>
      <c r="X22" t="s">
        <v>193</v>
      </c>
      <c r="Y22" s="17" t="s">
        <v>222</v>
      </c>
      <c r="Z22" t="s">
        <v>24</v>
      </c>
      <c r="AA22" t="s">
        <v>24</v>
      </c>
      <c r="AB22" s="17" t="s">
        <v>24</v>
      </c>
      <c r="AC22" s="17" t="s">
        <v>193</v>
      </c>
      <c r="AD22" s="17" t="s">
        <v>24</v>
      </c>
      <c r="AE22" s="17" t="s">
        <v>24</v>
      </c>
      <c r="AF22" s="17" t="s">
        <v>243</v>
      </c>
      <c r="AG22"/>
      <c r="AH22"/>
      <c r="AI22"/>
      <c r="AJ22" t="s">
        <v>139</v>
      </c>
      <c r="AK22"/>
      <c r="AL22">
        <v>3573</v>
      </c>
      <c r="AM22" t="s">
        <v>166</v>
      </c>
      <c r="AN22"/>
      <c r="AO22" s="17" t="s">
        <v>354</v>
      </c>
      <c r="AP22" s="17" t="s">
        <v>355</v>
      </c>
      <c r="AQ22" s="17" t="s">
        <v>356</v>
      </c>
      <c r="AR22" s="17" t="s">
        <v>139</v>
      </c>
      <c r="AS22" s="18" t="s">
        <v>393</v>
      </c>
      <c r="AT22" s="18" t="s">
        <v>393</v>
      </c>
      <c r="AU22" s="17" t="s">
        <v>394</v>
      </c>
      <c r="AV22" s="17" t="s">
        <v>394</v>
      </c>
      <c r="AW22" s="17">
        <f>LEN(SUBSTITUTE(AV22, ", "," "))</f>
        <v>53</v>
      </c>
      <c r="AX22" s="18" t="s">
        <v>359</v>
      </c>
      <c r="AY22" s="18" t="s">
        <v>360</v>
      </c>
      <c r="AZ22" s="18" t="s">
        <v>361</v>
      </c>
      <c r="BA22" s="17"/>
      <c r="BB22" s="17"/>
      <c r="BC22" s="18" t="s">
        <v>395</v>
      </c>
      <c r="BD22" s="17"/>
      <c r="BE22" s="17"/>
      <c r="BF22" s="17"/>
      <c r="BG22" s="17"/>
      <c r="BH22" s="17"/>
      <c r="BI22" s="17"/>
      <c r="BJ22" s="17"/>
      <c r="BK22" s="17"/>
      <c r="BL22" s="18" t="s">
        <v>265</v>
      </c>
      <c r="BM22" s="18" t="s">
        <v>363</v>
      </c>
      <c r="BN22" s="18" t="s">
        <v>267</v>
      </c>
      <c r="BO22" s="17"/>
      <c r="BP22" s="17"/>
      <c r="BQ22" s="17" t="s">
        <v>396</v>
      </c>
      <c r="BR22" s="17"/>
      <c r="BS22" s="17"/>
      <c r="BT22" s="17"/>
      <c r="BU22" s="17"/>
      <c r="BV22" s="17"/>
      <c r="BW22" s="17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441</v>
      </c>
    </row>
    <row r="23" spans="1:110" ht="12" customHeight="1" x14ac:dyDescent="0.25">
      <c r="A23" s="15" t="s">
        <v>9</v>
      </c>
      <c r="B23" t="s">
        <v>113</v>
      </c>
      <c r="C23" t="s">
        <v>130</v>
      </c>
      <c r="D23" t="s">
        <v>140</v>
      </c>
      <c r="E23" s="17" t="s">
        <v>219</v>
      </c>
      <c r="F23" t="s">
        <v>140</v>
      </c>
      <c r="G23" s="17" t="s">
        <v>220</v>
      </c>
      <c r="H23" s="16" t="s">
        <v>46</v>
      </c>
      <c r="I23"/>
      <c r="J23"/>
      <c r="K23"/>
      <c r="L23"/>
      <c r="M23"/>
      <c r="N23"/>
      <c r="O23"/>
      <c r="P23"/>
      <c r="Q23"/>
      <c r="R23"/>
      <c r="S23"/>
      <c r="T23"/>
      <c r="U23">
        <v>32</v>
      </c>
      <c r="V23">
        <v>22</v>
      </c>
      <c r="W23" t="s">
        <v>183</v>
      </c>
      <c r="X23" t="s">
        <v>193</v>
      </c>
      <c r="Y23" s="17" t="s">
        <v>222</v>
      </c>
      <c r="Z23" t="s">
        <v>201</v>
      </c>
      <c r="AA23" t="s">
        <v>201</v>
      </c>
      <c r="AB23" s="17" t="s">
        <v>201</v>
      </c>
      <c r="AC23" s="17" t="s">
        <v>193</v>
      </c>
      <c r="AD23" s="17" t="s">
        <v>201</v>
      </c>
      <c r="AE23" s="17" t="s">
        <v>201</v>
      </c>
      <c r="AF23" s="17" t="s">
        <v>244</v>
      </c>
      <c r="AG23"/>
      <c r="AH23"/>
      <c r="AI23"/>
      <c r="AJ23" t="s">
        <v>13</v>
      </c>
      <c r="AK23"/>
      <c r="AL23">
        <v>3573</v>
      </c>
      <c r="AM23" t="s">
        <v>200</v>
      </c>
      <c r="AN23"/>
      <c r="AO23" s="17" t="s">
        <v>354</v>
      </c>
      <c r="AP23" s="17" t="s">
        <v>355</v>
      </c>
      <c r="AQ23" s="17" t="s">
        <v>356</v>
      </c>
      <c r="AR23" s="17" t="s">
        <v>13</v>
      </c>
      <c r="AS23" s="18" t="s">
        <v>397</v>
      </c>
      <c r="AT23" s="18" t="s">
        <v>397</v>
      </c>
      <c r="AU23" s="17" t="s">
        <v>398</v>
      </c>
      <c r="AV23" s="17" t="s">
        <v>398</v>
      </c>
      <c r="AW23" s="17">
        <f>LEN(SUBSTITUTE(AV23, ", "," "))</f>
        <v>52</v>
      </c>
      <c r="AX23" s="18" t="s">
        <v>359</v>
      </c>
      <c r="AY23" s="18" t="s">
        <v>360</v>
      </c>
      <c r="AZ23" s="18" t="s">
        <v>361</v>
      </c>
      <c r="BA23" s="17"/>
      <c r="BB23" s="17"/>
      <c r="BC23" s="18" t="s">
        <v>399</v>
      </c>
      <c r="BD23" s="17"/>
      <c r="BE23" s="17"/>
      <c r="BF23" s="17"/>
      <c r="BG23" s="17"/>
      <c r="BH23" s="17"/>
      <c r="BI23" s="17"/>
      <c r="BJ23" s="17"/>
      <c r="BK23" s="17"/>
      <c r="BL23" s="18" t="s">
        <v>265</v>
      </c>
      <c r="BM23" s="18" t="s">
        <v>363</v>
      </c>
      <c r="BN23" s="18" t="s">
        <v>267</v>
      </c>
      <c r="BO23" s="17"/>
      <c r="BP23" s="17"/>
      <c r="BQ23" s="17" t="s">
        <v>400</v>
      </c>
      <c r="BR23" s="17"/>
      <c r="BS23" s="17"/>
      <c r="BT23" s="17"/>
      <c r="BU23" s="17"/>
      <c r="BV23" s="17"/>
      <c r="BW23" s="17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441</v>
      </c>
    </row>
    <row r="24" spans="1:110" ht="12" customHeight="1" x14ac:dyDescent="0.25">
      <c r="A24" s="15" t="s">
        <v>9</v>
      </c>
      <c r="B24" t="s">
        <v>113</v>
      </c>
      <c r="C24" t="s">
        <v>130</v>
      </c>
      <c r="D24" t="s">
        <v>140</v>
      </c>
      <c r="E24" s="17" t="s">
        <v>219</v>
      </c>
      <c r="F24" t="s">
        <v>140</v>
      </c>
      <c r="G24" s="17" t="s">
        <v>220</v>
      </c>
      <c r="H24" s="16" t="s">
        <v>46</v>
      </c>
      <c r="I24"/>
      <c r="J24"/>
      <c r="K24"/>
      <c r="L24"/>
      <c r="M24"/>
      <c r="N24"/>
      <c r="O24"/>
      <c r="P24"/>
      <c r="Q24"/>
      <c r="R24"/>
      <c r="S24"/>
      <c r="T24"/>
      <c r="U24">
        <v>33</v>
      </c>
      <c r="V24">
        <v>23</v>
      </c>
      <c r="W24" t="s">
        <v>183</v>
      </c>
      <c r="X24" t="s">
        <v>193</v>
      </c>
      <c r="Y24" s="17" t="s">
        <v>222</v>
      </c>
      <c r="Z24" t="s">
        <v>196</v>
      </c>
      <c r="AA24" t="s">
        <v>196</v>
      </c>
      <c r="AB24" s="17" t="s">
        <v>196</v>
      </c>
      <c r="AC24" s="17" t="s">
        <v>193</v>
      </c>
      <c r="AD24" s="17" t="s">
        <v>196</v>
      </c>
      <c r="AE24" s="17" t="s">
        <v>196</v>
      </c>
      <c r="AF24" s="17" t="s">
        <v>245</v>
      </c>
      <c r="AG24"/>
      <c r="AH24"/>
      <c r="AI24"/>
      <c r="AJ24" t="s">
        <v>107</v>
      </c>
      <c r="AK24"/>
      <c r="AL24">
        <v>3573</v>
      </c>
      <c r="AM24" t="s">
        <v>118</v>
      </c>
      <c r="AN24"/>
      <c r="AO24" s="17" t="s">
        <v>354</v>
      </c>
      <c r="AP24" s="17" t="s">
        <v>355</v>
      </c>
      <c r="AQ24" s="17" t="s">
        <v>356</v>
      </c>
      <c r="AR24" s="17" t="s">
        <v>107</v>
      </c>
      <c r="AS24" s="18" t="s">
        <v>401</v>
      </c>
      <c r="AT24" s="18" t="s">
        <v>401</v>
      </c>
      <c r="AU24" s="17" t="s">
        <v>402</v>
      </c>
      <c r="AV24" s="17" t="s">
        <v>402</v>
      </c>
      <c r="AW24" s="17">
        <f>LEN(SUBSTITUTE(AV24, ", "," "))</f>
        <v>53</v>
      </c>
      <c r="AX24" s="18" t="s">
        <v>359</v>
      </c>
      <c r="AY24" s="18" t="s">
        <v>360</v>
      </c>
      <c r="AZ24" s="18" t="s">
        <v>361</v>
      </c>
      <c r="BA24" s="17"/>
      <c r="BB24" s="17"/>
      <c r="BC24" s="18" t="s">
        <v>403</v>
      </c>
      <c r="BD24" s="17"/>
      <c r="BE24" s="17"/>
      <c r="BF24" s="17"/>
      <c r="BG24" s="17"/>
      <c r="BH24" s="17"/>
      <c r="BI24" s="17"/>
      <c r="BJ24" s="17"/>
      <c r="BK24" s="17"/>
      <c r="BL24" s="18" t="s">
        <v>265</v>
      </c>
      <c r="BM24" s="18" t="s">
        <v>363</v>
      </c>
      <c r="BN24" s="18" t="s">
        <v>267</v>
      </c>
      <c r="BO24" s="17"/>
      <c r="BP24" s="17"/>
      <c r="BQ24" s="17" t="s">
        <v>404</v>
      </c>
      <c r="BR24" s="17"/>
      <c r="BS24" s="17"/>
      <c r="BT24" s="17"/>
      <c r="BU24" s="17"/>
      <c r="BV24" s="17"/>
      <c r="BW24" s="17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441</v>
      </c>
    </row>
    <row r="25" spans="1:110" ht="12" customHeight="1" x14ac:dyDescent="0.25">
      <c r="A25" s="15" t="s">
        <v>9</v>
      </c>
      <c r="B25" t="s">
        <v>113</v>
      </c>
      <c r="C25" t="s">
        <v>130</v>
      </c>
      <c r="D25" t="s">
        <v>140</v>
      </c>
      <c r="E25" s="17" t="s">
        <v>219</v>
      </c>
      <c r="F25" t="s">
        <v>140</v>
      </c>
      <c r="G25" s="17" t="s">
        <v>220</v>
      </c>
      <c r="H25" s="16" t="s">
        <v>46</v>
      </c>
      <c r="I25"/>
      <c r="J25"/>
      <c r="K25"/>
      <c r="L25"/>
      <c r="M25"/>
      <c r="N25"/>
      <c r="O25"/>
      <c r="P25"/>
      <c r="Q25"/>
      <c r="R25"/>
      <c r="S25"/>
      <c r="T25"/>
      <c r="U25">
        <v>34</v>
      </c>
      <c r="V25">
        <v>24</v>
      </c>
      <c r="W25" t="s">
        <v>183</v>
      </c>
      <c r="X25" t="s">
        <v>193</v>
      </c>
      <c r="Y25" s="17" t="s">
        <v>222</v>
      </c>
      <c r="Z25" t="s">
        <v>151</v>
      </c>
      <c r="AA25" t="s">
        <v>151</v>
      </c>
      <c r="AB25" s="17" t="s">
        <v>151</v>
      </c>
      <c r="AC25" s="17" t="s">
        <v>193</v>
      </c>
      <c r="AD25" s="17" t="s">
        <v>151</v>
      </c>
      <c r="AE25" s="17" t="s">
        <v>151</v>
      </c>
      <c r="AF25" s="17" t="s">
        <v>246</v>
      </c>
      <c r="AG25"/>
      <c r="AH25"/>
      <c r="AI25"/>
      <c r="AJ25" t="s">
        <v>88</v>
      </c>
      <c r="AK25"/>
      <c r="AL25">
        <v>3573</v>
      </c>
      <c r="AM25" t="s">
        <v>2</v>
      </c>
      <c r="AN25"/>
      <c r="AO25" s="17" t="s">
        <v>354</v>
      </c>
      <c r="AP25" s="17" t="s">
        <v>355</v>
      </c>
      <c r="AQ25" s="17" t="s">
        <v>356</v>
      </c>
      <c r="AR25" s="17" t="s">
        <v>88</v>
      </c>
      <c r="AS25" s="18" t="s">
        <v>405</v>
      </c>
      <c r="AT25" s="18" t="s">
        <v>405</v>
      </c>
      <c r="AU25" s="17" t="s">
        <v>406</v>
      </c>
      <c r="AV25" s="17" t="s">
        <v>406</v>
      </c>
      <c r="AW25" s="17">
        <f>LEN(SUBSTITUTE(AV25, ", "," "))</f>
        <v>51</v>
      </c>
      <c r="AX25" s="18" t="s">
        <v>359</v>
      </c>
      <c r="AY25" s="18" t="s">
        <v>360</v>
      </c>
      <c r="AZ25" s="18" t="s">
        <v>361</v>
      </c>
      <c r="BA25" s="17"/>
      <c r="BB25" s="17"/>
      <c r="BC25" s="18" t="s">
        <v>407</v>
      </c>
      <c r="BD25" s="17"/>
      <c r="BE25" s="17"/>
      <c r="BF25" s="17"/>
      <c r="BG25" s="17"/>
      <c r="BH25" s="17"/>
      <c r="BI25" s="17"/>
      <c r="BJ25" s="17"/>
      <c r="BK25" s="17"/>
      <c r="BL25" s="18" t="s">
        <v>265</v>
      </c>
      <c r="BM25" s="18" t="s">
        <v>363</v>
      </c>
      <c r="BN25" s="18" t="s">
        <v>267</v>
      </c>
      <c r="BO25" s="17"/>
      <c r="BP25" s="17"/>
      <c r="BQ25" s="17" t="s">
        <v>408</v>
      </c>
      <c r="BR25" s="17"/>
      <c r="BS25" s="17"/>
      <c r="BT25" s="17"/>
      <c r="BU25" s="17"/>
      <c r="BV25" s="17"/>
      <c r="BW25" s="17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441</v>
      </c>
    </row>
    <row r="26" spans="1:110" ht="12" customHeight="1" x14ac:dyDescent="0.25">
      <c r="A26" s="15" t="s">
        <v>9</v>
      </c>
      <c r="B26" t="s">
        <v>113</v>
      </c>
      <c r="C26" t="s">
        <v>130</v>
      </c>
      <c r="D26" t="s">
        <v>140</v>
      </c>
      <c r="E26" s="17" t="s">
        <v>219</v>
      </c>
      <c r="F26" t="s">
        <v>140</v>
      </c>
      <c r="G26" s="17" t="s">
        <v>220</v>
      </c>
      <c r="H26" s="16" t="s">
        <v>46</v>
      </c>
      <c r="I26"/>
      <c r="J26"/>
      <c r="K26"/>
      <c r="L26"/>
      <c r="M26"/>
      <c r="N26"/>
      <c r="O26"/>
      <c r="P26"/>
      <c r="Q26"/>
      <c r="R26"/>
      <c r="S26"/>
      <c r="T26"/>
      <c r="U26">
        <v>35</v>
      </c>
      <c r="V26">
        <v>25</v>
      </c>
      <c r="W26" t="s">
        <v>183</v>
      </c>
      <c r="X26" t="s">
        <v>193</v>
      </c>
      <c r="Y26" s="17" t="s">
        <v>222</v>
      </c>
      <c r="Z26" t="s">
        <v>6</v>
      </c>
      <c r="AA26" t="s">
        <v>6</v>
      </c>
      <c r="AB26" s="17" t="s">
        <v>6</v>
      </c>
      <c r="AC26" s="17" t="s">
        <v>193</v>
      </c>
      <c r="AD26" s="17" t="s">
        <v>6</v>
      </c>
      <c r="AE26" s="17" t="s">
        <v>6</v>
      </c>
      <c r="AF26" s="17" t="s">
        <v>247</v>
      </c>
      <c r="AG26"/>
      <c r="AH26"/>
      <c r="AI26"/>
      <c r="AJ26" t="s">
        <v>11</v>
      </c>
      <c r="AK26"/>
      <c r="AL26">
        <v>3573</v>
      </c>
      <c r="AM26" t="s">
        <v>12</v>
      </c>
      <c r="AN26"/>
      <c r="AO26" s="17" t="s">
        <v>354</v>
      </c>
      <c r="AP26" s="17" t="s">
        <v>355</v>
      </c>
      <c r="AQ26" s="17" t="s">
        <v>356</v>
      </c>
      <c r="AR26" s="17" t="s">
        <v>11</v>
      </c>
      <c r="AS26" s="18" t="s">
        <v>409</v>
      </c>
      <c r="AT26" s="18" t="s">
        <v>409</v>
      </c>
      <c r="AU26" s="17" t="s">
        <v>410</v>
      </c>
      <c r="AV26" s="17" t="s">
        <v>410</v>
      </c>
      <c r="AW26" s="17">
        <f>LEN(SUBSTITUTE(AV26, ", "," "))</f>
        <v>51</v>
      </c>
      <c r="AX26" s="18" t="s">
        <v>359</v>
      </c>
      <c r="AY26" s="18" t="s">
        <v>360</v>
      </c>
      <c r="AZ26" s="18" t="s">
        <v>361</v>
      </c>
      <c r="BA26" s="17"/>
      <c r="BB26" s="17"/>
      <c r="BC26" s="18" t="s">
        <v>411</v>
      </c>
      <c r="BD26" s="17"/>
      <c r="BE26" s="17"/>
      <c r="BF26" s="17"/>
      <c r="BG26" s="17"/>
      <c r="BH26" s="17"/>
      <c r="BI26" s="17"/>
      <c r="BJ26" s="17"/>
      <c r="BK26" s="17"/>
      <c r="BL26" s="18" t="s">
        <v>265</v>
      </c>
      <c r="BM26" s="18" t="s">
        <v>363</v>
      </c>
      <c r="BN26" s="18" t="s">
        <v>267</v>
      </c>
      <c r="BO26" s="17"/>
      <c r="BP26" s="17"/>
      <c r="BQ26" s="17" t="s">
        <v>412</v>
      </c>
      <c r="BR26" s="17"/>
      <c r="BS26" s="17"/>
      <c r="BT26" s="17"/>
      <c r="BU26" s="17"/>
      <c r="BV26" s="17"/>
      <c r="BW26" s="17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441</v>
      </c>
    </row>
    <row r="27" spans="1:110" ht="12" customHeight="1" x14ac:dyDescent="0.25">
      <c r="A27" s="15" t="s">
        <v>9</v>
      </c>
      <c r="B27" t="s">
        <v>113</v>
      </c>
      <c r="C27" t="s">
        <v>130</v>
      </c>
      <c r="D27" t="s">
        <v>140</v>
      </c>
      <c r="E27" s="17" t="s">
        <v>219</v>
      </c>
      <c r="F27" t="s">
        <v>140</v>
      </c>
      <c r="G27" s="17" t="s">
        <v>220</v>
      </c>
      <c r="H27" s="16" t="s">
        <v>46</v>
      </c>
      <c r="I27"/>
      <c r="J27"/>
      <c r="K27"/>
      <c r="L27"/>
      <c r="M27"/>
      <c r="N27"/>
      <c r="O27"/>
      <c r="P27"/>
      <c r="Q27"/>
      <c r="R27"/>
      <c r="S27"/>
      <c r="T27"/>
      <c r="U27">
        <v>36</v>
      </c>
      <c r="V27">
        <v>26</v>
      </c>
      <c r="W27" t="s">
        <v>183</v>
      </c>
      <c r="X27" t="s">
        <v>193</v>
      </c>
      <c r="Y27" s="17" t="s">
        <v>222</v>
      </c>
      <c r="Z27" t="s">
        <v>176</v>
      </c>
      <c r="AA27" t="s">
        <v>176</v>
      </c>
      <c r="AB27" s="17" t="s">
        <v>176</v>
      </c>
      <c r="AC27" s="17" t="s">
        <v>193</v>
      </c>
      <c r="AD27" s="17" t="s">
        <v>176</v>
      </c>
      <c r="AE27" s="17" t="s">
        <v>176</v>
      </c>
      <c r="AF27" s="17" t="s">
        <v>248</v>
      </c>
      <c r="AG27"/>
      <c r="AH27"/>
      <c r="AI27"/>
      <c r="AJ27" t="s">
        <v>197</v>
      </c>
      <c r="AK27"/>
      <c r="AL27">
        <v>3573</v>
      </c>
      <c r="AM27" t="s">
        <v>163</v>
      </c>
      <c r="AN27"/>
      <c r="AO27" s="17" t="s">
        <v>354</v>
      </c>
      <c r="AP27" s="17" t="s">
        <v>355</v>
      </c>
      <c r="AQ27" s="17" t="s">
        <v>356</v>
      </c>
      <c r="AR27" s="17" t="s">
        <v>197</v>
      </c>
      <c r="AS27" s="18" t="s">
        <v>413</v>
      </c>
      <c r="AT27" s="18" t="s">
        <v>413</v>
      </c>
      <c r="AU27" s="17" t="s">
        <v>414</v>
      </c>
      <c r="AV27" s="17" t="s">
        <v>414</v>
      </c>
      <c r="AW27" s="17">
        <f>LEN(SUBSTITUTE(AV27, ", "," "))</f>
        <v>54</v>
      </c>
      <c r="AX27" s="18" t="s">
        <v>359</v>
      </c>
      <c r="AY27" s="18" t="s">
        <v>360</v>
      </c>
      <c r="AZ27" s="18" t="s">
        <v>361</v>
      </c>
      <c r="BA27" s="17"/>
      <c r="BB27" s="17"/>
      <c r="BC27" s="18" t="s">
        <v>415</v>
      </c>
      <c r="BD27" s="17"/>
      <c r="BE27" s="17"/>
      <c r="BF27" s="17"/>
      <c r="BG27" s="17"/>
      <c r="BH27" s="17"/>
      <c r="BI27" s="17"/>
      <c r="BJ27" s="17"/>
      <c r="BK27" s="17"/>
      <c r="BL27" s="18" t="s">
        <v>265</v>
      </c>
      <c r="BM27" s="18" t="s">
        <v>363</v>
      </c>
      <c r="BN27" s="18" t="s">
        <v>267</v>
      </c>
      <c r="BO27" s="17"/>
      <c r="BP27" s="17"/>
      <c r="BQ27" s="17" t="s">
        <v>416</v>
      </c>
      <c r="BR27" s="17"/>
      <c r="BS27" s="17"/>
      <c r="BT27" s="17"/>
      <c r="BU27" s="17"/>
      <c r="BV27" s="17"/>
      <c r="BW27" s="1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441</v>
      </c>
    </row>
    <row r="28" spans="1:110" ht="12" customHeight="1" x14ac:dyDescent="0.25">
      <c r="A28" s="15" t="s">
        <v>9</v>
      </c>
      <c r="B28" t="s">
        <v>113</v>
      </c>
      <c r="C28" t="s">
        <v>130</v>
      </c>
      <c r="D28" t="s">
        <v>140</v>
      </c>
      <c r="E28" s="17" t="s">
        <v>219</v>
      </c>
      <c r="F28" t="s">
        <v>140</v>
      </c>
      <c r="G28" s="17" t="s">
        <v>220</v>
      </c>
      <c r="H28" s="16" t="s">
        <v>46</v>
      </c>
      <c r="I28"/>
      <c r="J28"/>
      <c r="K28"/>
      <c r="L28"/>
      <c r="M28"/>
      <c r="N28"/>
      <c r="O28"/>
      <c r="P28"/>
      <c r="Q28"/>
      <c r="R28"/>
      <c r="S28"/>
      <c r="T28"/>
      <c r="U28">
        <v>37</v>
      </c>
      <c r="V28">
        <v>27</v>
      </c>
      <c r="W28" t="s">
        <v>183</v>
      </c>
      <c r="X28" t="s">
        <v>193</v>
      </c>
      <c r="Y28" s="17" t="s">
        <v>222</v>
      </c>
      <c r="Z28" t="s">
        <v>119</v>
      </c>
      <c r="AA28" t="s">
        <v>119</v>
      </c>
      <c r="AB28" s="17" t="s">
        <v>119</v>
      </c>
      <c r="AC28" s="17" t="s">
        <v>193</v>
      </c>
      <c r="AD28" s="17" t="s">
        <v>119</v>
      </c>
      <c r="AE28" s="17" t="s">
        <v>119</v>
      </c>
      <c r="AF28" s="17" t="s">
        <v>249</v>
      </c>
      <c r="AG28"/>
      <c r="AH28"/>
      <c r="AI28"/>
      <c r="AJ28" t="s">
        <v>85</v>
      </c>
      <c r="AK28"/>
      <c r="AL28">
        <v>3573</v>
      </c>
      <c r="AM28" t="s">
        <v>72</v>
      </c>
      <c r="AN28"/>
      <c r="AO28" s="17" t="s">
        <v>354</v>
      </c>
      <c r="AP28" s="17" t="s">
        <v>355</v>
      </c>
      <c r="AQ28" s="17" t="s">
        <v>356</v>
      </c>
      <c r="AR28" s="17" t="s">
        <v>85</v>
      </c>
      <c r="AS28" s="18" t="s">
        <v>417</v>
      </c>
      <c r="AT28" s="18" t="s">
        <v>417</v>
      </c>
      <c r="AU28" s="17" t="s">
        <v>418</v>
      </c>
      <c r="AV28" s="17" t="s">
        <v>418</v>
      </c>
      <c r="AW28" s="17">
        <f>LEN(SUBSTITUTE(AV28, ", "," "))</f>
        <v>53</v>
      </c>
      <c r="AX28" s="18" t="s">
        <v>359</v>
      </c>
      <c r="AY28" s="18" t="s">
        <v>360</v>
      </c>
      <c r="AZ28" s="18" t="s">
        <v>361</v>
      </c>
      <c r="BA28" s="17"/>
      <c r="BB28" s="17"/>
      <c r="BC28" s="18" t="s">
        <v>419</v>
      </c>
      <c r="BD28" s="17"/>
      <c r="BE28" s="17"/>
      <c r="BF28" s="17"/>
      <c r="BG28" s="17"/>
      <c r="BH28" s="17"/>
      <c r="BI28" s="17"/>
      <c r="BJ28" s="17"/>
      <c r="BK28" s="17"/>
      <c r="BL28" s="18" t="s">
        <v>265</v>
      </c>
      <c r="BM28" s="18" t="s">
        <v>363</v>
      </c>
      <c r="BN28" s="18" t="s">
        <v>267</v>
      </c>
      <c r="BO28" s="17"/>
      <c r="BP28" s="17"/>
      <c r="BQ28" s="17" t="s">
        <v>420</v>
      </c>
      <c r="BR28" s="17"/>
      <c r="BS28" s="17"/>
      <c r="BT28" s="17"/>
      <c r="BU28" s="17"/>
      <c r="BV28" s="17"/>
      <c r="BW28" s="17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441</v>
      </c>
    </row>
    <row r="29" spans="1:110" ht="12" customHeight="1" x14ac:dyDescent="0.25">
      <c r="A29" s="15" t="s">
        <v>9</v>
      </c>
      <c r="B29" t="s">
        <v>113</v>
      </c>
      <c r="C29" t="s">
        <v>130</v>
      </c>
      <c r="D29" t="s">
        <v>140</v>
      </c>
      <c r="E29" s="17" t="s">
        <v>219</v>
      </c>
      <c r="F29" t="s">
        <v>140</v>
      </c>
      <c r="G29" s="17" t="s">
        <v>220</v>
      </c>
      <c r="H29" s="16" t="s">
        <v>46</v>
      </c>
      <c r="I29"/>
      <c r="J29"/>
      <c r="K29"/>
      <c r="L29"/>
      <c r="M29"/>
      <c r="N29"/>
      <c r="O29"/>
      <c r="P29"/>
      <c r="Q29"/>
      <c r="R29"/>
      <c r="S29"/>
      <c r="T29"/>
      <c r="U29">
        <v>38</v>
      </c>
      <c r="V29">
        <v>28</v>
      </c>
      <c r="W29" t="s">
        <v>183</v>
      </c>
      <c r="X29" t="s">
        <v>193</v>
      </c>
      <c r="Y29" s="17" t="s">
        <v>222</v>
      </c>
      <c r="Z29" t="s">
        <v>169</v>
      </c>
      <c r="AA29" t="s">
        <v>169</v>
      </c>
      <c r="AB29" s="17" t="s">
        <v>169</v>
      </c>
      <c r="AC29" s="17" t="s">
        <v>193</v>
      </c>
      <c r="AD29" s="17" t="s">
        <v>169</v>
      </c>
      <c r="AE29" s="17" t="s">
        <v>169</v>
      </c>
      <c r="AF29" s="17" t="s">
        <v>250</v>
      </c>
      <c r="AG29"/>
      <c r="AH29"/>
      <c r="AI29"/>
      <c r="AJ29" t="s">
        <v>40</v>
      </c>
      <c r="AK29"/>
      <c r="AL29">
        <v>3573</v>
      </c>
      <c r="AM29" t="s">
        <v>70</v>
      </c>
      <c r="AN29"/>
      <c r="AO29" s="17" t="s">
        <v>354</v>
      </c>
      <c r="AP29" s="17" t="s">
        <v>355</v>
      </c>
      <c r="AQ29" s="17" t="s">
        <v>356</v>
      </c>
      <c r="AR29" s="17" t="s">
        <v>40</v>
      </c>
      <c r="AS29" s="18" t="s">
        <v>421</v>
      </c>
      <c r="AT29" s="18" t="s">
        <v>421</v>
      </c>
      <c r="AU29" s="17" t="s">
        <v>422</v>
      </c>
      <c r="AV29" s="17" t="s">
        <v>422</v>
      </c>
      <c r="AW29" s="17">
        <f>LEN(SUBSTITUTE(AV29, ", "," "))</f>
        <v>53</v>
      </c>
      <c r="AX29" s="18" t="s">
        <v>359</v>
      </c>
      <c r="AY29" s="18" t="s">
        <v>360</v>
      </c>
      <c r="AZ29" s="18" t="s">
        <v>361</v>
      </c>
      <c r="BA29" s="17"/>
      <c r="BB29" s="17"/>
      <c r="BC29" s="18" t="s">
        <v>423</v>
      </c>
      <c r="BD29" s="17"/>
      <c r="BE29" s="17"/>
      <c r="BF29" s="17"/>
      <c r="BG29" s="17"/>
      <c r="BH29" s="17"/>
      <c r="BI29" s="17"/>
      <c r="BJ29" s="17"/>
      <c r="BK29" s="17"/>
      <c r="BL29" s="18" t="s">
        <v>265</v>
      </c>
      <c r="BM29" s="18" t="s">
        <v>363</v>
      </c>
      <c r="BN29" s="18" t="s">
        <v>267</v>
      </c>
      <c r="BO29" s="17"/>
      <c r="BP29" s="17"/>
      <c r="BQ29" s="17" t="s">
        <v>424</v>
      </c>
      <c r="BR29" s="17"/>
      <c r="BS29" s="17"/>
      <c r="BT29" s="17"/>
      <c r="BU29" s="17"/>
      <c r="BV29" s="17"/>
      <c r="BW29" s="17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441</v>
      </c>
    </row>
    <row r="30" spans="1:110" ht="12" customHeight="1" x14ac:dyDescent="0.25">
      <c r="A30" s="15" t="s">
        <v>9</v>
      </c>
      <c r="B30" t="s">
        <v>113</v>
      </c>
      <c r="C30" t="s">
        <v>130</v>
      </c>
      <c r="D30" t="s">
        <v>140</v>
      </c>
      <c r="E30" s="17" t="s">
        <v>219</v>
      </c>
      <c r="F30" t="s">
        <v>140</v>
      </c>
      <c r="G30" s="17" t="s">
        <v>220</v>
      </c>
      <c r="H30" s="16" t="s">
        <v>46</v>
      </c>
      <c r="I30"/>
      <c r="J30"/>
      <c r="K30"/>
      <c r="L30"/>
      <c r="M30"/>
      <c r="N30"/>
      <c r="O30"/>
      <c r="P30"/>
      <c r="Q30"/>
      <c r="R30"/>
      <c r="S30"/>
      <c r="T30"/>
      <c r="U30">
        <v>39</v>
      </c>
      <c r="V30">
        <v>29</v>
      </c>
      <c r="W30" t="s">
        <v>183</v>
      </c>
      <c r="X30" t="s">
        <v>193</v>
      </c>
      <c r="Y30" s="17" t="s">
        <v>222</v>
      </c>
      <c r="Z30" t="s">
        <v>47</v>
      </c>
      <c r="AA30" t="s">
        <v>47</v>
      </c>
      <c r="AB30" s="17" t="s">
        <v>47</v>
      </c>
      <c r="AC30" s="17" t="s">
        <v>193</v>
      </c>
      <c r="AD30" s="17" t="s">
        <v>47</v>
      </c>
      <c r="AE30" s="17" t="s">
        <v>47</v>
      </c>
      <c r="AF30" s="17" t="s">
        <v>251</v>
      </c>
      <c r="AG30"/>
      <c r="AH30"/>
      <c r="AI30"/>
      <c r="AJ30" t="s">
        <v>57</v>
      </c>
      <c r="AK30"/>
      <c r="AL30">
        <v>3573</v>
      </c>
      <c r="AM30" t="s">
        <v>104</v>
      </c>
      <c r="AN30"/>
      <c r="AO30" s="17" t="s">
        <v>354</v>
      </c>
      <c r="AP30" s="17" t="s">
        <v>355</v>
      </c>
      <c r="AQ30" s="17" t="s">
        <v>356</v>
      </c>
      <c r="AR30" s="17" t="s">
        <v>57</v>
      </c>
      <c r="AS30" s="18" t="s">
        <v>425</v>
      </c>
      <c r="AT30" s="18" t="s">
        <v>425</v>
      </c>
      <c r="AU30" s="17" t="s">
        <v>426</v>
      </c>
      <c r="AV30" s="17" t="s">
        <v>426</v>
      </c>
      <c r="AW30" s="17">
        <f>LEN(SUBSTITUTE(AV30, ", "," "))</f>
        <v>52</v>
      </c>
      <c r="AX30" s="18" t="s">
        <v>359</v>
      </c>
      <c r="AY30" s="18" t="s">
        <v>360</v>
      </c>
      <c r="AZ30" s="18" t="s">
        <v>361</v>
      </c>
      <c r="BA30" s="17"/>
      <c r="BB30" s="17"/>
      <c r="BC30" s="18" t="s">
        <v>427</v>
      </c>
      <c r="BD30" s="17"/>
      <c r="BE30" s="17"/>
      <c r="BF30" s="17"/>
      <c r="BG30" s="17"/>
      <c r="BH30" s="17"/>
      <c r="BI30" s="17"/>
      <c r="BJ30" s="17"/>
      <c r="BK30" s="17"/>
      <c r="BL30" s="18" t="s">
        <v>265</v>
      </c>
      <c r="BM30" s="18" t="s">
        <v>363</v>
      </c>
      <c r="BN30" s="18" t="s">
        <v>267</v>
      </c>
      <c r="BO30" s="17"/>
      <c r="BP30" s="17"/>
      <c r="BQ30" s="17" t="s">
        <v>428</v>
      </c>
      <c r="BR30" s="17"/>
      <c r="BS30" s="17"/>
      <c r="BT30" s="17"/>
      <c r="BU30" s="17"/>
      <c r="BV30" s="17"/>
      <c r="BW30" s="17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441</v>
      </c>
    </row>
    <row r="31" spans="1:110" ht="12" customHeight="1" x14ac:dyDescent="0.25">
      <c r="A31" s="15" t="s">
        <v>9</v>
      </c>
      <c r="B31" t="s">
        <v>113</v>
      </c>
      <c r="C31" t="s">
        <v>130</v>
      </c>
      <c r="D31" t="s">
        <v>140</v>
      </c>
      <c r="E31" s="17" t="s">
        <v>219</v>
      </c>
      <c r="F31" t="s">
        <v>140</v>
      </c>
      <c r="G31" s="17" t="s">
        <v>220</v>
      </c>
      <c r="H31" s="16" t="s">
        <v>46</v>
      </c>
      <c r="I31"/>
      <c r="J31"/>
      <c r="K31"/>
      <c r="L31"/>
      <c r="M31"/>
      <c r="N31"/>
      <c r="O31"/>
      <c r="P31"/>
      <c r="Q31"/>
      <c r="R31"/>
      <c r="S31"/>
      <c r="T31"/>
      <c r="U31">
        <v>40</v>
      </c>
      <c r="V31">
        <v>30</v>
      </c>
      <c r="W31" t="s">
        <v>183</v>
      </c>
      <c r="X31" t="s">
        <v>193</v>
      </c>
      <c r="Y31" s="17" t="s">
        <v>222</v>
      </c>
      <c r="Z31" t="s">
        <v>174</v>
      </c>
      <c r="AA31" t="s">
        <v>174</v>
      </c>
      <c r="AB31" s="17" t="s">
        <v>174</v>
      </c>
      <c r="AC31" s="17" t="s">
        <v>193</v>
      </c>
      <c r="AD31" s="17" t="s">
        <v>174</v>
      </c>
      <c r="AE31" s="17" t="s">
        <v>174</v>
      </c>
      <c r="AF31" s="17" t="s">
        <v>252</v>
      </c>
      <c r="AG31"/>
      <c r="AH31"/>
      <c r="AI31"/>
      <c r="AJ31" t="s">
        <v>208</v>
      </c>
      <c r="AK31"/>
      <c r="AL31">
        <v>3573</v>
      </c>
      <c r="AM31" t="s">
        <v>75</v>
      </c>
      <c r="AN31"/>
      <c r="AO31" s="17" t="s">
        <v>354</v>
      </c>
      <c r="AP31" s="17" t="s">
        <v>355</v>
      </c>
      <c r="AQ31" s="17" t="s">
        <v>356</v>
      </c>
      <c r="AR31" s="17" t="s">
        <v>208</v>
      </c>
      <c r="AS31" s="18" t="s">
        <v>429</v>
      </c>
      <c r="AT31" s="18" t="s">
        <v>429</v>
      </c>
      <c r="AU31" s="17" t="s">
        <v>430</v>
      </c>
      <c r="AV31" s="17" t="s">
        <v>430</v>
      </c>
      <c r="AW31" s="17">
        <f>LEN(SUBSTITUTE(AV31, ", "," "))</f>
        <v>51</v>
      </c>
      <c r="AX31" s="18" t="s">
        <v>359</v>
      </c>
      <c r="AY31" s="18" t="s">
        <v>360</v>
      </c>
      <c r="AZ31" s="18" t="s">
        <v>361</v>
      </c>
      <c r="BA31" s="17"/>
      <c r="BB31" s="17"/>
      <c r="BC31" s="18" t="s">
        <v>431</v>
      </c>
      <c r="BD31" s="17"/>
      <c r="BE31" s="17"/>
      <c r="BF31" s="17"/>
      <c r="BG31" s="17"/>
      <c r="BH31" s="17"/>
      <c r="BI31" s="17"/>
      <c r="BJ31" s="17"/>
      <c r="BK31" s="17"/>
      <c r="BL31" s="18" t="s">
        <v>265</v>
      </c>
      <c r="BM31" s="18" t="s">
        <v>363</v>
      </c>
      <c r="BN31" s="18" t="s">
        <v>267</v>
      </c>
      <c r="BO31" s="17"/>
      <c r="BP31" s="17"/>
      <c r="BQ31" s="17" t="s">
        <v>432</v>
      </c>
      <c r="BR31" s="17"/>
      <c r="BS31" s="17"/>
      <c r="BT31" s="17"/>
      <c r="BU31" s="17"/>
      <c r="BV31" s="17"/>
      <c r="BW31" s="17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441</v>
      </c>
    </row>
    <row r="32" spans="1:110" ht="12" customHeight="1" x14ac:dyDescent="0.25">
      <c r="A32" s="15" t="s">
        <v>9</v>
      </c>
      <c r="B32" t="s">
        <v>113</v>
      </c>
      <c r="C32" t="s">
        <v>130</v>
      </c>
      <c r="D32" t="s">
        <v>140</v>
      </c>
      <c r="E32" s="17" t="s">
        <v>219</v>
      </c>
      <c r="F32" t="s">
        <v>140</v>
      </c>
      <c r="G32" s="17" t="s">
        <v>220</v>
      </c>
      <c r="H32" s="16" t="s">
        <v>46</v>
      </c>
      <c r="I32"/>
      <c r="J32"/>
      <c r="K32"/>
      <c r="L32"/>
      <c r="M32"/>
      <c r="N32"/>
      <c r="O32"/>
      <c r="P32"/>
      <c r="Q32"/>
      <c r="R32"/>
      <c r="S32"/>
      <c r="T32"/>
      <c r="U32">
        <v>41</v>
      </c>
      <c r="V32">
        <v>31</v>
      </c>
      <c r="W32" t="s">
        <v>183</v>
      </c>
      <c r="X32" t="s">
        <v>193</v>
      </c>
      <c r="Y32" s="17" t="s">
        <v>222</v>
      </c>
      <c r="Z32" t="s">
        <v>114</v>
      </c>
      <c r="AA32" t="s">
        <v>114</v>
      </c>
      <c r="AB32" s="17" t="s">
        <v>114</v>
      </c>
      <c r="AC32" s="17" t="s">
        <v>193</v>
      </c>
      <c r="AD32" s="17" t="s">
        <v>114</v>
      </c>
      <c r="AE32" s="17" t="s">
        <v>114</v>
      </c>
      <c r="AF32" s="17" t="s">
        <v>253</v>
      </c>
      <c r="AG32"/>
      <c r="AH32"/>
      <c r="AI32"/>
      <c r="AJ32" t="s">
        <v>56</v>
      </c>
      <c r="AK32"/>
      <c r="AL32">
        <v>3573</v>
      </c>
      <c r="AM32" t="s">
        <v>29</v>
      </c>
      <c r="AN32"/>
      <c r="AO32" s="17" t="s">
        <v>354</v>
      </c>
      <c r="AP32" s="17" t="s">
        <v>355</v>
      </c>
      <c r="AQ32" s="17" t="s">
        <v>356</v>
      </c>
      <c r="AR32" s="17" t="s">
        <v>56</v>
      </c>
      <c r="AS32" s="18" t="s">
        <v>433</v>
      </c>
      <c r="AT32" s="18" t="s">
        <v>433</v>
      </c>
      <c r="AU32" s="17" t="s">
        <v>434</v>
      </c>
      <c r="AV32" s="17" t="s">
        <v>434</v>
      </c>
      <c r="AW32" s="17">
        <f>LEN(SUBSTITUTE(AV32, ", "," "))</f>
        <v>51</v>
      </c>
      <c r="AX32" s="18" t="s">
        <v>359</v>
      </c>
      <c r="AY32" s="18" t="s">
        <v>360</v>
      </c>
      <c r="AZ32" s="18" t="s">
        <v>361</v>
      </c>
      <c r="BA32" s="17"/>
      <c r="BB32" s="17"/>
      <c r="BC32" s="18" t="s">
        <v>435</v>
      </c>
      <c r="BD32" s="17"/>
      <c r="BE32" s="17"/>
      <c r="BF32" s="17"/>
      <c r="BG32" s="17"/>
      <c r="BH32" s="17"/>
      <c r="BI32" s="17"/>
      <c r="BJ32" s="17"/>
      <c r="BK32" s="17"/>
      <c r="BL32" s="18" t="s">
        <v>265</v>
      </c>
      <c r="BM32" s="18" t="s">
        <v>363</v>
      </c>
      <c r="BN32" s="18" t="s">
        <v>267</v>
      </c>
      <c r="BO32" s="17"/>
      <c r="BP32" s="17"/>
      <c r="BQ32" s="17" t="s">
        <v>436</v>
      </c>
      <c r="BR32" s="17"/>
      <c r="BS32" s="17"/>
      <c r="BT32" s="17"/>
      <c r="BU32" s="17"/>
      <c r="BV32" s="17"/>
      <c r="BW32" s="17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441</v>
      </c>
    </row>
    <row r="33" spans="1:110" ht="12" customHeight="1" x14ac:dyDescent="0.25">
      <c r="A33" s="15" t="s">
        <v>9</v>
      </c>
      <c r="B33" t="s">
        <v>113</v>
      </c>
      <c r="C33" t="s">
        <v>130</v>
      </c>
      <c r="D33" t="s">
        <v>140</v>
      </c>
      <c r="E33" s="17" t="s">
        <v>219</v>
      </c>
      <c r="F33" t="s">
        <v>140</v>
      </c>
      <c r="G33" s="17" t="s">
        <v>220</v>
      </c>
      <c r="H33" s="16" t="s">
        <v>46</v>
      </c>
      <c r="I33"/>
      <c r="J33"/>
      <c r="K33"/>
      <c r="L33"/>
      <c r="M33"/>
      <c r="N33"/>
      <c r="O33"/>
      <c r="P33"/>
      <c r="Q33"/>
      <c r="R33"/>
      <c r="S33"/>
      <c r="T33"/>
      <c r="U33">
        <v>42</v>
      </c>
      <c r="V33">
        <v>32</v>
      </c>
      <c r="W33" t="s">
        <v>183</v>
      </c>
      <c r="X33" t="s">
        <v>193</v>
      </c>
      <c r="Y33" s="17" t="s">
        <v>222</v>
      </c>
      <c r="Z33" t="s">
        <v>95</v>
      </c>
      <c r="AA33" t="s">
        <v>95</v>
      </c>
      <c r="AB33" s="17" t="s">
        <v>95</v>
      </c>
      <c r="AC33" s="17" t="s">
        <v>193</v>
      </c>
      <c r="AD33" s="17" t="s">
        <v>95</v>
      </c>
      <c r="AE33" s="17" t="s">
        <v>95</v>
      </c>
      <c r="AF33" s="17" t="s">
        <v>254</v>
      </c>
      <c r="AG33"/>
      <c r="AH33"/>
      <c r="AI33"/>
      <c r="AJ33" t="s">
        <v>179</v>
      </c>
      <c r="AK33"/>
      <c r="AL33">
        <v>3573</v>
      </c>
      <c r="AM33" t="s">
        <v>209</v>
      </c>
      <c r="AN33"/>
      <c r="AO33" s="17" t="s">
        <v>354</v>
      </c>
      <c r="AP33" s="17" t="s">
        <v>355</v>
      </c>
      <c r="AQ33" s="17" t="s">
        <v>356</v>
      </c>
      <c r="AR33" s="17" t="s">
        <v>179</v>
      </c>
      <c r="AS33" s="18" t="s">
        <v>437</v>
      </c>
      <c r="AT33" s="18" t="s">
        <v>437</v>
      </c>
      <c r="AU33" s="17" t="s">
        <v>438</v>
      </c>
      <c r="AV33" s="17" t="s">
        <v>438</v>
      </c>
      <c r="AW33" s="17">
        <f>LEN(SUBSTITUTE(AV33, ", "," "))</f>
        <v>54</v>
      </c>
      <c r="AX33" s="18" t="s">
        <v>359</v>
      </c>
      <c r="AY33" s="18" t="s">
        <v>360</v>
      </c>
      <c r="AZ33" s="18" t="s">
        <v>361</v>
      </c>
      <c r="BA33" s="17"/>
      <c r="BB33" s="17"/>
      <c r="BC33" s="18" t="s">
        <v>439</v>
      </c>
      <c r="BD33" s="17"/>
      <c r="BE33" s="17"/>
      <c r="BF33" s="17"/>
      <c r="BG33" s="17"/>
      <c r="BH33" s="17"/>
      <c r="BI33" s="17"/>
      <c r="BJ33" s="17"/>
      <c r="BK33" s="17"/>
      <c r="BL33" s="18" t="s">
        <v>265</v>
      </c>
      <c r="BM33" s="18" t="s">
        <v>363</v>
      </c>
      <c r="BN33" s="18" t="s">
        <v>267</v>
      </c>
      <c r="BO33" s="17"/>
      <c r="BP33" s="17"/>
      <c r="BQ33" s="17" t="s">
        <v>440</v>
      </c>
      <c r="BR33" s="17"/>
      <c r="BS33" s="17"/>
      <c r="BT33" s="17"/>
      <c r="BU33" s="17"/>
      <c r="BV33" s="17"/>
      <c r="BW33" s="17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441</v>
      </c>
    </row>
  </sheetData>
  <autoFilter ref="A1:DG33"/>
  <sortState ref="A2:DG33">
    <sortCondition ref="U2:U3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2023-07-07T12:17:38Z</dcterms:modified>
</cp:coreProperties>
</file>