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working" sheetId="1" r:id="rId1"/>
    <sheet name="Sheet2" sheetId="2" r:id="rId2"/>
  </sheets>
  <definedNames>
    <definedName name="_xlnm._FilterDatabase" localSheetId="0" hidden="1">working!$A$1:$EP$91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7" i="2"/>
  <c r="AA10"/>
  <c r="Y12"/>
  <c r="AA9"/>
  <c r="K24" l="1"/>
  <c r="I24"/>
  <c r="L17"/>
  <c r="M14" l="1"/>
  <c r="AC21" l="1"/>
  <c r="AB21"/>
  <c r="J19" l="1"/>
  <c r="I19"/>
</calcChain>
</file>

<file path=xl/sharedStrings.xml><?xml version="1.0" encoding="utf-8"?>
<sst xmlns="http://schemas.openxmlformats.org/spreadsheetml/2006/main" count="3998" uniqueCount="1125">
  <si>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</si>
  <si>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</si>
  <si>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</si>
  <si>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</si>
  <si>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</si>
  <si>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</si>
  <si>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</si>
  <si>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</si>
  <si>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</si>
  <si>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</si>
  <si>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</si>
  <si>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</si>
  <si>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</si>
  <si>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</si>
  <si>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</si>
  <si>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</si>
  <si>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</si>
  <si>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</si>
  <si>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</si>
  <si>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</si>
  <si>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</si>
  <si>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</si>
  <si>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</si>
  <si>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</si>
  <si>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</si>
  <si>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</si>
  <si>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</si>
  <si>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</si>
  <si>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</si>
  <si>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</si>
  <si>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</si>
  <si>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</si>
  <si>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</si>
  <si>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</si>
  <si>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</si>
  <si>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</si>
  <si>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</si>
  <si>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</si>
  <si>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</si>
  <si>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</si>
  <si>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</si>
  <si>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</si>
  <si>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</si>
  <si>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</si>
  <si>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</si>
  <si>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</si>
  <si>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</si>
  <si>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</si>
  <si>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</si>
  <si>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</si>
  <si>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</si>
  <si>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</si>
  <si>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</si>
  <si>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</si>
  <si>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</si>
  <si>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</si>
  <si>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</si>
  <si>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</si>
  <si>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</si>
  <si>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</si>
  <si>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</si>
  <si>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</si>
  <si>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</si>
  <si>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</si>
  <si>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</si>
  <si>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</si>
  <si>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</si>
  <si>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</si>
  <si>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</si>
  <si>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</si>
  <si>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</si>
  <si>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</si>
  <si>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</si>
  <si>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</si>
  <si>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</si>
  <si>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</si>
  <si>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</si>
  <si>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</si>
  <si>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</si>
  <si>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</si>
  <si>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</si>
  <si>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</si>
  <si>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</si>
  <si>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</si>
  <si>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</si>
  <si>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</si>
  <si>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</si>
  <si>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</si>
  <si>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</si>
  <si>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</si>
  <si>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</si>
  <si>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</si>
  <si>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</si>
  <si>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</si>
  <si>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</si>
  <si>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</si>
  <si>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</si>
  <si>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</si>
  <si>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</si>
  <si>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</si>
  <si>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</si>
  <si>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</si>
  <si>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</si>
  <si>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</si>
  <si>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</si>
  <si>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</si>
  <si>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</si>
  <si>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</si>
  <si>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</si>
  <si>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</si>
  <si>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</si>
  <si>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</si>
  <si>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</si>
  <si>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</si>
  <si>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</si>
  <si>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</si>
  <si>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</si>
  <si>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</si>
  <si>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</si>
  <si>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</si>
  <si>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</si>
  <si>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</si>
  <si>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</si>
  <si>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</si>
  <si>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</si>
  <si>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</si>
  <si>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</si>
  <si>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</si>
  <si>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</si>
  <si>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</si>
  <si>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</si>
  <si>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</si>
  <si>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</si>
  <si>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</si>
  <si>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</si>
  <si>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</si>
  <si>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</si>
  <si>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</si>
  <si>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</si>
  <si>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</si>
  <si>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</si>
  <si>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</si>
  <si>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</si>
  <si>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</si>
  <si>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</si>
  <si>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</si>
  <si>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</si>
  <si>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</si>
  <si>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SFQ</t>
  </si>
  <si>
    <t>1112406</t>
  </si>
  <si>
    <t>1425978</t>
  </si>
  <si>
    <t>AU_QM_000361469</t>
  </si>
  <si>
    <t/>
  </si>
  <si>
    <t>ERSA</t>
  </si>
  <si>
    <t>M</t>
  </si>
  <si>
    <t>5620</t>
  </si>
  <si>
    <t>1425978GZPCLNT100</t>
  </si>
  <si>
    <t>EA</t>
  </si>
  <si>
    <t>BALDWIN 10"NB C52 AIR CYLINDER;</t>
  </si>
  <si>
    <t>BEARING,SLEEVE: BALDWIN 10"NB C52 AIR CYLINDER; (EX DW 09775) ICL ICL COOLING BANK</t>
  </si>
  <si>
    <t xml:space="preserve">BEARING,SLEEVE: BALDWIN 10"NB C52 AIR CYLINDER; </t>
  </si>
  <si>
    <t>1203861</t>
  </si>
  <si>
    <t>5915</t>
  </si>
  <si>
    <t>147971MRM</t>
  </si>
  <si>
    <t>BEARING ASSY:BEARING ASSY;CTR SU</t>
  </si>
  <si>
    <t>5920</t>
  </si>
  <si>
    <t>5955</t>
  </si>
  <si>
    <t>SET</t>
  </si>
  <si>
    <t>CATERPILLAR</t>
  </si>
  <si>
    <t>3000</t>
  </si>
  <si>
    <t>1138293</t>
  </si>
  <si>
    <t>1402537</t>
  </si>
  <si>
    <t>AU_QM_000247173</t>
  </si>
  <si>
    <t>1402537GZPCLNT100</t>
  </si>
  <si>
    <t>BEARING,ASSY</t>
  </si>
  <si>
    <t>APL-A-LIST BEARING,ASSY</t>
  </si>
  <si>
    <t>BEARING,ASSYBEARING,ASSY</t>
  </si>
  <si>
    <t>1161086</t>
  </si>
  <si>
    <t>1403879GZPCLNT100</t>
  </si>
  <si>
    <t>BEARING,ASSY;COMPLT</t>
  </si>
  <si>
    <t>BEARING,ASSEMBLY;ADDITIONAL FEATURES EN:COMPLETE</t>
  </si>
  <si>
    <t>JOHN DEERE</t>
  </si>
  <si>
    <t>5000</t>
  </si>
  <si>
    <t>3000010</t>
  </si>
  <si>
    <t>SANDVIK</t>
  </si>
  <si>
    <t>3000348</t>
  </si>
  <si>
    <t>SKF</t>
  </si>
  <si>
    <t>1204744</t>
  </si>
  <si>
    <t>626671MRM</t>
  </si>
  <si>
    <t>BEARING,BALL:CAT 4N7657 WATER PUMP;BEARI</t>
  </si>
  <si>
    <t>BEARING,BALL:CAT 4N7657 WATER PUMP;BEARING</t>
  </si>
  <si>
    <t>1203449</t>
  </si>
  <si>
    <t>981587MRM</t>
  </si>
  <si>
    <t>BEARING,BALL:SPINDLE BEARING;35 X 72 X 1</t>
  </si>
  <si>
    <t>BEARING,BALL:SPINDLE BEARING;35 X 72 X 17MM W;1-ROW;C4 CLEARANCE;DETROIT SERIES 60 DDEC 3 ENGINES</t>
  </si>
  <si>
    <t>1211313</t>
  </si>
  <si>
    <t>135972MRM</t>
  </si>
  <si>
    <t>BEARING,CLUTCH,THROWOUT:RELEASE BEARING</t>
  </si>
  <si>
    <t>OUTOTEC</t>
  </si>
  <si>
    <t>1206736</t>
  </si>
  <si>
    <t>1044304MRM</t>
  </si>
  <si>
    <t>BEARING,NEEDLE ROLLER:BK2520 NEEDLE BEAR</t>
  </si>
  <si>
    <t>BEARING,NEEDLE ROLLER:BK2520 NEEDLE BEARING;COMPAIR SIRIUS 10/250 COMPRESSOR</t>
  </si>
  <si>
    <t>1065944</t>
  </si>
  <si>
    <t>1469894</t>
  </si>
  <si>
    <t>AU_QM_009007872</t>
  </si>
  <si>
    <t>1469894GZPCLNT100</t>
  </si>
  <si>
    <t>BEARING,PLAIN,SELF-ALIGNING:</t>
  </si>
  <si>
    <t>1217764</t>
  </si>
  <si>
    <t>928481MRM</t>
  </si>
  <si>
    <t>BEARING,PLAIN,SELF-ALIGNING:ROPS SUPPORT</t>
  </si>
  <si>
    <t>BEARING,PLAIN,SELF-ALIGNING:ROPS SUPPORT BAR BEARING;TAMROCK TORO 1400 LOADER</t>
  </si>
  <si>
    <t>1217765</t>
  </si>
  <si>
    <t>928499MRM</t>
  </si>
  <si>
    <t>1204429</t>
  </si>
  <si>
    <t>616094MRM</t>
  </si>
  <si>
    <t>BEARING,PLAIN,SELF-ALIGNING:SUIT STEERIN</t>
  </si>
  <si>
    <t>BEARING,PLAIN,SELF-ALIGNING:SUIT STEERING,16-TONNE FRANNA CRANE</t>
  </si>
  <si>
    <t>1214370</t>
  </si>
  <si>
    <t>777134MRM</t>
  </si>
  <si>
    <t>BEARING,PLAIN,SPHERICAL:70 X 105 X 49MM</t>
  </si>
  <si>
    <t>BEARING,PLAIN,SPHERICAL:70 X 105 X 49MM W;STEEL/STEEL;2 RUBBERSEALS;C/W LUBE GROOVE &lt;(&gt;&amp;&lt;)&gt; HOLES;</t>
  </si>
  <si>
    <t>1216671</t>
  </si>
  <si>
    <t>7128177MRM</t>
  </si>
  <si>
    <t>BEARING,PLAIN,SPHERICAL:H320 CYLINDER BE</t>
  </si>
  <si>
    <t>BEARING,PLAIN,SPHERICAL:H320 CYLINDER BEARING;ACTUATING CYLINDER ASSY;ROBOLT H320-30C ROOF BOLTER</t>
  </si>
  <si>
    <t>1211811</t>
  </si>
  <si>
    <t>775307MRM</t>
  </si>
  <si>
    <t>BEARING,PLAIN,SPHERICAL:PLUTON 30 DRILL</t>
  </si>
  <si>
    <t>BEARING,PLAIN,SPHERICAL:PLUTON 30 DRILL BOOM BEARING;SECOMA PLUTON 30 ROCK BOLTER</t>
  </si>
  <si>
    <t>1162194</t>
  </si>
  <si>
    <t>1403272GZPCLNT100</t>
  </si>
  <si>
    <t>BEARING,PLN;WHITE METAL</t>
  </si>
  <si>
    <t>BEARING,PLAIN;MATERIAL:WHITE METAL</t>
  </si>
  <si>
    <t>ATLAS COPCO</t>
  </si>
  <si>
    <t>1016437</t>
  </si>
  <si>
    <t>1073225GZPCLNT100</t>
  </si>
  <si>
    <t>BEARING,ROLR;SKF,NU2224ECML,CYLINDRICAL</t>
  </si>
  <si>
    <t>RODAMIENTO RDLLO;SKF,NU2224ECML,CILINDRI</t>
  </si>
  <si>
    <t>BEARING,ROLLER;MNFR:SKF,PTNO:NU2224ECML,TYPE:CYLINDRICAL,INSIDE DIAMETER:120 MM,OUTSIDE DIAMETER:215 MM,OVERALL WIDTH:58 MM,BORE SHAPE:ROUND,CAGE MATERIAL:BRASS,BEARING SERIES:NU22,LIGHT DUTY,DYNAMIC LOAD RATING:520 KN,STATIC LOAD RATING:630 KN,SPEED RATING: 3400 RPM REFERENCE,5600,RPM LIMITING,ADDITIONAL FEATURES EN:DRIVE END</t>
  </si>
  <si>
    <t>RODAMIENTO RODILLO;MNFR:SKF,PTNO:NU2224ECML,TIPO:CILINDRICO,DIAMETRO LADO INTERIOR:120 MM,DIAMETRO EXTERIOR:215 MM,FORMA DIAMETRO: REDONDO,SERIE RODAMIENTO:NU22,SERVICIO LIGERO,CARGA DINAMICA NOMINAL:520 KN,CARGA ESTATICA NOMINAL:630 KN</t>
  </si>
  <si>
    <t>NU2224ECML</t>
  </si>
  <si>
    <t>1076959</t>
  </si>
  <si>
    <t>1221869GZPCLNT100</t>
  </si>
  <si>
    <t>3000035</t>
  </si>
  <si>
    <t>BEARING,ROLR;TAPERED,ID 6 IN,WD 3-1/2 IN</t>
  </si>
  <si>
    <t>BEARING,ROLLER;TYPE:TAPERED,INSIDE DIAMETER:6 IN,OUTSIDE DIAMETER:12-1/8 IN,OVERALL WIDTH:3-1/2 IN,NUMBER OF ROWS:SINGLE,CAGE MATERIAL:STEEL STAMPED,STATIC LOAD RATING:1580 KN,MNFR:WARMAN,PTNO:G009,MNFR:01)TIMKEN,PTNO:01)HH234010+HH234048</t>
  </si>
  <si>
    <t>WARMAN</t>
  </si>
  <si>
    <t>G009</t>
  </si>
  <si>
    <t>1213952</t>
  </si>
  <si>
    <t>776786MRM</t>
  </si>
  <si>
    <t>BEARING,SLEEVE:DETROIT 60 SPIGOT BEARING</t>
  </si>
  <si>
    <t>BEARING,SLEEVE:DETROIT 60 SPIGOT BEARING;ENGINE GROUP;TAMROCK TORO 50D TRUCK;</t>
  </si>
  <si>
    <t>1210235</t>
  </si>
  <si>
    <t>773957MRM</t>
  </si>
  <si>
    <t>BEARING,SLEEVE:H205D CRADLE BEARING;DRIL</t>
  </si>
  <si>
    <t>BEARING,SLEEVE:H205D CRADLE BEARING;DRILL BOOM CRADLE ASSY;H205D POWER CLASS MINIMATIC JUMBO</t>
  </si>
  <si>
    <t>1206508</t>
  </si>
  <si>
    <t>106237MRM</t>
  </si>
  <si>
    <t>BEARING,SLEEVE:HYDRAULIC CYLINDER BEARIN</t>
  </si>
  <si>
    <t>BEARING,SLEEVE:HYDRAULIC CYLINDER BEARING; ITEM 18;MODULE 32579705AB; H205-40 MINIMATIC JUMBO; CABOLT H520 CABLE BOLTER</t>
  </si>
  <si>
    <t>1206506</t>
  </si>
  <si>
    <t>105213MRM</t>
  </si>
  <si>
    <t>BEARING,SLEEVE:HYDRAULIC CYLINDER EYE BU</t>
  </si>
  <si>
    <t>BEARING,SLEEVE:HYDRAULIC CYLINDER EYE BUSH;ITEM 22;CYLINDER 32579706;H205-40 MINIMATIC JUMBO;CABOLT H520 CABLE BOLTER</t>
  </si>
  <si>
    <t>1215168</t>
  </si>
  <si>
    <t>777875MRM</t>
  </si>
  <si>
    <t>BEARING,SLEEVE:PLUTON 30 CYLINDER BEARIN</t>
  </si>
  <si>
    <t>BEARING,SLEEVE:PLUTON 30 CYLINDER BEARING;CYLINDER ASSY;SECOMA PLUTON 30 ROCK BOLTER</t>
  </si>
  <si>
    <t>1211810</t>
  </si>
  <si>
    <t>775304MRM</t>
  </si>
  <si>
    <t>BEARING,SLEEVE:PLUTON 30 DRILL BOOM BEAR</t>
  </si>
  <si>
    <t>BEARING,SLEEVE:PLUTON 30 DRILL BOOM BEARING;SECOMA PLUTON 30 ROCK BOLTER</t>
  </si>
  <si>
    <t>1204551</t>
  </si>
  <si>
    <t>997370MRM</t>
  </si>
  <si>
    <t>BEARING,SLEEVE:R1700 OSC AXLE SLEEVE BEA</t>
  </si>
  <si>
    <t>BEARING,SLEEVE:R1700 OSC AXLE SLEEVE BEARING;ELPHINSTONE R1700 II LHD</t>
  </si>
  <si>
    <t>1211314</t>
  </si>
  <si>
    <t>135973MRM</t>
  </si>
  <si>
    <t>BEARING,SLEEVE:SPIGOT BEARING</t>
  </si>
  <si>
    <t>BEARING,SLEEVE:TORO T450D BEARING BUSH;P</t>
  </si>
  <si>
    <t>BEARING,SLEEVE:TORO T450D BEARING BUSH;PINS &lt;(&gt;&amp;&lt;)&gt; BUSHINGS ASSY;TAMROCK TORO T450D LOADER</t>
  </si>
  <si>
    <t>1211819</t>
  </si>
  <si>
    <t>775319MRM</t>
  </si>
  <si>
    <t>1211821</t>
  </si>
  <si>
    <t>775321MRM</t>
  </si>
  <si>
    <t>1213576</t>
  </si>
  <si>
    <t>776666MRM</t>
  </si>
  <si>
    <t>1211818</t>
  </si>
  <si>
    <t>775318MRM</t>
  </si>
  <si>
    <t>BEARING,SLEEVE:TORO T450D STEERING CYL B</t>
  </si>
  <si>
    <t>BEARING,SLEEVE:TORO T450D STEERING CYL BEARING;STEERING CYLINDER ASSY;TAMROCK TORO T450D LOADER</t>
  </si>
  <si>
    <t>1213030</t>
  </si>
  <si>
    <t>137599MRM</t>
  </si>
  <si>
    <t>BEARING,TAPERED ROLLER:BEARING;TAPER;DR4</t>
  </si>
  <si>
    <t>BEARING,TAPERED ROLLER:BEARING;TAPER;DR460;</t>
  </si>
  <si>
    <t>1207551</t>
  </si>
  <si>
    <t>336956MRM</t>
  </si>
  <si>
    <t>BEARING,TAPERED ROLLER:CCAM005M BRG ASSY</t>
  </si>
  <si>
    <t>BEARING,TAPERED ROLLER:CCAM005M BRG ASSY BEARING;TANDEM TAPER BRG &lt;(&gt;&amp;&lt;)&gt; DUO CONE SET;C/W SPACER;</t>
  </si>
  <si>
    <t>1212521</t>
  </si>
  <si>
    <t>775721MRM</t>
  </si>
  <si>
    <t>BEARING,TAPERED ROLLER:HZJ75 OUTPUT SHAF</t>
  </si>
  <si>
    <t>BEARING,TAPERED ROLLER:HZJ75 OUTPUT SHAFT BEARING;REAR;</t>
  </si>
  <si>
    <t>1212524</t>
  </si>
  <si>
    <t>775736MRM</t>
  </si>
  <si>
    <t>BEARING,TAPERED ROLLER:HZJ75 TRANSFER ID</t>
  </si>
  <si>
    <t>BEARING,TAPERED ROLLER:HZJ75 TRANSFER IDLER GEAR BEARING;</t>
  </si>
  <si>
    <t>1211692</t>
  </si>
  <si>
    <t>136524MRM</t>
  </si>
  <si>
    <t>BEARING,TAPERED ROLLER:TAPERED ROLLER BE</t>
  </si>
  <si>
    <t>BEARING,TAPERED ROLLER:TAPERED ROLLER BEARING;AGITATOR;REGRINDPRODUCT CONDITIONER TANK AGITATOR;</t>
  </si>
  <si>
    <t>1211700</t>
  </si>
  <si>
    <t>136532MRM</t>
  </si>
  <si>
    <t>1213972</t>
  </si>
  <si>
    <t>776858MRM</t>
  </si>
  <si>
    <t>BEARING,TAPERED ROLLER:TORO 50D RETARDER</t>
  </si>
  <si>
    <t>BEARING,TAPERED ROLLER:TORO 50D RETARDER BEARING SET;ELECTRIC RETARDER ASSY;TAMROCK TORO 50D TRUCK</t>
  </si>
  <si>
    <t>1207550</t>
  </si>
  <si>
    <t>336941MRM</t>
  </si>
  <si>
    <t>BEARING,TAPERED ROLLER:WARMAN 1.5GD102-A</t>
  </si>
  <si>
    <t>BEARING,TAPERED ROLLER:WARMAN 1.5GD102-AF800 AGIT DRIVE BRG</t>
  </si>
  <si>
    <t>1073206</t>
  </si>
  <si>
    <t>X</t>
  </si>
  <si>
    <t>1612468GZPCLNT100</t>
  </si>
  <si>
    <t>BEARING,THRST;SAN,G434069</t>
  </si>
  <si>
    <t>RODAMIENTO EMPJ;SAN,G434069</t>
  </si>
  <si>
    <t>BEARING,THRUST;MNFR:SANDVIK,PTNO:G434069,ADDITIONAL FEATURES EN:ROLLING ELEMENT:NEEDLE,INSIDE DIAMETER:55 MM, OUTSIDE DIAMETER:78 MM,WIDTH:3 MM,RO</t>
  </si>
  <si>
    <t>RODAMIENTO EMPUJE;MNFR:SANDVIK,PTNO:G434069</t>
  </si>
  <si>
    <t>1209238</t>
  </si>
  <si>
    <t>156632MRM</t>
  </si>
  <si>
    <t>BEARING:4 INCH BEARING ASSEMBLY</t>
  </si>
  <si>
    <t>1211694</t>
  </si>
  <si>
    <t>136526MRM</t>
  </si>
  <si>
    <t>BEARING:BALL BEARING;AGITATOR;REGRIND PR</t>
  </si>
  <si>
    <t>BEARING:BALL BEARING;AGITATOR;REGRIND PRODUCT CONDITIONER TANK AGITATOR;</t>
  </si>
  <si>
    <t>1211696</t>
  </si>
  <si>
    <t>136528MRM</t>
  </si>
  <si>
    <t>1210755</t>
  </si>
  <si>
    <t>134770MRM</t>
  </si>
  <si>
    <t>BEARING:BALL SCREW DRIVE END BEARING;</t>
  </si>
  <si>
    <t>1204208</t>
  </si>
  <si>
    <t>5820</t>
  </si>
  <si>
    <t>148854MRM</t>
  </si>
  <si>
    <t>BEARING:BEARING 6307-2Z/C3</t>
  </si>
  <si>
    <t>1214214</t>
  </si>
  <si>
    <t>137880MRM</t>
  </si>
  <si>
    <t>BEARING:BEARING HOUSING;DPI1500;</t>
  </si>
  <si>
    <t>1212836</t>
  </si>
  <si>
    <t>170383MRM</t>
  </si>
  <si>
    <t>BEARING:BEARING HUB OUTER; NPR400; FLAT</t>
  </si>
  <si>
    <t>BEARING:BEARING HUB OUTER; NPR400; FLAT TOP TRUCK: 5200cc; ISUZU</t>
  </si>
  <si>
    <t>1216241</t>
  </si>
  <si>
    <t>140900MRM</t>
  </si>
  <si>
    <t>BEARING:BEARING KNUCKLE;</t>
  </si>
  <si>
    <t>1215351</t>
  </si>
  <si>
    <t>138213MRM</t>
  </si>
  <si>
    <t>BEARING:BEARING SHELL;DPI1500;</t>
  </si>
  <si>
    <t>1205304</t>
  </si>
  <si>
    <t>150028MRM</t>
  </si>
  <si>
    <t>BEARING:BEARING,IWAKI, MAGNETIC DRIVE PU</t>
  </si>
  <si>
    <t>BEARING:BEARING,IWAKI, MAGNETIC DRIVE PUMP</t>
  </si>
  <si>
    <t>1212835</t>
  </si>
  <si>
    <t>170382MRM</t>
  </si>
  <si>
    <t>BEARING:BEARING; HUB IN; NPR400; FLAT TO</t>
  </si>
  <si>
    <t>BEARING:BEARING; HUB IN; NPR400; FLAT TOP TRUCK:5200cc; ISUZU</t>
  </si>
  <si>
    <t>1212839</t>
  </si>
  <si>
    <t>170386MRM</t>
  </si>
  <si>
    <t>BEARING:BEARING; HUB INNER,RR AXLE; NPR4</t>
  </si>
  <si>
    <t>BEARING:BEARING; HUB INNER,RR AXLE; NPR400; FLATTOP TRUCK: 5200cc; ISUZU</t>
  </si>
  <si>
    <t>1208456</t>
  </si>
  <si>
    <t>133286MRM</t>
  </si>
  <si>
    <t>BEARING:BEARING;PRIMARY SCREEN ONLY;TWIN</t>
  </si>
  <si>
    <t>BEARING:BEARING;PRIMARY SCREEN ONLY;TWIN DECK JOEST SCREENS;</t>
  </si>
  <si>
    <t>1209146</t>
  </si>
  <si>
    <t>133667MRM</t>
  </si>
  <si>
    <t>BEARING:BEARINGS FOR DAMPER BLADES;FILTE</t>
  </si>
  <si>
    <t>BEARING:BEARINGS FOR DAMPER BLADES;FILTER 3 SCRUBBER;</t>
  </si>
  <si>
    <t>1205012</t>
  </si>
  <si>
    <t>271431MRM</t>
  </si>
  <si>
    <t>BEARING:DEEP GROOVE BALL BEARING;ANDRITZ</t>
  </si>
  <si>
    <t>BEARING:DEEP GROOVE BALL BEARING;ANDRITZ CENTRIFUGE;6220/C3;ID=100;OD=180;W=34</t>
  </si>
  <si>
    <t>1205016</t>
  </si>
  <si>
    <t>271435MRM</t>
  </si>
  <si>
    <t>BEARING:DEEP GROOVE BALL BEARING;ANDRITZ CENTRIFUGE</t>
  </si>
  <si>
    <t>1213828</t>
  </si>
  <si>
    <t>137804MRM</t>
  </si>
  <si>
    <t>BEARING:DEEP GROOVE BALL BEARING;DPI1500</t>
  </si>
  <si>
    <t>BEARING:DEEP GROOVE BALL BEARING;DPI1500;</t>
  </si>
  <si>
    <t>1213829</t>
  </si>
  <si>
    <t>137805MRM</t>
  </si>
  <si>
    <t>1215699</t>
  </si>
  <si>
    <t>1304609MRM</t>
  </si>
  <si>
    <t>BEARING:EXCITER BEARING C/W BRASS CAGE;B</t>
  </si>
  <si>
    <t>BEARING:EXCITER BEARING C/W BRASS CAGE;BL50-60-6 VMO FEEDER;</t>
  </si>
  <si>
    <t>1213765</t>
  </si>
  <si>
    <t>137732MRM</t>
  </si>
  <si>
    <t>BEARING:FLANGE BEARING;DPI1500;</t>
  </si>
  <si>
    <t>1213791</t>
  </si>
  <si>
    <t>137762MRM</t>
  </si>
  <si>
    <t>1204990</t>
  </si>
  <si>
    <t>271407MRM</t>
  </si>
  <si>
    <t>BEARING:IWAKI MDM25;MAG DIRVE PUMP</t>
  </si>
  <si>
    <t>1211330</t>
  </si>
  <si>
    <t>135990MRM</t>
  </si>
  <si>
    <t>BEARING:REAR HUB WHEEL BEARINGS</t>
  </si>
  <si>
    <t>1204993</t>
  </si>
  <si>
    <t>271410MRM</t>
  </si>
  <si>
    <t>BEARING:REAR RING: IWAKI MDM25;MAG DIRVE</t>
  </si>
  <si>
    <t>BEARING:REAR RING: IWAKI MDM25;MAG DIRVE PUMP</t>
  </si>
  <si>
    <t>1204992</t>
  </si>
  <si>
    <t>271409MRM</t>
  </si>
  <si>
    <t>BEARING:REAR THRUST;IWAKI MDM25;MAG DIRV</t>
  </si>
  <si>
    <t>BEARING:REAR THRUST;IWAKI MDM25;MAG DIRVE PUMP</t>
  </si>
  <si>
    <t>EPIROC</t>
  </si>
  <si>
    <t>GLENCORE</t>
  </si>
  <si>
    <t>ISUZU</t>
  </si>
  <si>
    <t>JCB</t>
  </si>
  <si>
    <t>KOMATSU MINING SYSTEMS INC.</t>
  </si>
  <si>
    <t>MAINTENANCE TECHNIQUE PTY LTD</t>
  </si>
  <si>
    <t>NORMET</t>
  </si>
  <si>
    <t>TECNICAS HIDRAULICAS</t>
  </si>
  <si>
    <t>TEREX</t>
  </si>
  <si>
    <t>TOYOTA</t>
  </si>
  <si>
    <t>1067007</t>
  </si>
  <si>
    <t>1350138</t>
  </si>
  <si>
    <t>AU_QM_000132273</t>
  </si>
  <si>
    <t>1350138GZPCLNT100</t>
  </si>
  <si>
    <t>CENTRE BEARING ASSEMBLY;;MAHINDRA MHAWK;</t>
  </si>
  <si>
    <t>BEARING UNIT,BALL: CENTRE BEARING ASSEMBLY;;MAHINDRA MHAWK;</t>
  </si>
  <si>
    <t>BEARING UNIT,BALL:CENTRE BEARING ASSEMBLY;;MAHINDRA MHAWK;</t>
  </si>
  <si>
    <t>1067883</t>
  </si>
  <si>
    <t>1350135</t>
  </si>
  <si>
    <t>AU_QM_000132270</t>
  </si>
  <si>
    <t>1350135GZPCLNT100</t>
  </si>
  <si>
    <t>CLUTCH SPIGOT BEARING;;MAHINDRA MHAWK;</t>
  </si>
  <si>
    <t>BEARING,BALL: CLUTCH SPIGOT BEARING;;MAHINDRA MHAWK;</t>
  </si>
  <si>
    <t>1137653</t>
  </si>
  <si>
    <t>1424755</t>
  </si>
  <si>
    <t>AU_QM_000339713</t>
  </si>
  <si>
    <t>1424755GZPCLNT100</t>
  </si>
  <si>
    <t>DURCO 10X8 OUTBOARD BEARING;</t>
  </si>
  <si>
    <t>BEARING,BALL: DURCO 10X8 OUTBOARD BEARING; DURCO MK2 GRP 3 10 X 8 /17 PUMP</t>
  </si>
  <si>
    <t>BEARING,BALL: DURCO 10X8 OUTBOARD BEARING;</t>
  </si>
  <si>
    <t>1112478</t>
  </si>
  <si>
    <t>1424757</t>
  </si>
  <si>
    <t>AU_QM_000339770</t>
  </si>
  <si>
    <t>1424757GZPCLNT100</t>
  </si>
  <si>
    <t>DURCO INBOARD BEARING</t>
  </si>
  <si>
    <t>BEARING,BALL: DURCO INBOARD BEARING ITEM 120 DURCO MK2 GRP 1;3 X 2FS /7/70 PUMP</t>
  </si>
  <si>
    <t xml:space="preserve">BEARING,BALL: DURCO INBOARD BEARING </t>
  </si>
  <si>
    <t>1112477</t>
  </si>
  <si>
    <t>1424764</t>
  </si>
  <si>
    <t>AU_QM_000339903</t>
  </si>
  <si>
    <t>1424764GZPCLNT100</t>
  </si>
  <si>
    <t>DURCO OUTBOARD BEARING</t>
  </si>
  <si>
    <t>BEARING,BALL: DURCO OUTBOARD BEARING ITEM 121 DURCO MK2 GRP 1;3 X 2FS /7/70 PUMP</t>
  </si>
  <si>
    <t>BEARING,BALL: DURCO OUTBOARD BEARING</t>
  </si>
  <si>
    <t>1068336 @@ SANDVIK MINING &amp; CONSTRUCTION</t>
  </si>
  <si>
    <t>1002458</t>
  </si>
  <si>
    <t>1593607GZPCLNT100</t>
  </si>
  <si>
    <t>BEARING,THRST;SAN,55188817</t>
  </si>
  <si>
    <t>RODAMIENTO EMPJ;SAN,55188817</t>
  </si>
  <si>
    <t>BEARING,THRUST;MNFR:SANDVIK,PTNO:55188817</t>
  </si>
  <si>
    <t>RODAMIENTO EMPUJE;MNFR:SANDVIK,PTNO:55188817</t>
  </si>
  <si>
    <t>55188817</t>
  </si>
  <si>
    <t>HITACHI</t>
  </si>
  <si>
    <t>1068227 @@ WEIR MINERALS AUSTRALIA LTD</t>
  </si>
  <si>
    <t>FAG BEARINGS</t>
  </si>
  <si>
    <t>1068418 @@ CONSOLIDATED BEARING CO (QLD)</t>
  </si>
  <si>
    <t>1079128 @@ APPLIED INDUSTRIAL TECHNOLOGIES</t>
  </si>
  <si>
    <t>1068089 @@ SANDVIK MINING &amp; CONSTRUCTION</t>
  </si>
  <si>
    <t>FLSMIDTH</t>
  </si>
  <si>
    <t>VOLVO</t>
  </si>
  <si>
    <t>1068143 @@ NORMET ASIA PACIFIC PTY LTD</t>
  </si>
  <si>
    <t>1068409 @@ APPLIED INDUSTRIAL TECHNOLOGIES</t>
  </si>
  <si>
    <t>1012712</t>
  </si>
  <si>
    <t>1616255GZPCLNT100</t>
  </si>
  <si>
    <t>3000360</t>
  </si>
  <si>
    <t>BEARING,ROLR;TORR,HM237542-902A6,SPHER</t>
  </si>
  <si>
    <t>RODAMIENTO RDLLO;TORR,HM237542-902A6</t>
  </si>
  <si>
    <t>BEARING,ROLLER;MNFR:TIMKEN BEARING,PTNO:HM237542-902A6,ADDITIONAL FEATURES EN:SPHERICAL</t>
  </si>
  <si>
    <t>RODAMIENTO RODILLO;MNFR:TIMKEN BEARING,PTNO:HM237542-902A6</t>
  </si>
  <si>
    <t>TIMKEN BEARING</t>
  </si>
  <si>
    <t>HM237542-902A6</t>
  </si>
  <si>
    <t>10070979</t>
  </si>
  <si>
    <t>BOART LONGYEAR</t>
  </si>
  <si>
    <t>METSO</t>
  </si>
  <si>
    <t>1017113</t>
  </si>
  <si>
    <t>1550</t>
  </si>
  <si>
    <t>1033246GZPCLNT100</t>
  </si>
  <si>
    <t>BEARING,ROLR;SKF,30308,ID 40 MM,OD 90 MM</t>
  </si>
  <si>
    <t>RODAMIENTO RDLLO;SKF,30308,DIA INT 40 MM</t>
  </si>
  <si>
    <t>BEARING,ROLLER;MNFR:SKF,PTNO:30308,INSIDE DIAMETER:40 MM,OUTSIDE DIAMETER:90 MM,OVERALL WIDTH:19.031 MM,BORE SHAPE:TAPERED, BEARING SERIES:30300,DYNAMIC LOAD RATING:106 KN,STATIC LOAD RATING:95 KN,SPEED RATING:6300 RPM</t>
  </si>
  <si>
    <t>RODAMIENTO RODILLO;MNFR:SKF,PTNO:30308,DIAMETRO LADO INTERIOR:40 MM,DIAMETRO EXTERIOR:90 MM,FORMA DIAMETRO:TAPADO,SERIE RODAMIENTO:30300,CARGA DINAMICA NOMINAL:106 KN,CARGA ESTATICA NOMINAL:95 KN</t>
  </si>
  <si>
    <t>30308</t>
  </si>
  <si>
    <t>1017115</t>
  </si>
  <si>
    <t>1033306GZPCLNT100</t>
  </si>
  <si>
    <t>BEARING,THRST;SKF,51108,BALL,ID 40 MM</t>
  </si>
  <si>
    <t>RODAMIENTO EMPJ;SKF,51108,BOLA,AN 13 MM</t>
  </si>
  <si>
    <t>BEARING,THRUST;MNFR:SKF,PTNO:51108,ROLLING ELEMENT:BALL,INSIDE DIAMETER:40 MM,OUTSIDE DIAMETER:60 MM,WIDTH:13 MM,CAGE MATERIAL: STEEL,ADDITIONAL FEATURES EN:ROUND BORE,25.5 KN,DYNAMIC LOAD,63 KN STATIC,LOAD,5000 RPM,REFERENCE,7000 RPM LIMITING</t>
  </si>
  <si>
    <t>RODAMIENTO EMPUJE;MNFR:SKF,PTNO:51108,ELEMENTO RODANTE:BOLA,DIAMETRO LADO INTERIOR:40 MM,DIAMETRO EXTERIOR:60 MM,ANCHO:13 MM, MATERIAL JAULA:ACERO</t>
  </si>
  <si>
    <t>51108</t>
  </si>
  <si>
    <t>MITSUBISHI</t>
  </si>
  <si>
    <t>1068660 @@ APPLIED INDUSTRIAL TECHNOLOGIES</t>
  </si>
  <si>
    <t>FLYGT</t>
  </si>
  <si>
    <t>3000029</t>
  </si>
  <si>
    <t>NISSAN</t>
  </si>
  <si>
    <t>1057243</t>
  </si>
  <si>
    <t>1542568GZPCLNT100</t>
  </si>
  <si>
    <t>BEARING,ROLR;WD SPHER</t>
  </si>
  <si>
    <t>RODAMIENTO RDLLO;</t>
  </si>
  <si>
    <t>BEARING,ROLLER;OVERALL WIDTH:SPHERICAL</t>
  </si>
  <si>
    <t>RODAMIENTO RODILLO;</t>
  </si>
  <si>
    <t>1542568</t>
  </si>
  <si>
    <t>1067619</t>
  </si>
  <si>
    <t>1354526</t>
  </si>
  <si>
    <t>AU_QM_000143638</t>
  </si>
  <si>
    <t>1354526GZPCLNT100</t>
  </si>
  <si>
    <t>BEARING;;K76 VENT FAN;</t>
  </si>
  <si>
    <t>BEARING,ROLLER,SELF-ALIGNING: BEARING;;K76 VENT FAN;</t>
  </si>
  <si>
    <t>23044CCK/W33</t>
  </si>
  <si>
    <t>23044KEMW33C3</t>
  </si>
  <si>
    <t>1069397</t>
  </si>
  <si>
    <t>1440061</t>
  </si>
  <si>
    <t>AU_QM_000983033</t>
  </si>
  <si>
    <t>1440061GZPCLNT100</t>
  </si>
  <si>
    <t>BEARING,ROLR;SPHERICAL, SELF ALIGNING, O</t>
  </si>
  <si>
    <t>BEARING,ROLLER;TYPE:SPHERICAL, SELF ALIGNING, OPEN,INSIDE DIAMETER:130 MM,OUTSIDE DIAMETER:200 MM,OVERALL WIDTH:52 MM,BORE SHAPE: TAPERED,CAGE MATERIAL:STEEL STAMPED,BEARING SERIES:LIGHT,DYNAMIC LOAD RATING:452 KN,STATIC LOAD RATING:610 KN,SPEED RATING:3600 R/MIN,ADDITIONAL FEATURES EN:115,MNFR:01)CNW,PTNO:01)23026CCK/W33</t>
  </si>
  <si>
    <t>BEARING,ROLLER,SELF-ALIGNING: 115 X 200 X 52MM;2 ROW;TAPERED BORE;</t>
  </si>
  <si>
    <t>23026CCK/W33</t>
  </si>
  <si>
    <t>1072012 @@ CNW (TOWNSVILLE) ELECT SUPPLIES</t>
  </si>
  <si>
    <t>1080244</t>
  </si>
  <si>
    <t>1597321GZPCLNT100</t>
  </si>
  <si>
    <t>BEARING,ROLR;SAN,80323409</t>
  </si>
  <si>
    <t>RODAMIENTO RDLLO;SAN,80323409</t>
  </si>
  <si>
    <t>BEARING,ROLLER;MNFR:SANDVIK,PTNO:80323409</t>
  </si>
  <si>
    <t>RODAMIENTO RODILLO;MNFR:SANDVIK,PTNO:80323409</t>
  </si>
  <si>
    <t>AF21070044</t>
  </si>
  <si>
    <t>1085579</t>
  </si>
  <si>
    <t>1581085GZPCLNT100</t>
  </si>
  <si>
    <t>BEARING,ROLR;SAN,AF21080004,SPHER</t>
  </si>
  <si>
    <t>RODAMIENTO RDLLO;SAN,AF21080004</t>
  </si>
  <si>
    <t>BEARING,ROLLER;MNFR:SANDVIK,PTNO:AF21080004,ADDITIONAL FEATURES EN:SPHERICAL</t>
  </si>
  <si>
    <t>RODAMIENTO RODILLO;MNFR:SANDVIK,PTNO:AF21080004</t>
  </si>
  <si>
    <t>AF21080004</t>
  </si>
  <si>
    <t>CASCADE</t>
  </si>
  <si>
    <t>1101744</t>
  </si>
  <si>
    <t>1428700</t>
  </si>
  <si>
    <t>AU_QM_000532010</t>
  </si>
  <si>
    <t>1428700GZPCLNT100</t>
  </si>
  <si>
    <t>BEARING,ROLR;TAPERED,ID 55 MM,OD 100 MM</t>
  </si>
  <si>
    <t>BEARING,ROLLER;TYPE:TAPERED,INSIDE DIAMETER:55 MM,OUTSIDE DIAMETER:100 MM,OVERALL WIDTH:26.7 MM,NUMBER OF ROWS:SINGLE,DYNAMIC LOAD RATING:130 KN,STATIC LOAD RATING:129 KN,SPEED RATING:6700 R/MIN,MNFR:NISSAN,PTNO:43215-47601,MNFR:01)SKF,PTNO:01)32211</t>
  </si>
  <si>
    <t>BEARING,TAPERED ROLLER: 55 X 100 X 26.75MM W;1-ROW;CYL.BORE;</t>
  </si>
  <si>
    <t>43215-47601</t>
  </si>
  <si>
    <t>32211</t>
  </si>
  <si>
    <t>1104371</t>
  </si>
  <si>
    <t>1508754GZPCLNT100</t>
  </si>
  <si>
    <t>BEARING,ROLLER;APP,B5612D</t>
  </si>
  <si>
    <t>BEARING,ROLLER;ADDITIONAL FEATURES:APP,B5612D</t>
  </si>
  <si>
    <t>B5612D</t>
  </si>
  <si>
    <t>1104503</t>
  </si>
  <si>
    <t>1496112GZPCLNT100</t>
  </si>
  <si>
    <t>BEARING,ROLLER;22207CCK/C3W33</t>
  </si>
  <si>
    <t>BEARING,ROLLER;ADDITIONAL FEATURES:22207CCK/C3W33</t>
  </si>
  <si>
    <t>1496112</t>
  </si>
  <si>
    <t>1104613</t>
  </si>
  <si>
    <t>1496107GZPCLNT100</t>
  </si>
  <si>
    <t>BEARING,ROLLER;BS2-2224-2CS5K</t>
  </si>
  <si>
    <t>BEARING,ROLLER;ADDITIONAL FEATURES:BS2-2224-2CS5K</t>
  </si>
  <si>
    <t>1496107</t>
  </si>
  <si>
    <t>1068574 @@ SWANSTON TASMANIA PTY LTD</t>
  </si>
  <si>
    <t>1105366</t>
  </si>
  <si>
    <t>1535460GZPCLNT100</t>
  </si>
  <si>
    <t>BEARING,ROLR;PR1000 DRIFTER,1058623</t>
  </si>
  <si>
    <t>BEARING,ROLR;ADDITIONAL FEATURES:PR1000 DRIFTER,1058623</t>
  </si>
  <si>
    <t>1058623</t>
  </si>
  <si>
    <t>CUMMINS</t>
  </si>
  <si>
    <t>1138016</t>
  </si>
  <si>
    <t>1466555</t>
  </si>
  <si>
    <t>AU_QM_007126099</t>
  </si>
  <si>
    <t>1466555GZPCLNT100</t>
  </si>
  <si>
    <t>CRANE 60T MAIN HOIST HOOK BEARING;</t>
  </si>
  <si>
    <t>BEARING,ROLLER,THRUST: CRANE 60T MAIN HOIST HOOK BEARING; MANGHH CONVERTER AISLE CRANE</t>
  </si>
  <si>
    <t>BEARING,ROLLER,THRUST:CRANE 60T MAIN HOIST HOOK BEARING;</t>
  </si>
  <si>
    <t>1070316 @@ TAKRAF AUSTRALIA PTY LTD</t>
  </si>
  <si>
    <t>152-6-6255</t>
  </si>
  <si>
    <t>1156054</t>
  </si>
  <si>
    <t>1441246</t>
  </si>
  <si>
    <t>AU_QM_000986576</t>
  </si>
  <si>
    <t>1441246GZPCLNT100</t>
  </si>
  <si>
    <t>BEARING,ROLR;CONICAL, TAPERED</t>
  </si>
  <si>
    <t>BEARING,ROLLER;MNFR:NORMET,PTNO:57010167,ADDITIONAL FEATURES EN:CONICAL, TERED</t>
  </si>
  <si>
    <t xml:space="preserve">BEARING,TAPERED ROLLER: NT100 AXLE WHEEL BEARING; </t>
  </si>
  <si>
    <t>57010167</t>
  </si>
  <si>
    <t>INGERSOLL RAND</t>
  </si>
  <si>
    <t>CCAM005M</t>
  </si>
  <si>
    <t>1207552</t>
  </si>
  <si>
    <t>336971MRM</t>
  </si>
  <si>
    <t>BEARING,TAPERED ROLLER:4.500" X 8.375" X</t>
  </si>
  <si>
    <t>BEARING,TAPERED ROLLER:4.500" X 8.375" X 2.625"W;WARMAN F005M/FAM005M BRG ASSY</t>
  </si>
  <si>
    <t>F009</t>
  </si>
  <si>
    <t>1209054</t>
  </si>
  <si>
    <t>761483MRM</t>
  </si>
  <si>
    <t>BEARING,ROLLER,SELF-ALIGNING:380 X 620 X</t>
  </si>
  <si>
    <t>BEARING,ROLLER,SELF-ALIGNING:380 X 620 X 194MM;2-ROW;SPHERICAL RLRS;CYLIND BORE;C/W LUBRIC GROOVE &lt;(&gt;&amp;&lt;)&gt; HOLES;</t>
  </si>
  <si>
    <t>23176CA/W33</t>
  </si>
  <si>
    <t>1209055</t>
  </si>
  <si>
    <t>761486MRM</t>
  </si>
  <si>
    <t>BEARING,ROLLER,THRUST:380 X 670 X 175MM</t>
  </si>
  <si>
    <t>BEARING,ROLLER,THRUST:380 X 670 X 175MM W;1-ROW;SPHERICAL RLRSSELF-ALIGNING;</t>
  </si>
  <si>
    <t>29476EM</t>
  </si>
  <si>
    <t>1212423</t>
  </si>
  <si>
    <t>1253749MRM</t>
  </si>
  <si>
    <t>BEARING,PLAIN,SPHERICAL:SPHERICAL ROLLER</t>
  </si>
  <si>
    <t>BEARING,PLAIN,SPHERICAL:SPHERICAL ROLLER;SELF ALIGNING;TAPERED BORE;</t>
  </si>
  <si>
    <t>22211EK</t>
  </si>
  <si>
    <t>1217574</t>
  </si>
  <si>
    <t>253195MRM</t>
  </si>
  <si>
    <t>BEARING,TAPERED ROLLER:2.75" X 5.75" X 6</t>
  </si>
  <si>
    <t>BEARING,TAPERED ROLLER:2.75" X 5.75" X 65 QV-SP MK3 PUMPCYLINDRICAL ROLLERBENCH END PLAY = 0.008"</t>
  </si>
  <si>
    <t>Q009</t>
  </si>
  <si>
    <t>EPIROC AUSTRALIA PTY LTD</t>
  </si>
  <si>
    <t>APPLIED INDUSTRIAL TECHNOLOGIES</t>
  </si>
  <si>
    <t>CONSOLIDATED BEARING CO (QLD)</t>
  </si>
  <si>
    <t>SANDVIK MINING &amp; CONSTRUCTION</t>
  </si>
  <si>
    <t>DRIVETRAIN AUSTRALIA</t>
  </si>
  <si>
    <t>DRIVELINE SERVICES AUSTRALIA PTY LT</t>
  </si>
  <si>
    <t>BOART LONGYEAR PTY LTD</t>
  </si>
  <si>
    <t>HASTINGS DEERING(AUSTRALIA) LTD</t>
  </si>
  <si>
    <t>FLSMIDTH PTY LTD</t>
  </si>
  <si>
    <t>SWANSTON TASMANIA PTY LTD</t>
  </si>
  <si>
    <t>METSO OUTOTEC AUSTRALIA LIMITED</t>
  </si>
  <si>
    <t>NORMET ASIA PACIFIC PTY LTD</t>
  </si>
  <si>
    <t>OUTOTEC PTY LTD</t>
  </si>
  <si>
    <t>FINLAY SCREENING &amp; CRUSHING</t>
  </si>
  <si>
    <t>WEIR MINERALS AUSTRALIA LTD</t>
  </si>
  <si>
    <t>BRADKEN RESOURCES PTY LIMITED</t>
  </si>
  <si>
    <t>S &amp; K PYE PTY LTD T/AS SUPERIOR</t>
  </si>
  <si>
    <t>CONSOLIDATED PLASTICS &amp; EPOXY QLD P</t>
  </si>
  <si>
    <t>METAL MANUFACTURES PTY LTD</t>
  </si>
  <si>
    <t>CARGOTEC AUST (FORMALLY HIAB)</t>
  </si>
  <si>
    <t>RE-PUMPS AUSTRALIA</t>
  </si>
  <si>
    <t>FLEXILIFT AUSTRALIA PTY LTD</t>
  </si>
  <si>
    <t>PRYTEC SOLUTIONS PTY LTD</t>
  </si>
  <si>
    <t>STEINERT AUSTRALIA PTY LTD</t>
  </si>
  <si>
    <t>STATEWIDE BEARINGS</t>
  </si>
  <si>
    <t>HOWDEN AUSTRALIA PTY LTD</t>
  </si>
  <si>
    <t>OTIS ELEVATOR CO. PTY LTD</t>
  </si>
  <si>
    <t>KSB AUSTRALIA PTY LTD</t>
  </si>
  <si>
    <t>ROCKWELL TECHNOLOGY</t>
  </si>
  <si>
    <t>NTH QLD PUMP &amp; SEALING SOLUTIONS</t>
  </si>
  <si>
    <t>CESCO AUSTRALIA LIMITED</t>
  </si>
  <si>
    <t>CAVA HYDRAULICS &amp; ENGINEERING PTY L</t>
  </si>
  <si>
    <t>RUSSELL MINERAL EQUIPMENT P/L</t>
  </si>
  <si>
    <t>SEW EURODRIVE PTY LTD</t>
  </si>
  <si>
    <t>GEOGRAPHE ENTERPRISES PTY LTD</t>
  </si>
  <si>
    <t>QUINTA RADDISON LTD</t>
  </si>
  <si>
    <t>CNW (MOUNT ISA) ELECT WHOLESALER</t>
  </si>
  <si>
    <t>TAKRAF AUSTRALIA PTY LTD</t>
  </si>
  <si>
    <t>ISADRAULICS</t>
  </si>
  <si>
    <t>TRUFLO PUMPING SYSTEMS</t>
  </si>
  <si>
    <t>TOOL 'N' TACKLE</t>
  </si>
  <si>
    <t>AWD EQUIPMENT SALES PTY LTD</t>
  </si>
  <si>
    <t>FORCORP PTY LTD</t>
  </si>
  <si>
    <t>COOPER FLUID SYSTEMS</t>
  </si>
  <si>
    <t>MILES STREET POOL SUPPLIES</t>
  </si>
  <si>
    <t>RS COMPONENTS PTY LTD</t>
  </si>
  <si>
    <t>ANTEC ENGINEERING PTY LIMITED</t>
  </si>
  <si>
    <t>NEDERMAN MIKROPUL PTY LTD</t>
  </si>
  <si>
    <t>JACMOR ENGINEERING</t>
  </si>
  <si>
    <t>CONTROL SYSTEMS TECHNOLOGY PTY</t>
  </si>
  <si>
    <t>C</t>
  </si>
  <si>
    <t>BLACKWOOD</t>
  </si>
  <si>
    <t>HILUX</t>
  </si>
  <si>
    <t>LAROX</t>
  </si>
  <si>
    <t>HZJ75</t>
  </si>
  <si>
    <t>NSK</t>
  </si>
  <si>
    <t>FAG</t>
  </si>
  <si>
    <t>BEARING</t>
  </si>
  <si>
    <t>ASSEMBLY</t>
  </si>
  <si>
    <t>BALL</t>
  </si>
  <si>
    <t>BEARING SET</t>
  </si>
  <si>
    <t>NO MODIFIER</t>
  </si>
  <si>
    <t>SLEEVE</t>
  </si>
  <si>
    <t>BEARING UNIT</t>
  </si>
  <si>
    <t>FLANGE BLOCK</t>
  </si>
  <si>
    <t>THRUST</t>
  </si>
  <si>
    <t>ROLLER</t>
  </si>
  <si>
    <t>PLAIN</t>
  </si>
  <si>
    <t>CYLINDER</t>
  </si>
  <si>
    <t>DRIVE</t>
  </si>
  <si>
    <t>BUSH</t>
  </si>
  <si>
    <t>NM</t>
  </si>
  <si>
    <t>BEARINGASSEMBLY</t>
  </si>
  <si>
    <t>BEARINGBALL</t>
  </si>
  <si>
    <t>BEARING SETNO MODIFIER</t>
  </si>
  <si>
    <t>BEARINGSLEEVE</t>
  </si>
  <si>
    <t>BEARINGNO MODIFIER</t>
  </si>
  <si>
    <t>BEARING UNITFLANGE BLOCK</t>
  </si>
  <si>
    <t>BEARINGPLUMMER BLOCK</t>
  </si>
  <si>
    <t>BEARING UNITNO MODIFIER</t>
  </si>
  <si>
    <t>BUSHINGNO MODIFIER</t>
  </si>
  <si>
    <t>BEARINGTAKE UP</t>
  </si>
  <si>
    <t>BEARINGTHRUST</t>
  </si>
  <si>
    <t>SAMPLERNO MODIFIER</t>
  </si>
  <si>
    <t>CONVEYORNO MODIFIER</t>
  </si>
  <si>
    <t>BEARINGFLANGE BLOCK</t>
  </si>
  <si>
    <t>BEARINGINSERT</t>
  </si>
  <si>
    <t>BEARINGLINEAR</t>
  </si>
  <si>
    <t>BEARINGROLLER</t>
  </si>
  <si>
    <t>BEARINGPILLOW BLOCK</t>
  </si>
  <si>
    <t>BEARINGROD END</t>
  </si>
  <si>
    <t>BEARINGPLAIN</t>
  </si>
  <si>
    <t>SPACERBEARING</t>
  </si>
  <si>
    <t>CYLINDERNO MODIFIER</t>
  </si>
  <si>
    <t>PISTONNO MODIFIER</t>
  </si>
  <si>
    <t>BLOCKCYLINDER</t>
  </si>
  <si>
    <t>CRANKSHAFTNO MODIFIER</t>
  </si>
  <si>
    <t>BUSHINGDRIVE</t>
  </si>
  <si>
    <t>BUSHNO MODIFIER</t>
  </si>
  <si>
    <t>BEARINGSLEWING</t>
  </si>
  <si>
    <t>BEARING UNITTAKE-UP</t>
  </si>
  <si>
    <t>RINGRETAINING</t>
  </si>
  <si>
    <t>CARTRIDGEBEARING</t>
  </si>
  <si>
    <t>TYPE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</si>
  <si>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</si>
  <si>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</si>
  <si>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</si>
  <si>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</si>
  <si>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</si>
  <si>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</si>
  <si>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</si>
  <si>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</si>
  <si>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</si>
  <si>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OVERALL WIDTH</t>
  </si>
  <si>
    <t>BORE SHAPE</t>
  </si>
  <si>
    <t>NUMBER OF ROWS</t>
  </si>
  <si>
    <t>CAGE MATERIAL</t>
  </si>
  <si>
    <t>BEARING SERIES</t>
  </si>
  <si>
    <t>SPEED RATING</t>
  </si>
  <si>
    <t>SIZE</t>
  </si>
  <si>
    <t>NUMBER OF COMPONENTS</t>
  </si>
  <si>
    <t>MATERIAL</t>
  </si>
  <si>
    <t>LENGTH</t>
  </si>
  <si>
    <t>NUMBER OF BOLTS</t>
  </si>
  <si>
    <t>MOUNTING HOLE/SLOT SIZE</t>
  </si>
  <si>
    <t>BLOCK SIZE</t>
  </si>
  <si>
    <t>BEARING TYPE</t>
  </si>
  <si>
    <t>SHAFT ATTACHMENT</t>
  </si>
  <si>
    <t>CENTER HEIGHT</t>
  </si>
  <si>
    <t>LOAD RATING</t>
  </si>
  <si>
    <t>ROLLING ELEMENT</t>
  </si>
  <si>
    <t>MATERIAL SPECIFICATION</t>
  </si>
  <si>
    <t>CONFIGURATION</t>
  </si>
  <si>
    <t>IBI</t>
  </si>
  <si>
    <t>COUNT</t>
  </si>
  <si>
    <t>Grand Total</t>
  </si>
  <si>
    <t>mfr</t>
  </si>
  <si>
    <t>count</t>
  </si>
  <si>
    <t>https://hyster.store/product/2083335/</t>
  </si>
  <si>
    <t>hyster</t>
  </si>
  <si>
    <t>Cleansed</t>
  </si>
  <si>
    <t>31171504 Ball bearings</t>
  </si>
  <si>
    <t>https://kntu.ac.ir/DorsaPax/userfiles/file/Mechanical/OstadFile/dr_asgari/skf/3-GeneralCatalogue.pdf</t>
  </si>
  <si>
    <t>Enriched</t>
  </si>
  <si>
    <t>DEEP GROOVE</t>
  </si>
  <si>
    <t>Series Match</t>
  </si>
  <si>
    <t>25 MM</t>
  </si>
  <si>
    <t>RUBBER DOUBLE SEAL</t>
  </si>
  <si>
    <t>CYLINDRICAL</t>
  </si>
  <si>
    <t>SHEET METAL</t>
  </si>
  <si>
    <t>Delivery Remarks</t>
  </si>
  <si>
    <t>Partially Match</t>
  </si>
  <si>
    <t>Manufacturer Details (MFR &amp; MPN) not available</t>
  </si>
  <si>
    <t>Manufacturer Details (MPN) not available</t>
  </si>
  <si>
    <t>Processed based on Websource, Conflict w.r.t Input</t>
  </si>
  <si>
    <t>Manufacturer Details (MFR) not available</t>
  </si>
  <si>
    <t>Based on Material ID:1251232 NM Consider has CABLE,PUSH PULL</t>
  </si>
  <si>
    <t>Part Number Updated as per Websource</t>
  </si>
  <si>
    <t>Manufacturer Details (MFR &amp; MPN) not available,Based on Material ID:1286658 &amp; 1294799 NM Consider has WRENCH,IMPACT</t>
  </si>
  <si>
    <t>URL for Reference only</t>
  </si>
  <si>
    <t>URL Not Found</t>
  </si>
  <si>
    <t>Conflict in Product between Original Description &amp; Original Long Description - Record Not Processed</t>
  </si>
  <si>
    <t>Conflict in input DYNAMIC LOAD RATING,STATIC LOAD RATING,SPEED RATING,Processed based on Websource</t>
  </si>
  <si>
    <t>Conflict in input OVERALL WIDTH.Processed based on Websource</t>
  </si>
  <si>
    <t>Conflict in input OVERALL WIDTH,DYNAMIC LOAD RATING,STATIC LOAD RATING,SPEED RATING,Processed based on Websource</t>
  </si>
  <si>
    <t>Conflict in input SPEED RATING,Processed based on Websource</t>
  </si>
  <si>
    <t>Conflict in input CAGE MATERIAL,Processed based on Websource</t>
  </si>
  <si>
    <t>Conflict in input STATIC LOAD RATING,SPEED RATING,Processed based on Websource</t>
  </si>
  <si>
    <t>Conflict in input STYLE,Processed based on Websource</t>
  </si>
  <si>
    <t>Conflict in input BORE SHAPE,CAGE MATERIAL,Processed based on Websource</t>
  </si>
  <si>
    <t>Conflict in input CAGE MATERIAL,SPEED RATING,Processed based on Websource</t>
  </si>
  <si>
    <t>Conflict in input DYNAMIC LOAD RATING,Processed based on Websource</t>
  </si>
  <si>
    <t>Conflict in input DYNAMIC LOAD RATING,SPEED RATING,Processed based on Websource</t>
  </si>
  <si>
    <t>Conflict in input DYNAMIC LOAD RATING,STATIC LOAD RATING,Processed based on Websource</t>
  </si>
  <si>
    <t>Conflict in input STYLE,SPEED RATING,Processed based on Websource</t>
  </si>
  <si>
    <t>REVIEW NM</t>
  </si>
  <si>
    <t>Series Match,Manufacturer Details (MFR) not available</t>
  </si>
  <si>
    <t>Conflict in input OVERALL WIDTH,Processed based on Websource</t>
  </si>
  <si>
    <t>Conflict in input CAGE MATERIAL,DYNAMIC LOAD RATING,STATIC LOAD RATING,SPEED RATING,Processed based on Websource</t>
  </si>
  <si>
    <t>Conflict in input NUMBER OF ROWS,Processed based on Websource</t>
  </si>
  <si>
    <t>Conflict in input BORE SHAPE,Processed based on Websource</t>
  </si>
  <si>
    <t>OK</t>
  </si>
  <si>
    <t>80 MM</t>
  </si>
  <si>
    <t>https://www.nsk.com/common/data/ctrgPdf/bearings/split/e1103/e1103b_c004-c045.pdf</t>
  </si>
  <si>
    <t>20 MM</t>
  </si>
  <si>
    <t>OPEN</t>
  </si>
  <si>
    <t>200 MM</t>
  </si>
  <si>
    <t>LIGHT</t>
  </si>
  <si>
    <t>90 MM</t>
  </si>
  <si>
    <t>17 MM</t>
  </si>
  <si>
    <t>40 MM</t>
  </si>
  <si>
    <t>DOUBLE SHIELD</t>
  </si>
  <si>
    <t>100 MM</t>
  </si>
  <si>
    <t>70 MM</t>
  </si>
  <si>
    <t>35 MM</t>
  </si>
  <si>
    <t>52 MM</t>
  </si>
  <si>
    <t>SELF-ALIGNING</t>
  </si>
  <si>
    <t>TAPERED</t>
  </si>
  <si>
    <t>31171505 Roller bearings</t>
  </si>
  <si>
    <t>31171509 Sleeve bearings</t>
  </si>
  <si>
    <t>13 MM</t>
  </si>
  <si>
    <t>105 MM</t>
  </si>
  <si>
    <t>3 MM</t>
  </si>
  <si>
    <t>31171500 Bearings</t>
  </si>
  <si>
    <t>31171507 Thrust bearings</t>
  </si>
  <si>
    <t>DRIVE END</t>
  </si>
  <si>
    <t>31171515 Plain bearings</t>
  </si>
  <si>
    <t>Total</t>
  </si>
  <si>
    <t>Completed</t>
  </si>
  <si>
    <t>Balance</t>
  </si>
  <si>
    <t>32.5 KN</t>
  </si>
  <si>
    <t>19 KN</t>
  </si>
  <si>
    <t>23 MM</t>
  </si>
  <si>
    <t>55 MM</t>
  </si>
  <si>
    <t>60 MM</t>
  </si>
  <si>
    <t>72 MM</t>
  </si>
  <si>
    <t>35.1 KN</t>
  </si>
  <si>
    <t>120 MM</t>
  </si>
  <si>
    <t>NSK.pdf</t>
  </si>
  <si>
    <t>SKF.pdf</t>
  </si>
  <si>
    <t>21 MM</t>
  </si>
  <si>
    <t>19000 RPM REFERENCE,9500 RPM LIMITING</t>
  </si>
  <si>
    <t>130 MM</t>
  </si>
  <si>
    <t>32 MM</t>
  </si>
  <si>
    <t>220 MM</t>
  </si>
  <si>
    <t>340 MM</t>
  </si>
  <si>
    <t>CLEARANCE:C3</t>
  </si>
  <si>
    <t>PUMP</t>
  </si>
  <si>
    <t>INBOARD</t>
  </si>
  <si>
    <t>OUTBOARD</t>
  </si>
  <si>
    <t>LOADER</t>
  </si>
  <si>
    <t>ELPHINSTONE</t>
  </si>
  <si>
    <t>TAPERED ROLLER</t>
  </si>
  <si>
    <t>SPHERICAL ROLLER</t>
  </si>
  <si>
    <t>69 MM</t>
  </si>
  <si>
    <t>SPHERICAL</t>
  </si>
  <si>
    <t>31171512 Needle bearings</t>
  </si>
  <si>
    <t>CRADLE</t>
  </si>
  <si>
    <t>DRAWN CUP NEEDLE</t>
  </si>
  <si>
    <t>34 MM</t>
  </si>
  <si>
    <t>58 MM</t>
  </si>
  <si>
    <t>49 MM</t>
  </si>
  <si>
    <t>79(HOLD)</t>
  </si>
  <si>
    <t>1076(FINAL)</t>
  </si>
  <si>
    <t>Production Completed</t>
  </si>
  <si>
    <t>16th Oct</t>
  </si>
  <si>
    <t>17th Oct</t>
  </si>
  <si>
    <t>https://www.nsk.com/common/data/ctrgPdf/bearings/split/e1103/e1103b_c180-c209.pdf</t>
  </si>
  <si>
    <t>31171553 Thrust roller bearing</t>
  </si>
  <si>
    <t>NEEDLE ROLLER</t>
  </si>
  <si>
    <t>6300 RPM REFERENCE,8000 RPM LIMITING</t>
  </si>
  <si>
    <t>4 IN</t>
  </si>
  <si>
    <t>SPHERICAL,SELF-ALIGNING</t>
  </si>
  <si>
    <t>ENGINE</t>
  </si>
  <si>
    <t>DETROIT</t>
  </si>
  <si>
    <t>SERIES 60 DDEC 3</t>
  </si>
  <si>
    <t>DPI1500</t>
  </si>
  <si>
    <t>TAMROCK</t>
  </si>
  <si>
    <t>TORO 50D</t>
  </si>
  <si>
    <t>TRUCK</t>
  </si>
  <si>
    <t>TORO T450D</t>
  </si>
  <si>
    <t>MINIMATIC H205D</t>
  </si>
  <si>
    <t>180 MM</t>
  </si>
  <si>
    <t>CLEARANCE:C4</t>
  </si>
  <si>
    <t>25.25 MM</t>
  </si>
  <si>
    <t>https://www.skf.com/my/products/rolling-bearings/roller-bearings/tapered-roller-bearings/single-row-tapered-roller-bearings/productid-32211</t>
  </si>
  <si>
    <t>26.75 MM</t>
  </si>
  <si>
    <t>130 KN</t>
  </si>
  <si>
    <t>129 KN</t>
  </si>
  <si>
    <t>5300 RPM REFERENCE,6700 RPM LIMITING</t>
  </si>
  <si>
    <t>https://supply.parts/request/view?id=551509</t>
  </si>
  <si>
    <t>TAPERED,CONICAL</t>
  </si>
  <si>
    <t>NT100 AXLE WHEEL</t>
  </si>
  <si>
    <t>G434069</t>
  </si>
  <si>
    <t>78 MM</t>
  </si>
  <si>
    <t>RO</t>
  </si>
  <si>
    <t>https://www.aga-parts.com/sandvik/part/55188817_thrust/</t>
  </si>
  <si>
    <t>https://www.aga-parts.com/sandvik/part/80323409_taper-roller-bearing/</t>
  </si>
  <si>
    <t>https://www.aga-parts.com/sandvik/part/af21080004_bearing-spheri/</t>
  </si>
  <si>
    <t>https://www.skf.com/my/products/rolling-bearings/roller-bearings/tapered-roller-bearings/single-row-tapered-roller-bearings/productid-30308</t>
  </si>
  <si>
    <t>106 KN</t>
  </si>
  <si>
    <t>95 KN</t>
  </si>
  <si>
    <t>https://www.skf.com/my/products/rolling-bearings/ball-bearings/thrust-ball-bearings/productid-51108</t>
  </si>
  <si>
    <t>31171552 Thrust ball bearing</t>
  </si>
  <si>
    <t>BEARING STEEL</t>
  </si>
  <si>
    <t>BORE SHAPE:ROUND,DIRECTION:SINGLE,DYNAMIC LOAD RATING:25.5 KN,STATIC LOAD RATING:63 KN,SPEED RATING:5000 RPM REFERENCE,7000 RPM LIMITING</t>
  </si>
  <si>
    <t>NU 2224 ECML</t>
  </si>
  <si>
    <t>https://www.skf.com/my/products/rolling-bearings/roller-bearings/cylindrical-roller-bearings/single-row-cylindrical-roller-bearings/productid-NU%202224%20ECML</t>
  </si>
  <si>
    <t>215 MM</t>
  </si>
  <si>
    <t>MACHINED METAL</t>
  </si>
  <si>
    <t>520 KN</t>
  </si>
  <si>
    <t>630 KN</t>
  </si>
  <si>
    <t>3400 RPM REFERENCE,5600 RPM LIMITING</t>
  </si>
  <si>
    <t>NU22,LIGHT DUTY</t>
  </si>
  <si>
    <t>DRIFTER</t>
  </si>
  <si>
    <t>PR1000</t>
  </si>
  <si>
    <t>CRANE</t>
  </si>
  <si>
    <t>60T</t>
  </si>
  <si>
    <t>MAN GHH</t>
  </si>
  <si>
    <t>CONVERTER AISLE CRANE</t>
  </si>
  <si>
    <t>MAIN HOIST HOOK</t>
  </si>
  <si>
    <t>https://www.motion.com/products/sku/02082035</t>
  </si>
  <si>
    <t>https://cad.timken.com/item/tapered-roller-bearings---single-cones/tapered-roller-bearings-single-cones-imperial/hm237542</t>
  </si>
  <si>
    <t>6-7/8 IN</t>
  </si>
  <si>
    <t>11-3/8 IN</t>
  </si>
  <si>
    <t>382000 LBF</t>
  </si>
  <si>
    <t>278000 LBF</t>
  </si>
  <si>
    <t>HM237500</t>
  </si>
  <si>
    <t>CONE WIDTH:2-1/2 IN,CUP WIDTH:4-3/8 IN</t>
  </si>
  <si>
    <t>https://cad.timken.com/item/tapered-roller-bearings-ts-tapered-single-/tapered-roller-bearings-ts-tapered-single-imperi-2/hh234048-hh234010</t>
  </si>
  <si>
    <t>SPHERICAL,TAPERED</t>
  </si>
  <si>
    <t>https://simplybearings.co.uk/shop/p20177615/Timken-HH234048/HH234010-TS-Single-Row-Taper-Roller-Bearing-6x12.125x3.5-inch/product_info.html</t>
  </si>
  <si>
    <t>HH234048+HH234010</t>
  </si>
  <si>
    <t>6 IN</t>
  </si>
  <si>
    <t>12-1/8 IN</t>
  </si>
  <si>
    <t>3-1/2 IN</t>
  </si>
  <si>
    <t>STAMPED STEEL</t>
  </si>
  <si>
    <t>1580 KN</t>
  </si>
  <si>
    <t>167000 N</t>
  </si>
  <si>
    <t>https://www.pumps.parts/warman-pump-bearing</t>
  </si>
  <si>
    <t>4-1/2 IN</t>
  </si>
  <si>
    <t>8-3/8 IN</t>
  </si>
  <si>
    <t>2-5/8 IN</t>
  </si>
  <si>
    <t>F005M/FAM005M BEARING ASSEMBLY</t>
  </si>
  <si>
    <t>65 QV-SP MK3</t>
  </si>
  <si>
    <t>2-3/4 IN</t>
  </si>
  <si>
    <t>5-3/4 IN</t>
  </si>
  <si>
    <t>BENCH END PLAY SIZE:0.008 IN</t>
  </si>
  <si>
    <t>DR460</t>
  </si>
  <si>
    <t>https://www.tobee.store/products/8x6e-ah-slurry-pump-bearing-assembly-e005m.html</t>
  </si>
  <si>
    <t>https://www.pumps.parts/warman-pump-bearing-assembly</t>
  </si>
  <si>
    <t>TAPERED ROLLER,TANDEM</t>
  </si>
  <si>
    <t>C/W DUO CONE SET,SPACER</t>
  </si>
  <si>
    <t>OUTPUT SHAFT,REAR</t>
  </si>
  <si>
    <t>TRANSFER IDLER GEAR</t>
  </si>
  <si>
    <t>REGRIND PRODUCT CONDITIONER TANK AGITATOR</t>
  </si>
  <si>
    <t>RETARDER ASSEMBLY</t>
  </si>
  <si>
    <t>1.5GD102-AF800</t>
  </si>
  <si>
    <t>AGITATOR</t>
  </si>
  <si>
    <t>http://www.brammer.nl/Downloads/SKF-TI-0907-Product-Tables-SSRB.pdf</t>
  </si>
  <si>
    <t>https://www.skf.com/my/products/rolling-bearings/roller-bearings/spherical-roller-bearings/productid-BS2-2224-2RS5K%2FVT143</t>
  </si>
  <si>
    <t>BS2-2224-2CS5K</t>
  </si>
  <si>
    <t>765 KN</t>
  </si>
  <si>
    <t>750 RPM LIMITING</t>
  </si>
  <si>
    <t>22207 CCK/C3W33</t>
  </si>
  <si>
    <t>https://www.rulmentisuedia.ro/admin/media/file/cataloage/Rulmenti/SKF%20SRB.pdf</t>
  </si>
  <si>
    <t>https://www.skf.com/my/products/rolling-bearings/roller-bearings/spherical-roller-bearings/productid-22207%20E</t>
  </si>
  <si>
    <t>76.5 KN</t>
  </si>
  <si>
    <t>73.5 KN</t>
  </si>
  <si>
    <t>6300 RPM GREASE,8000 RPM OIL</t>
  </si>
  <si>
    <t>https://www.skf.com/my/products/rolling-bearings/roller-bearings/spherical-roller-bearings/productid-22211%20EK</t>
  </si>
  <si>
    <t>22211 EK</t>
  </si>
  <si>
    <t>https://www.applied.com/c-brands/c-skf-corp/c-skf/22211-ek/Steel-Tapered-Bore-Spherical-Roller-Bearing/p/100762508</t>
  </si>
  <si>
    <t>127 KN</t>
  </si>
  <si>
    <t>6300 RPM REFERENCE,8500 RPM LIMITING</t>
  </si>
  <si>
    <t>https://www.skf.com/my/products/rolling-bearings/roller-bearings/spherical-roller-bearings/productid-23026%20CCK%2FW33</t>
  </si>
  <si>
    <t>23026 CCK/W33</t>
  </si>
  <si>
    <t>https://www.applied.com/c-brands/c-skf-corp/c-skf/23026-cck-w33/Steel-Tapered-Bore-Spherical-Roller-Bearing/p/100762734</t>
  </si>
  <si>
    <t>452 KN</t>
  </si>
  <si>
    <t>610 KN</t>
  </si>
  <si>
    <t>2800 RPM REFERENCE,3600 RPM LIMITING</t>
  </si>
  <si>
    <t>STYLE:OPEN</t>
  </si>
  <si>
    <t>CNW</t>
  </si>
  <si>
    <t>VENT FAN</t>
  </si>
  <si>
    <t>K76</t>
  </si>
  <si>
    <t>380 MM</t>
  </si>
  <si>
    <t>620 MM</t>
  </si>
  <si>
    <t>194 MM</t>
  </si>
  <si>
    <t>C/W LUBRICATION GROOVES &amp; HOLES</t>
  </si>
  <si>
    <t>670 MM</t>
  </si>
  <si>
    <t>175 MM</t>
  </si>
  <si>
    <t>1 ROW</t>
  </si>
  <si>
    <t>TYPE:SELF-ALIGNING</t>
  </si>
  <si>
    <t>https://www.applied.com/c-brands/c-koyo-corp-/b-5612-d/Single-Row-Steel-Bearing-Cup/p/101741760</t>
  </si>
  <si>
    <t>23044 CCK/W33</t>
  </si>
  <si>
    <t>https://www.skf.com/my/products/rolling-bearings/roller-bearings/spherical-roller-bearings/productid-23044%20CCK%2FW33</t>
  </si>
  <si>
    <t>https://www.applied.com/c-brands/c-skf-corp/c-skf/23044cck-w33/Radial-Spherical-Roller-Bearing/p/100762764</t>
  </si>
  <si>
    <t>1261 KN</t>
  </si>
  <si>
    <t>1860 KN</t>
  </si>
  <si>
    <t>1600 RPM REFERENCE,2000 RPM LIMITING</t>
  </si>
  <si>
    <t>23176 CA/W33</t>
  </si>
  <si>
    <t>https://www.skf.com/my/products/rolling-bearings/roller-bearings/spherical-roller-bearings/productid-23176%20CA%2FW33</t>
  </si>
  <si>
    <t>https://www.applied.com/c-brands/c-skf-corp/c-skf/23176-ca-w33/Steel-Cylindrical-Bore-Spherical-Roller-Bearing/p/100762893</t>
  </si>
  <si>
    <t>4561 KN</t>
  </si>
  <si>
    <t>7100 KN</t>
  </si>
  <si>
    <t>560 RPM REFERENCE,1000 RPM LIMITING</t>
  </si>
  <si>
    <t>29476 EM</t>
  </si>
  <si>
    <t>https://www.skf.com/my/products/rolling-bearings/roller-bearings/spherical-roller-thrust-bearings/productid-29476%20EM</t>
  </si>
  <si>
    <t>https://www.applied.com/c-brands/c-skf-corp/c-skf/29476-em/Steel-Cylindrical-Bore-Spherical-Roller-Bearing/p/102211266</t>
  </si>
  <si>
    <t>KOYO</t>
  </si>
  <si>
    <t>B-5612-D</t>
  </si>
  <si>
    <t>https://koyo.jtekt.co.jp/en/support/catalog-download/uploads/catbs007en.pdf</t>
  </si>
  <si>
    <t>3/4 IN</t>
  </si>
  <si>
    <t>BK 2520</t>
  </si>
  <si>
    <t>https://www.skf.com/my/products/rolling-bearings/roller-bearings/needle-roller-bearings/drawn-cup-needle-roller-bearings/productid-BK%202520</t>
  </si>
  <si>
    <t>B</t>
  </si>
  <si>
    <t>65.1 KN</t>
  </si>
  <si>
    <t>150 KN</t>
  </si>
  <si>
    <t>1800 RPM GREASE,2700 RPM OIL</t>
  </si>
  <si>
    <t>SHEET STEEL</t>
  </si>
  <si>
    <t>9500 RPM REFERENCE,11000 RPM LIMITING</t>
  </si>
  <si>
    <t>COMPRESSOR</t>
  </si>
  <si>
    <t>SIRIUS 10/250</t>
  </si>
  <si>
    <t>COMPAIR</t>
  </si>
  <si>
    <t>CLUTCH SPIGOT</t>
  </si>
  <si>
    <t>MAHINDRA</t>
  </si>
  <si>
    <t>MHAWK</t>
  </si>
  <si>
    <t>DURCO</t>
  </si>
  <si>
    <t>MK2 GRP 3 10 X 8 /17</t>
  </si>
  <si>
    <t>ITEM 120</t>
  </si>
  <si>
    <t>MK2 GRP 1 3 X 2FS/7/70</t>
  </si>
  <si>
    <t>ITEM 121</t>
  </si>
  <si>
    <t>WATER PUMP CATERPILLAR P/N 4N-7657</t>
  </si>
  <si>
    <t>SPINDLE</t>
  </si>
  <si>
    <t>CLUTCH,THROWOUT,RELEASE</t>
  </si>
  <si>
    <t>AIR CYLINDER</t>
  </si>
  <si>
    <t>BALDWIN</t>
  </si>
  <si>
    <t>10 IN NB C52</t>
  </si>
  <si>
    <t>ICL COOLING BANK,REF:EX DW 09775</t>
  </si>
  <si>
    <t>ENGINE,TRUCK</t>
  </si>
  <si>
    <t>DETROIT,TAMROCK</t>
  </si>
  <si>
    <t>60,TORO 50D</t>
  </si>
  <si>
    <t>ENGINE GROUP</t>
  </si>
  <si>
    <t>SPIGOT</t>
  </si>
  <si>
    <t>POWER CLASS JUMBO</t>
  </si>
  <si>
    <t>DRILL BOOM CRADLE ASSEMBLY</t>
  </si>
  <si>
    <t>ITEM 18</t>
  </si>
  <si>
    <t>HYDRAULIC CYLINDER</t>
  </si>
  <si>
    <t>MINIMATIC H205-40</t>
  </si>
  <si>
    <t>JUMBO</t>
  </si>
  <si>
    <t>MODULE REF:32579705AB,CABLE BOLTER CABOLT REF:H520</t>
  </si>
  <si>
    <t>ITEM 22</t>
  </si>
  <si>
    <t>CYLINDER REF:32579706,CABLE BOLTER CABOLT REF:H520</t>
  </si>
  <si>
    <t>HYDRAULIC CYLINDER EYE BUSH</t>
  </si>
  <si>
    <t>ROCK BOLTER</t>
  </si>
  <si>
    <t>SECOMA</t>
  </si>
  <si>
    <t>PLUTON 30</t>
  </si>
  <si>
    <t>CYLINDER ASSEMBLY</t>
  </si>
  <si>
    <t>DRILL BOOM</t>
  </si>
  <si>
    <t>OSC AXLE</t>
  </si>
  <si>
    <t>LOAD HAUL DUMP</t>
  </si>
  <si>
    <t>R1700 II</t>
  </si>
  <si>
    <t>PINS &amp; BUSHINGS ASSEMBLY</t>
  </si>
  <si>
    <t>STEERING CYLINDER ASSEMBLY</t>
  </si>
  <si>
    <t>SIZE:4 IN</t>
  </si>
  <si>
    <t>BALL SCREW DRIVE END</t>
  </si>
  <si>
    <t>6307-2Z/C3</t>
  </si>
  <si>
    <t>https://www.skf.com/my/productinfo/productid-6307-2Z%2FC3</t>
  </si>
  <si>
    <t>https://www.applied.com/c-brands/c-skf-corp/c-skf/6307-2z-c3/Single-Row-Cylindrical-Bore-Deep-Groove-Ball-Bearing/p/100756276</t>
  </si>
  <si>
    <t>31171519 Bearing blocks or housings</t>
  </si>
  <si>
    <t>HOUSING</t>
  </si>
  <si>
    <t>SHAFT DIAMETER</t>
  </si>
  <si>
    <t>MOUNTING HOLE SIZE</t>
  </si>
  <si>
    <t>CENTER SPACING</t>
  </si>
  <si>
    <t>HUB OUTER</t>
  </si>
  <si>
    <t>FLAT TOP TRUCK</t>
  </si>
  <si>
    <t>NPR400,5200CC</t>
  </si>
  <si>
    <t>KNUCKLE</t>
  </si>
  <si>
    <t>SHELL</t>
  </si>
  <si>
    <t>HOUSING SIZE</t>
  </si>
  <si>
    <t>SHAFT SIZE</t>
  </si>
  <si>
    <t>MAGNETIC DRIVE PUMP</t>
  </si>
  <si>
    <t>IWAKI</t>
  </si>
  <si>
    <t>HUB INNER</t>
  </si>
  <si>
    <t>HUB INNER,REAR AXLE</t>
  </si>
  <si>
    <t>JOEST</t>
  </si>
  <si>
    <t>TWIN DECK SCREEN</t>
  </si>
  <si>
    <t>PRIMARY SCREEN ONLY</t>
  </si>
  <si>
    <t>FOR DAMPER BLADES,FILTER 3 SCRUBBER</t>
  </si>
  <si>
    <t>CENTRIFUGE</t>
  </si>
  <si>
    <t>ANDRITZ</t>
  </si>
  <si>
    <t>6220/C3</t>
  </si>
  <si>
    <t>https://www.skf.com/my/productinfo/productid-6220%2FC3</t>
  </si>
  <si>
    <t>93 KN</t>
  </si>
  <si>
    <t>7500 RPM REFERENCE,4800 RPM LIMITING</t>
  </si>
  <si>
    <t>BL50-60-6</t>
  </si>
  <si>
    <t>VMO FEEDER</t>
  </si>
  <si>
    <t>EXCITER</t>
  </si>
  <si>
    <t>BRASS CAGE</t>
  </si>
  <si>
    <t>31171501 Flanged bearings</t>
  </si>
  <si>
    <t>MDM25</t>
  </si>
  <si>
    <t>COMPLETE</t>
  </si>
  <si>
    <t>REAR HUB WHEEL</t>
  </si>
  <si>
    <t>REAR RING</t>
  </si>
  <si>
    <t>REAR</t>
  </si>
  <si>
    <t>18th Oct</t>
  </si>
  <si>
    <t>19th Oct</t>
  </si>
  <si>
    <t>APL-A-LIST</t>
  </si>
  <si>
    <t>URL Not found</t>
  </si>
  <si>
    <t>CTR SU</t>
  </si>
  <si>
    <t>CENTRE</t>
  </si>
  <si>
    <t>SELF-ALIGNING,ROPS SUPPORT BAR</t>
  </si>
  <si>
    <t>TORO 1400</t>
  </si>
  <si>
    <t>FOR STEERING</t>
  </si>
  <si>
    <t>FRANNA</t>
  </si>
  <si>
    <t>16-TONNE</t>
  </si>
  <si>
    <t>STEEL/STEE</t>
  </si>
  <si>
    <t>C/W LUBRICATION GROOVE &amp; HOLES</t>
  </si>
  <si>
    <t>ACTUATING CYLINDER ASSEMBLY</t>
  </si>
  <si>
    <t>ROOF BOLTER</t>
  </si>
  <si>
    <t>ROBOLT</t>
  </si>
  <si>
    <t>H320-30C</t>
  </si>
  <si>
    <t>WHITE METAL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</si>
</sst>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0" fillId="0" borderId="0"/>
  </cellStyleXfs>
  <cellXfs count="40">
    <xf numFmtId="0" fontId="0" fillId="0" borderId="0" xfId="0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 applyAlignment="1">
      <alignment horizontal="left"/>
    </xf>
    <xf numFmtId="0" fontId="5" fillId="0" borderId="0" xfId="2" applyFont="1" applyBorder="1"/>
    <xf numFmtId="0" fontId="7" fillId="0" borderId="0" xfId="0" applyFont="1" applyBorder="1" applyAlignment="1">
      <alignment horizontal="left"/>
    </xf>
    <xf numFmtId="0" fontId="5" fillId="0" borderId="0" xfId="0" applyFont="1"/>
    <xf numFmtId="49" fontId="2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2" fillId="2" borderId="1" xfId="1" applyFont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top"/>
    </xf>
    <xf numFmtId="0" fontId="12" fillId="7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/>
    </xf>
    <xf numFmtId="14" fontId="6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  <xf numFmtId="0" fontId="14" fillId="0" borderId="0" xfId="0" applyFont="1" applyFill="1" applyAlignment="1">
      <alignment horizontal="left"/>
    </xf>
  </cellXfs>
  <cellStyles count="3"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9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3.85546875" defaultRowHeight="15"/>
  <cols>
    <col min="1" max="1" width="2.140625" style="3" customWidth="1"/>
    <col min="2" max="2" width="8.7109375" style="3" customWidth="1"/>
    <col min="3" max="3" width="5" style="3" customWidth="1"/>
    <col min="4" max="4" width="3.85546875" style="30" customWidth="1"/>
    <col min="5" max="5" width="10.28515625" style="3" customWidth="1"/>
    <col min="6" max="6" width="14.140625" style="3" customWidth="1"/>
    <col min="7" max="7" width="2.85546875" style="30" customWidth="1"/>
    <col min="8" max="18" width="13.85546875" style="3" customWidth="1"/>
    <col min="19" max="19" width="29.5703125" style="30" customWidth="1"/>
    <col min="20" max="20" width="0.85546875" style="3" customWidth="1"/>
    <col min="21" max="21" width="55.28515625" style="30" customWidth="1"/>
    <col min="22" max="22" width="1.28515625" style="3" customWidth="1"/>
    <col min="23" max="23" width="26.42578125" style="30" customWidth="1"/>
    <col min="24" max="24" width="2.28515625" style="3" customWidth="1"/>
    <col min="25" max="25" width="2" style="3" customWidth="1"/>
    <col min="26" max="27" width="2.140625" style="3" customWidth="1"/>
    <col min="28" max="29" width="2" style="3" customWidth="1"/>
    <col min="30" max="30" width="2.28515625" style="3" customWidth="1"/>
    <col min="31" max="31" width="1.7109375" style="3" customWidth="1"/>
    <col min="32" max="32" width="1.5703125" style="3" customWidth="1"/>
    <col min="33" max="33" width="1.140625" style="3" customWidth="1"/>
    <col min="34" max="37" width="13.85546875" style="3" customWidth="1"/>
    <col min="38" max="39" width="13.85546875" style="30"/>
    <col min="40" max="40" width="24.140625" style="30" customWidth="1"/>
    <col min="41" max="41" width="13.85546875" style="30"/>
    <col min="42" max="42" width="10.7109375" style="30" customWidth="1"/>
    <col min="43" max="45" width="13.85546875" style="30"/>
    <col min="46" max="49" width="13.85546875" style="30" customWidth="1"/>
    <col min="50" max="53" width="13.85546875" style="3" customWidth="1"/>
    <col min="54" max="55" width="13.85546875" style="30" customWidth="1"/>
    <col min="56" max="57" width="13.85546875" style="3" customWidth="1"/>
    <col min="58" max="58" width="6.85546875" style="30" customWidth="1"/>
    <col min="59" max="59" width="5.140625" style="30" customWidth="1"/>
    <col min="60" max="61" width="13.85546875" style="30" customWidth="1"/>
    <col min="62" max="62" width="19.42578125" style="30" customWidth="1"/>
    <col min="63" max="63" width="15.7109375" style="30" customWidth="1"/>
    <col min="64" max="64" width="13.85546875" style="30" customWidth="1"/>
    <col min="65" max="66" width="13.85546875" style="3" customWidth="1"/>
    <col min="67" max="67" width="13.85546875" style="30" customWidth="1"/>
    <col min="68" max="68" width="7.42578125" style="30" customWidth="1"/>
    <col min="69" max="69" width="19" style="30" customWidth="1"/>
    <col min="70" max="71" width="13.85546875" style="30"/>
    <col min="72" max="72" width="10.28515625" style="30" customWidth="1"/>
    <col min="73" max="73" width="13.5703125" style="30" customWidth="1"/>
    <col min="74" max="74" width="10.28515625" style="30" customWidth="1"/>
    <col min="75" max="77" width="13.85546875" style="30"/>
    <col min="78" max="78" width="15.28515625" style="30" customWidth="1"/>
    <col min="79" max="83" width="13.85546875" style="30"/>
    <col min="84" max="84" width="15.140625" style="30" customWidth="1"/>
    <col min="85" max="85" width="13.85546875" style="30"/>
    <col min="86" max="86" width="17.7109375" style="30" customWidth="1"/>
    <col min="87" max="89" width="13.85546875" style="30"/>
    <col min="90" max="90" width="21.5703125" style="30" customWidth="1"/>
    <col min="91" max="91" width="13.85546875" style="30"/>
    <col min="92" max="92" width="18.7109375" style="30" customWidth="1"/>
    <col min="93" max="97" width="13.85546875" style="30"/>
    <col min="98" max="98" width="22" style="30" customWidth="1"/>
    <col min="99" max="16384" width="13.85546875" style="30"/>
  </cols>
  <sheetData>
    <row r="1" spans="1:146" ht="12.75">
      <c r="A1" s="9" t="s">
        <v>0</v>
      </c>
      <c r="B1" s="9" t="s">
        <v>1</v>
      </c>
      <c r="C1" s="10" t="s">
        <v>2</v>
      </c>
      <c r="D1" s="18" t="s">
        <v>3</v>
      </c>
      <c r="E1" s="10" t="s">
        <v>4</v>
      </c>
      <c r="F1" s="10" t="s">
        <v>5</v>
      </c>
      <c r="G1" s="19" t="s">
        <v>6</v>
      </c>
      <c r="H1" s="11" t="s">
        <v>7</v>
      </c>
      <c r="I1" s="17" t="s">
        <v>8</v>
      </c>
      <c r="J1" s="16" t="s">
        <v>9</v>
      </c>
      <c r="K1" s="16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20" t="s">
        <v>18</v>
      </c>
      <c r="T1" s="17" t="s">
        <v>19</v>
      </c>
      <c r="U1" s="20" t="s">
        <v>20</v>
      </c>
      <c r="V1" s="17" t="s">
        <v>21</v>
      </c>
      <c r="W1" s="20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21" t="s">
        <v>37</v>
      </c>
      <c r="AM1" s="21" t="s">
        <v>38</v>
      </c>
      <c r="AN1" s="22" t="s">
        <v>39</v>
      </c>
      <c r="AO1" s="22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23" t="s">
        <v>57</v>
      </c>
      <c r="BG1" s="23" t="s">
        <v>58</v>
      </c>
      <c r="BH1" s="15" t="s">
        <v>59</v>
      </c>
      <c r="BI1" s="24" t="s">
        <v>60</v>
      </c>
      <c r="BJ1" s="24" t="s">
        <v>61</v>
      </c>
      <c r="BK1" s="24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25" t="s">
        <v>67</v>
      </c>
      <c r="BQ1" s="25" t="s">
        <v>68</v>
      </c>
      <c r="BR1" s="26" t="s">
        <v>69</v>
      </c>
      <c r="BS1" s="26" t="s">
        <v>70</v>
      </c>
      <c r="BT1" s="27" t="s">
        <v>71</v>
      </c>
      <c r="BU1" s="27" t="s">
        <v>72</v>
      </c>
      <c r="BV1" s="28" t="s">
        <v>73</v>
      </c>
      <c r="BW1" s="29" t="s">
        <v>74</v>
      </c>
      <c r="BX1" s="28" t="s">
        <v>75</v>
      </c>
      <c r="BY1" s="29" t="s">
        <v>76</v>
      </c>
      <c r="BZ1" s="28" t="s">
        <v>77</v>
      </c>
      <c r="CA1" s="29" t="s">
        <v>78</v>
      </c>
      <c r="CB1" s="28" t="s">
        <v>79</v>
      </c>
      <c r="CC1" s="29" t="s">
        <v>80</v>
      </c>
      <c r="CD1" s="28" t="s">
        <v>81</v>
      </c>
      <c r="CE1" s="29" t="s">
        <v>82</v>
      </c>
      <c r="CF1" s="28" t="s">
        <v>83</v>
      </c>
      <c r="CG1" s="29" t="s">
        <v>84</v>
      </c>
      <c r="CH1" s="28" t="s">
        <v>85</v>
      </c>
      <c r="CI1" s="29" t="s">
        <v>86</v>
      </c>
      <c r="CJ1" s="28" t="s">
        <v>87</v>
      </c>
      <c r="CK1" s="29" t="s">
        <v>88</v>
      </c>
      <c r="CL1" s="28" t="s">
        <v>89</v>
      </c>
      <c r="CM1" s="29" t="s">
        <v>90</v>
      </c>
      <c r="CN1" s="28" t="s">
        <v>91</v>
      </c>
      <c r="CO1" s="29" t="s">
        <v>92</v>
      </c>
      <c r="CP1" s="28" t="s">
        <v>93</v>
      </c>
      <c r="CQ1" s="29" t="s">
        <v>94</v>
      </c>
      <c r="CR1" s="28" t="s">
        <v>95</v>
      </c>
      <c r="CS1" s="29" t="s">
        <v>96</v>
      </c>
      <c r="CT1" s="28" t="s">
        <v>97</v>
      </c>
      <c r="CU1" s="29" t="s">
        <v>98</v>
      </c>
      <c r="CV1" s="28" t="s">
        <v>99</v>
      </c>
      <c r="CW1" s="29" t="s">
        <v>100</v>
      </c>
      <c r="CX1" s="28" t="s">
        <v>101</v>
      </c>
      <c r="CY1" s="29" t="s">
        <v>102</v>
      </c>
      <c r="CZ1" s="28" t="s">
        <v>103</v>
      </c>
      <c r="DA1" s="29" t="s">
        <v>104</v>
      </c>
      <c r="DB1" s="28" t="s">
        <v>105</v>
      </c>
      <c r="DC1" s="29" t="s">
        <v>106</v>
      </c>
      <c r="DD1" s="28" t="s">
        <v>107</v>
      </c>
      <c r="DE1" s="29" t="s">
        <v>108</v>
      </c>
      <c r="DF1" s="28" t="s">
        <v>109</v>
      </c>
      <c r="DG1" s="29" t="s">
        <v>110</v>
      </c>
      <c r="DH1" s="28" t="s">
        <v>111</v>
      </c>
      <c r="DI1" s="29" t="s">
        <v>112</v>
      </c>
      <c r="DJ1" s="28" t="s">
        <v>113</v>
      </c>
      <c r="DK1" s="29" t="s">
        <v>114</v>
      </c>
      <c r="DL1" s="28" t="s">
        <v>115</v>
      </c>
      <c r="DM1" s="29" t="s">
        <v>116</v>
      </c>
      <c r="DN1" s="28" t="s">
        <v>117</v>
      </c>
      <c r="DO1" s="29" t="s">
        <v>118</v>
      </c>
      <c r="DP1" s="28" t="s">
        <v>119</v>
      </c>
      <c r="DQ1" s="29" t="s">
        <v>120</v>
      </c>
      <c r="DR1" s="28" t="s">
        <v>121</v>
      </c>
      <c r="DS1" s="29" t="s">
        <v>122</v>
      </c>
      <c r="DT1" s="28" t="s">
        <v>123</v>
      </c>
      <c r="DU1" s="29" t="s">
        <v>124</v>
      </c>
      <c r="DV1" s="28" t="s">
        <v>125</v>
      </c>
      <c r="DW1" s="29" t="s">
        <v>126</v>
      </c>
      <c r="DX1" s="28" t="s">
        <v>127</v>
      </c>
      <c r="DY1" s="29" t="s">
        <v>128</v>
      </c>
      <c r="DZ1" s="28" t="s">
        <v>129</v>
      </c>
      <c r="EA1" s="29" t="s">
        <v>130</v>
      </c>
      <c r="EB1" s="28" t="s">
        <v>131</v>
      </c>
      <c r="EC1" s="29" t="s">
        <v>132</v>
      </c>
      <c r="ED1" s="28" t="s">
        <v>133</v>
      </c>
      <c r="EE1" s="29" t="s">
        <v>134</v>
      </c>
      <c r="EF1" s="28" t="s">
        <v>135</v>
      </c>
      <c r="EG1" s="29" t="s">
        <v>136</v>
      </c>
      <c r="EH1" s="28" t="s">
        <v>137</v>
      </c>
      <c r="EI1" s="29" t="s">
        <v>138</v>
      </c>
      <c r="EJ1" s="28" t="s">
        <v>139</v>
      </c>
      <c r="EK1" s="29" t="s">
        <v>140</v>
      </c>
      <c r="EL1" s="28" t="s">
        <v>141</v>
      </c>
      <c r="EM1" s="29" t="s">
        <v>142</v>
      </c>
      <c r="EN1" s="28" t="s">
        <v>143</v>
      </c>
      <c r="EO1" s="29" t="s">
        <v>144</v>
      </c>
      <c r="EP1" s="30" t="s">
        <v>145</v>
      </c>
    </row>
    <row r="2" spans="1:146" s="36" customFormat="1" ht="12.75">
      <c r="A2" s="31" t="s">
        <v>146</v>
      </c>
      <c r="B2" s="31" t="s">
        <v>147</v>
      </c>
      <c r="C2" s="32" t="s">
        <v>148</v>
      </c>
      <c r="D2" s="32" t="s">
        <v>803</v>
      </c>
      <c r="E2" s="33">
        <v>45215</v>
      </c>
      <c r="F2" s="33">
        <v>45218</v>
      </c>
      <c r="G2" s="32"/>
      <c r="H2" s="34" t="s">
        <v>170</v>
      </c>
      <c r="I2" s="34" t="s">
        <v>170</v>
      </c>
      <c r="J2" s="35" t="s">
        <v>171</v>
      </c>
      <c r="K2" s="35" t="s">
        <v>172</v>
      </c>
      <c r="L2" s="35" t="s">
        <v>152</v>
      </c>
      <c r="M2" s="35" t="s">
        <v>153</v>
      </c>
      <c r="N2" s="35" t="s">
        <v>154</v>
      </c>
      <c r="O2" s="35" t="s">
        <v>162</v>
      </c>
      <c r="P2" s="35" t="s">
        <v>173</v>
      </c>
      <c r="Q2" s="35" t="s">
        <v>157</v>
      </c>
      <c r="R2" s="35" t="s">
        <v>152</v>
      </c>
      <c r="S2" s="32" t="s">
        <v>174</v>
      </c>
      <c r="T2" s="32">
        <v>11</v>
      </c>
      <c r="U2" s="32" t="s">
        <v>175</v>
      </c>
      <c r="V2" s="32"/>
      <c r="W2" s="32" t="s">
        <v>176</v>
      </c>
      <c r="X2" s="35"/>
      <c r="Y2" s="35" t="s">
        <v>152</v>
      </c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 t="s">
        <v>152</v>
      </c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 t="s">
        <v>1110</v>
      </c>
      <c r="BG2" s="32"/>
      <c r="BH2" s="32"/>
      <c r="BI2" s="32"/>
      <c r="BJ2" s="32"/>
      <c r="BK2" s="32"/>
      <c r="BL2" s="32"/>
      <c r="BM2" s="32"/>
      <c r="BN2" s="32"/>
      <c r="BO2" s="32"/>
      <c r="BP2" s="32" t="s">
        <v>762</v>
      </c>
      <c r="BQ2" s="32" t="s">
        <v>825</v>
      </c>
      <c r="BR2" s="32" t="s">
        <v>1109</v>
      </c>
      <c r="BS2" s="32"/>
      <c r="BT2" s="32" t="s">
        <v>679</v>
      </c>
      <c r="BU2" s="32" t="s">
        <v>680</v>
      </c>
      <c r="BV2" s="38" t="s">
        <v>725</v>
      </c>
      <c r="BW2" s="32"/>
      <c r="BX2" s="38" t="s">
        <v>726</v>
      </c>
      <c r="BY2" s="32"/>
      <c r="BZ2" s="38" t="s">
        <v>727</v>
      </c>
      <c r="CA2" s="32"/>
      <c r="CB2" s="38" t="s">
        <v>728</v>
      </c>
      <c r="CC2" s="32"/>
      <c r="CD2" s="38" t="s">
        <v>729</v>
      </c>
      <c r="CE2" s="32"/>
      <c r="CF2" s="38" t="s">
        <v>730</v>
      </c>
      <c r="CG2" s="32"/>
      <c r="CH2" s="38" t="s">
        <v>731</v>
      </c>
      <c r="CI2" s="32"/>
      <c r="CJ2" s="38" t="s">
        <v>732</v>
      </c>
      <c r="CK2" s="32"/>
      <c r="CL2" s="38" t="s">
        <v>733</v>
      </c>
      <c r="CM2" s="32"/>
      <c r="CN2" s="38" t="s">
        <v>734</v>
      </c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6" t="s">
        <v>866</v>
      </c>
    </row>
    <row r="3" spans="1:146" s="36" customFormat="1" ht="12.75">
      <c r="A3" s="31" t="s">
        <v>146</v>
      </c>
      <c r="B3" s="31" t="s">
        <v>147</v>
      </c>
      <c r="C3" s="32" t="s">
        <v>148</v>
      </c>
      <c r="D3" s="32" t="s">
        <v>803</v>
      </c>
      <c r="E3" s="33">
        <v>45215</v>
      </c>
      <c r="F3" s="33">
        <v>45218</v>
      </c>
      <c r="G3" s="32"/>
      <c r="H3" s="34" t="s">
        <v>161</v>
      </c>
      <c r="I3" s="34" t="s">
        <v>161</v>
      </c>
      <c r="J3" s="35"/>
      <c r="K3" s="35"/>
      <c r="L3" s="35" t="s">
        <v>152</v>
      </c>
      <c r="M3" s="35" t="s">
        <v>153</v>
      </c>
      <c r="N3" s="35" t="s">
        <v>154</v>
      </c>
      <c r="O3" s="35" t="s">
        <v>162</v>
      </c>
      <c r="P3" s="35" t="s">
        <v>163</v>
      </c>
      <c r="Q3" s="35" t="s">
        <v>157</v>
      </c>
      <c r="R3" s="35" t="s">
        <v>152</v>
      </c>
      <c r="S3" s="32" t="s">
        <v>164</v>
      </c>
      <c r="T3" s="32" t="s">
        <v>164</v>
      </c>
      <c r="U3" s="32" t="s">
        <v>164</v>
      </c>
      <c r="V3" s="32"/>
      <c r="W3" s="32"/>
      <c r="X3" s="35"/>
      <c r="Y3" s="35" t="s">
        <v>152</v>
      </c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 t="s">
        <v>152</v>
      </c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 t="s">
        <v>1110</v>
      </c>
      <c r="BG3" s="32"/>
      <c r="BH3" s="32"/>
      <c r="BI3" s="32"/>
      <c r="BJ3" s="32"/>
      <c r="BK3" s="32"/>
      <c r="BL3" s="32"/>
      <c r="BM3" s="32"/>
      <c r="BN3" s="32"/>
      <c r="BO3" s="32"/>
      <c r="BP3" s="32" t="s">
        <v>762</v>
      </c>
      <c r="BQ3" s="32" t="s">
        <v>825</v>
      </c>
      <c r="BR3" s="32" t="s">
        <v>1111</v>
      </c>
      <c r="BS3" s="32"/>
      <c r="BT3" s="32" t="s">
        <v>679</v>
      </c>
      <c r="BU3" s="32" t="s">
        <v>680</v>
      </c>
      <c r="BV3" s="38" t="s">
        <v>725</v>
      </c>
      <c r="BW3" s="32"/>
      <c r="BX3" s="38" t="s">
        <v>726</v>
      </c>
      <c r="BY3" s="32"/>
      <c r="BZ3" s="38" t="s">
        <v>727</v>
      </c>
      <c r="CA3" s="32"/>
      <c r="CB3" s="38" t="s">
        <v>728</v>
      </c>
      <c r="CC3" s="32"/>
      <c r="CD3" s="38" t="s">
        <v>729</v>
      </c>
      <c r="CE3" s="32"/>
      <c r="CF3" s="38" t="s">
        <v>730</v>
      </c>
      <c r="CG3" s="32"/>
      <c r="CH3" s="38" t="s">
        <v>731</v>
      </c>
      <c r="CI3" s="32"/>
      <c r="CJ3" s="38" t="s">
        <v>732</v>
      </c>
      <c r="CK3" s="32"/>
      <c r="CL3" s="38" t="s">
        <v>733</v>
      </c>
      <c r="CM3" s="32"/>
      <c r="CN3" s="38" t="s">
        <v>734</v>
      </c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6" t="s">
        <v>866</v>
      </c>
    </row>
    <row r="4" spans="1:146" s="36" customFormat="1" ht="12.75">
      <c r="A4" s="31" t="s">
        <v>146</v>
      </c>
      <c r="B4" s="31" t="s">
        <v>147</v>
      </c>
      <c r="C4" s="32" t="s">
        <v>148</v>
      </c>
      <c r="D4" s="32" t="s">
        <v>803</v>
      </c>
      <c r="E4" s="33">
        <v>45215</v>
      </c>
      <c r="F4" s="33">
        <v>45218</v>
      </c>
      <c r="G4" s="32"/>
      <c r="H4" s="34" t="s">
        <v>177</v>
      </c>
      <c r="I4" s="34" t="s">
        <v>177</v>
      </c>
      <c r="J4" s="35"/>
      <c r="K4" s="35"/>
      <c r="L4" s="35" t="s">
        <v>152</v>
      </c>
      <c r="M4" s="35" t="s">
        <v>153</v>
      </c>
      <c r="N4" s="35" t="s">
        <v>154</v>
      </c>
      <c r="O4" s="35" t="s">
        <v>162</v>
      </c>
      <c r="P4" s="35" t="s">
        <v>178</v>
      </c>
      <c r="Q4" s="35" t="s">
        <v>157</v>
      </c>
      <c r="R4" s="35" t="s">
        <v>152</v>
      </c>
      <c r="S4" s="32" t="s">
        <v>179</v>
      </c>
      <c r="T4" s="32" t="s">
        <v>179</v>
      </c>
      <c r="U4" s="32" t="s">
        <v>180</v>
      </c>
      <c r="V4" s="32"/>
      <c r="W4" s="32"/>
      <c r="X4" s="35"/>
      <c r="Y4" s="35" t="s">
        <v>152</v>
      </c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 t="s">
        <v>152</v>
      </c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 t="s">
        <v>782</v>
      </c>
      <c r="BG4" s="32"/>
      <c r="BH4" s="32"/>
      <c r="BI4" s="32"/>
      <c r="BJ4" s="32"/>
      <c r="BK4" s="32"/>
      <c r="BL4" s="32"/>
      <c r="BM4" s="32"/>
      <c r="BN4" s="32"/>
      <c r="BO4" s="32"/>
      <c r="BP4" s="32" t="s">
        <v>762</v>
      </c>
      <c r="BQ4" s="32" t="s">
        <v>825</v>
      </c>
      <c r="BR4" s="32" t="s">
        <v>1103</v>
      </c>
      <c r="BS4" s="32"/>
      <c r="BT4" s="32" t="s">
        <v>679</v>
      </c>
      <c r="BU4" s="32" t="s">
        <v>680</v>
      </c>
      <c r="BV4" s="38" t="s">
        <v>725</v>
      </c>
      <c r="BW4" s="32"/>
      <c r="BX4" s="38" t="s">
        <v>726</v>
      </c>
      <c r="BY4" s="32"/>
      <c r="BZ4" s="38" t="s">
        <v>727</v>
      </c>
      <c r="CA4" s="32"/>
      <c r="CB4" s="38" t="s">
        <v>728</v>
      </c>
      <c r="CC4" s="32"/>
      <c r="CD4" s="38" t="s">
        <v>729</v>
      </c>
      <c r="CE4" s="32"/>
      <c r="CF4" s="38" t="s">
        <v>730</v>
      </c>
      <c r="CG4" s="32"/>
      <c r="CH4" s="38" t="s">
        <v>731</v>
      </c>
      <c r="CI4" s="32"/>
      <c r="CJ4" s="38" t="s">
        <v>732</v>
      </c>
      <c r="CK4" s="32"/>
      <c r="CL4" s="38" t="s">
        <v>733</v>
      </c>
      <c r="CM4" s="32"/>
      <c r="CN4" s="38" t="s">
        <v>734</v>
      </c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6" t="s">
        <v>866</v>
      </c>
    </row>
    <row r="5" spans="1:146" s="36" customFormat="1" ht="12.75">
      <c r="A5" s="31" t="s">
        <v>146</v>
      </c>
      <c r="B5" s="31" t="s">
        <v>147</v>
      </c>
      <c r="C5" s="32" t="s">
        <v>148</v>
      </c>
      <c r="D5" s="36" t="s">
        <v>803</v>
      </c>
      <c r="E5" s="33">
        <v>45215</v>
      </c>
      <c r="F5" s="33">
        <v>45218</v>
      </c>
      <c r="G5" s="36" t="s">
        <v>781</v>
      </c>
      <c r="H5" s="34" t="s">
        <v>296</v>
      </c>
      <c r="I5" s="34" t="s">
        <v>296</v>
      </c>
      <c r="J5" s="35"/>
      <c r="K5" s="35"/>
      <c r="L5" s="35" t="s">
        <v>152</v>
      </c>
      <c r="M5" s="35" t="s">
        <v>153</v>
      </c>
      <c r="N5" s="35" t="s">
        <v>154</v>
      </c>
      <c r="O5" s="35" t="s">
        <v>165</v>
      </c>
      <c r="P5" s="35" t="s">
        <v>297</v>
      </c>
      <c r="Q5" s="35" t="s">
        <v>167</v>
      </c>
      <c r="R5" s="35" t="s">
        <v>152</v>
      </c>
      <c r="S5" s="36" t="s">
        <v>298</v>
      </c>
      <c r="T5" s="32" t="s">
        <v>298</v>
      </c>
      <c r="U5" s="36" t="s">
        <v>299</v>
      </c>
      <c r="V5" s="32"/>
      <c r="X5" s="35"/>
      <c r="Y5" s="35" t="s">
        <v>152</v>
      </c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N5" s="36" t="s">
        <v>483</v>
      </c>
      <c r="AO5" s="36" t="s">
        <v>596</v>
      </c>
      <c r="AT5" s="32"/>
      <c r="AU5" s="32"/>
      <c r="AV5" s="32"/>
      <c r="AW5" s="32"/>
      <c r="AX5" s="32"/>
      <c r="AY5" s="32"/>
      <c r="AZ5" s="32"/>
      <c r="BA5" s="32"/>
      <c r="BB5" s="32"/>
      <c r="BD5" s="32"/>
      <c r="BE5" s="32"/>
      <c r="BF5" s="32" t="s">
        <v>952</v>
      </c>
      <c r="BG5" s="36" t="s">
        <v>951</v>
      </c>
      <c r="BH5" s="32"/>
      <c r="BL5" s="32"/>
      <c r="BM5" s="32"/>
      <c r="BN5" s="32"/>
      <c r="BO5" s="32"/>
      <c r="BP5" s="36" t="s">
        <v>762</v>
      </c>
      <c r="BQ5" s="36" t="s">
        <v>820</v>
      </c>
      <c r="BR5" s="36" t="s">
        <v>954</v>
      </c>
      <c r="BT5" s="36" t="s">
        <v>679</v>
      </c>
      <c r="BU5" s="36" t="s">
        <v>680</v>
      </c>
      <c r="BV5" s="36" t="s">
        <v>725</v>
      </c>
      <c r="BW5" s="36" t="s">
        <v>953</v>
      </c>
      <c r="BX5" s="36" t="s">
        <v>726</v>
      </c>
      <c r="BZ5" s="36" t="s">
        <v>727</v>
      </c>
      <c r="CB5" s="36" t="s">
        <v>728</v>
      </c>
      <c r="CD5" s="36" t="s">
        <v>729</v>
      </c>
      <c r="CF5" s="36" t="s">
        <v>730</v>
      </c>
      <c r="CH5" s="36" t="s">
        <v>731</v>
      </c>
      <c r="CJ5" s="36" t="s">
        <v>732</v>
      </c>
      <c r="CL5" s="36" t="s">
        <v>733</v>
      </c>
      <c r="CN5" s="36" t="s">
        <v>734</v>
      </c>
      <c r="CP5" s="37"/>
      <c r="CR5" s="37"/>
      <c r="CT5" s="37"/>
      <c r="EP5" s="36" t="s">
        <v>866</v>
      </c>
    </row>
    <row r="6" spans="1:146" s="36" customFormat="1" ht="12.75">
      <c r="A6" s="31" t="s">
        <v>146</v>
      </c>
      <c r="B6" s="31" t="s">
        <v>147</v>
      </c>
      <c r="C6" s="32" t="s">
        <v>148</v>
      </c>
      <c r="D6" s="32" t="s">
        <v>803</v>
      </c>
      <c r="E6" s="33">
        <v>45215</v>
      </c>
      <c r="F6" s="33">
        <v>45218</v>
      </c>
      <c r="G6" s="32"/>
      <c r="H6" s="34" t="s">
        <v>329</v>
      </c>
      <c r="I6" s="34" t="s">
        <v>329</v>
      </c>
      <c r="J6" s="35"/>
      <c r="K6" s="35"/>
      <c r="L6" s="35" t="s">
        <v>152</v>
      </c>
      <c r="M6" s="35" t="s">
        <v>153</v>
      </c>
      <c r="N6" s="35" t="s">
        <v>154</v>
      </c>
      <c r="O6" s="35" t="s">
        <v>165</v>
      </c>
      <c r="P6" s="35" t="s">
        <v>330</v>
      </c>
      <c r="Q6" s="35" t="s">
        <v>157</v>
      </c>
      <c r="R6" s="35" t="s">
        <v>152</v>
      </c>
      <c r="S6" s="32" t="s">
        <v>331</v>
      </c>
      <c r="T6" s="32" t="s">
        <v>331</v>
      </c>
      <c r="U6" s="32" t="s">
        <v>331</v>
      </c>
      <c r="V6" s="32"/>
      <c r="W6" s="32"/>
      <c r="X6" s="35"/>
      <c r="Y6" s="35" t="s">
        <v>152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152</v>
      </c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 t="s">
        <v>782</v>
      </c>
      <c r="BG6" s="32"/>
      <c r="BH6" s="32"/>
      <c r="BI6" s="32"/>
      <c r="BJ6" s="32"/>
      <c r="BK6" s="32"/>
      <c r="BL6" s="32"/>
      <c r="BM6" s="32"/>
      <c r="BN6" s="32"/>
      <c r="BO6" s="32"/>
      <c r="BP6" s="32" t="s">
        <v>762</v>
      </c>
      <c r="BQ6" s="32" t="s">
        <v>825</v>
      </c>
      <c r="BR6" s="32" t="s">
        <v>1066</v>
      </c>
      <c r="BS6" s="32"/>
      <c r="BT6" s="36" t="s">
        <v>679</v>
      </c>
      <c r="BU6" s="36" t="s">
        <v>680</v>
      </c>
      <c r="BV6" s="36" t="s">
        <v>725</v>
      </c>
      <c r="BX6" s="36" t="s">
        <v>726</v>
      </c>
      <c r="BZ6" s="36" t="s">
        <v>727</v>
      </c>
      <c r="CB6" s="36" t="s">
        <v>728</v>
      </c>
      <c r="CD6" s="36" t="s">
        <v>729</v>
      </c>
      <c r="CF6" s="36" t="s">
        <v>730</v>
      </c>
      <c r="CH6" s="36" t="s">
        <v>731</v>
      </c>
      <c r="CJ6" s="36" t="s">
        <v>732</v>
      </c>
      <c r="CL6" s="36" t="s">
        <v>733</v>
      </c>
      <c r="CN6" s="36" t="s">
        <v>734</v>
      </c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6" t="s">
        <v>866</v>
      </c>
    </row>
    <row r="7" spans="1:146" s="36" customFormat="1" ht="12.75">
      <c r="A7" s="31" t="s">
        <v>146</v>
      </c>
      <c r="B7" s="31" t="s">
        <v>147</v>
      </c>
      <c r="C7" s="32" t="s">
        <v>148</v>
      </c>
      <c r="D7" s="32" t="s">
        <v>803</v>
      </c>
      <c r="E7" s="33">
        <v>45215</v>
      </c>
      <c r="F7" s="33">
        <v>45218</v>
      </c>
      <c r="G7" s="32"/>
      <c r="H7" s="34" t="s">
        <v>431</v>
      </c>
      <c r="I7" s="34" t="s">
        <v>431</v>
      </c>
      <c r="J7" s="35" t="s">
        <v>432</v>
      </c>
      <c r="K7" s="35" t="s">
        <v>433</v>
      </c>
      <c r="L7" s="35" t="s">
        <v>152</v>
      </c>
      <c r="M7" s="35" t="s">
        <v>153</v>
      </c>
      <c r="N7" s="35" t="s">
        <v>154</v>
      </c>
      <c r="O7" s="35" t="s">
        <v>155</v>
      </c>
      <c r="P7" s="35" t="s">
        <v>434</v>
      </c>
      <c r="Q7" s="35" t="s">
        <v>157</v>
      </c>
      <c r="R7" s="35" t="s">
        <v>152</v>
      </c>
      <c r="S7" s="32" t="s">
        <v>435</v>
      </c>
      <c r="T7" s="32" t="s">
        <v>435</v>
      </c>
      <c r="U7" s="32" t="s">
        <v>436</v>
      </c>
      <c r="V7" s="32"/>
      <c r="W7" s="32" t="s">
        <v>436</v>
      </c>
      <c r="X7" s="35"/>
      <c r="Y7" s="35" t="s">
        <v>152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 t="s">
        <v>152</v>
      </c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 t="s">
        <v>782</v>
      </c>
      <c r="BG7" s="32"/>
      <c r="BH7" s="32"/>
      <c r="BI7" s="32"/>
      <c r="BJ7" s="32" t="s">
        <v>1027</v>
      </c>
      <c r="BK7" s="32" t="s">
        <v>1028</v>
      </c>
      <c r="BL7" s="32"/>
      <c r="BM7" s="32"/>
      <c r="BN7" s="32"/>
      <c r="BO7" s="32"/>
      <c r="BP7" s="32" t="s">
        <v>762</v>
      </c>
      <c r="BQ7" s="32" t="s">
        <v>763</v>
      </c>
      <c r="BR7" s="32"/>
      <c r="BS7" s="32"/>
      <c r="BT7" s="32" t="s">
        <v>679</v>
      </c>
      <c r="BU7" s="36" t="s">
        <v>681</v>
      </c>
      <c r="BV7" s="36" t="s">
        <v>725</v>
      </c>
      <c r="BW7" s="36" t="s">
        <v>1026</v>
      </c>
      <c r="BX7" s="36" t="s">
        <v>727</v>
      </c>
      <c r="BZ7" s="36" t="s">
        <v>728</v>
      </c>
      <c r="CB7" s="36" t="s">
        <v>735</v>
      </c>
      <c r="CD7" s="36" t="s">
        <v>726</v>
      </c>
      <c r="CF7" s="36" t="s">
        <v>736</v>
      </c>
      <c r="CH7" s="36" t="s">
        <v>737</v>
      </c>
      <c r="CJ7" s="36" t="s">
        <v>738</v>
      </c>
      <c r="CL7" s="36" t="s">
        <v>739</v>
      </c>
      <c r="CN7" s="36" t="s">
        <v>731</v>
      </c>
      <c r="CP7" s="36" t="s">
        <v>732</v>
      </c>
      <c r="CR7" s="36" t="s">
        <v>740</v>
      </c>
      <c r="CT7" s="36" t="s">
        <v>733</v>
      </c>
      <c r="CV7" s="36" t="s">
        <v>734</v>
      </c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6" t="s">
        <v>866</v>
      </c>
    </row>
    <row r="8" spans="1:146" s="36" customFormat="1" ht="12.75">
      <c r="A8" s="31" t="s">
        <v>146</v>
      </c>
      <c r="B8" s="31" t="s">
        <v>147</v>
      </c>
      <c r="C8" s="32" t="s">
        <v>148</v>
      </c>
      <c r="D8" s="32" t="s">
        <v>803</v>
      </c>
      <c r="E8" s="33">
        <v>45215</v>
      </c>
      <c r="F8" s="33">
        <v>45218</v>
      </c>
      <c r="G8" s="32"/>
      <c r="H8" s="34" t="s">
        <v>437</v>
      </c>
      <c r="I8" s="34" t="s">
        <v>437</v>
      </c>
      <c r="J8" s="35" t="s">
        <v>438</v>
      </c>
      <c r="K8" s="35" t="s">
        <v>439</v>
      </c>
      <c r="L8" s="35" t="s">
        <v>152</v>
      </c>
      <c r="M8" s="35" t="s">
        <v>153</v>
      </c>
      <c r="N8" s="35" t="s">
        <v>154</v>
      </c>
      <c r="O8" s="35" t="s">
        <v>155</v>
      </c>
      <c r="P8" s="35" t="s">
        <v>440</v>
      </c>
      <c r="Q8" s="35" t="s">
        <v>157</v>
      </c>
      <c r="R8" s="35" t="s">
        <v>152</v>
      </c>
      <c r="S8" s="32" t="s">
        <v>441</v>
      </c>
      <c r="T8" s="32" t="s">
        <v>441</v>
      </c>
      <c r="U8" s="32" t="s">
        <v>442</v>
      </c>
      <c r="V8" s="32"/>
      <c r="W8" s="32" t="s">
        <v>443</v>
      </c>
      <c r="X8" s="35"/>
      <c r="Y8" s="35" t="s">
        <v>152</v>
      </c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 t="s">
        <v>152</v>
      </c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 t="s">
        <v>782</v>
      </c>
      <c r="BG8" s="32"/>
      <c r="BH8" s="32"/>
      <c r="BI8" s="32" t="s">
        <v>849</v>
      </c>
      <c r="BJ8" s="32" t="s">
        <v>1029</v>
      </c>
      <c r="BK8" s="32" t="s">
        <v>1030</v>
      </c>
      <c r="BL8" s="32"/>
      <c r="BM8" s="32"/>
      <c r="BN8" s="32"/>
      <c r="BO8" s="32"/>
      <c r="BP8" s="32" t="s">
        <v>762</v>
      </c>
      <c r="BQ8" s="32" t="s">
        <v>763</v>
      </c>
      <c r="BR8" s="32"/>
      <c r="BS8" s="32"/>
      <c r="BT8" s="32" t="s">
        <v>679</v>
      </c>
      <c r="BU8" s="36" t="s">
        <v>681</v>
      </c>
      <c r="BV8" s="36" t="s">
        <v>725</v>
      </c>
      <c r="BW8" s="36" t="s">
        <v>851</v>
      </c>
      <c r="BX8" s="36" t="s">
        <v>727</v>
      </c>
      <c r="BZ8" s="36" t="s">
        <v>728</v>
      </c>
      <c r="CB8" s="36" t="s">
        <v>735</v>
      </c>
      <c r="CD8" s="36" t="s">
        <v>726</v>
      </c>
      <c r="CF8" s="36" t="s">
        <v>736</v>
      </c>
      <c r="CH8" s="36" t="s">
        <v>737</v>
      </c>
      <c r="CJ8" s="36" t="s">
        <v>738</v>
      </c>
      <c r="CL8" s="36" t="s">
        <v>739</v>
      </c>
      <c r="CN8" s="36" t="s">
        <v>731</v>
      </c>
      <c r="CP8" s="36" t="s">
        <v>732</v>
      </c>
      <c r="CR8" s="36" t="s">
        <v>740</v>
      </c>
      <c r="CT8" s="36" t="s">
        <v>733</v>
      </c>
      <c r="CV8" s="36" t="s">
        <v>734</v>
      </c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6" t="s">
        <v>866</v>
      </c>
    </row>
    <row r="9" spans="1:146" s="36" customFormat="1" ht="12.75">
      <c r="A9" s="31" t="s">
        <v>146</v>
      </c>
      <c r="B9" s="31" t="s">
        <v>147</v>
      </c>
      <c r="C9" s="32" t="s">
        <v>148</v>
      </c>
      <c r="D9" s="32" t="s">
        <v>803</v>
      </c>
      <c r="E9" s="33">
        <v>45215</v>
      </c>
      <c r="F9" s="33">
        <v>45218</v>
      </c>
      <c r="G9" s="32"/>
      <c r="H9" s="34" t="s">
        <v>444</v>
      </c>
      <c r="I9" s="34" t="s">
        <v>444</v>
      </c>
      <c r="J9" s="35" t="s">
        <v>445</v>
      </c>
      <c r="K9" s="35" t="s">
        <v>446</v>
      </c>
      <c r="L9" s="35" t="s">
        <v>152</v>
      </c>
      <c r="M9" s="35" t="s">
        <v>153</v>
      </c>
      <c r="N9" s="35" t="s">
        <v>154</v>
      </c>
      <c r="O9" s="35" t="s">
        <v>155</v>
      </c>
      <c r="P9" s="35" t="s">
        <v>447</v>
      </c>
      <c r="Q9" s="35" t="s">
        <v>157</v>
      </c>
      <c r="R9" s="35" t="s">
        <v>152</v>
      </c>
      <c r="S9" s="32" t="s">
        <v>448</v>
      </c>
      <c r="T9" s="32" t="s">
        <v>448</v>
      </c>
      <c r="U9" s="32" t="s">
        <v>449</v>
      </c>
      <c r="V9" s="32"/>
      <c r="W9" s="32" t="s">
        <v>450</v>
      </c>
      <c r="X9" s="35"/>
      <c r="Y9" s="35" t="s">
        <v>152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 t="s">
        <v>152</v>
      </c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 t="s">
        <v>782</v>
      </c>
      <c r="BG9" s="32"/>
      <c r="BH9" s="32"/>
      <c r="BI9" s="32" t="s">
        <v>849</v>
      </c>
      <c r="BJ9" s="32" t="s">
        <v>1029</v>
      </c>
      <c r="BK9" s="32" t="s">
        <v>1032</v>
      </c>
      <c r="BL9" s="32"/>
      <c r="BM9" s="32"/>
      <c r="BN9" s="32"/>
      <c r="BO9" s="32" t="s">
        <v>1031</v>
      </c>
      <c r="BP9" s="32" t="s">
        <v>762</v>
      </c>
      <c r="BQ9" s="32" t="s">
        <v>763</v>
      </c>
      <c r="BR9" s="32"/>
      <c r="BS9" s="32"/>
      <c r="BT9" s="32" t="s">
        <v>679</v>
      </c>
      <c r="BU9" s="36" t="s">
        <v>681</v>
      </c>
      <c r="BV9" s="36" t="s">
        <v>725</v>
      </c>
      <c r="BW9" s="36" t="s">
        <v>850</v>
      </c>
      <c r="BX9" s="36" t="s">
        <v>727</v>
      </c>
      <c r="BZ9" s="36" t="s">
        <v>728</v>
      </c>
      <c r="CB9" s="36" t="s">
        <v>735</v>
      </c>
      <c r="CD9" s="36" t="s">
        <v>726</v>
      </c>
      <c r="CF9" s="36" t="s">
        <v>736</v>
      </c>
      <c r="CH9" s="36" t="s">
        <v>737</v>
      </c>
      <c r="CJ9" s="36" t="s">
        <v>738</v>
      </c>
      <c r="CL9" s="36" t="s">
        <v>739</v>
      </c>
      <c r="CN9" s="36" t="s">
        <v>731</v>
      </c>
      <c r="CP9" s="36" t="s">
        <v>732</v>
      </c>
      <c r="CR9" s="36" t="s">
        <v>740</v>
      </c>
      <c r="CT9" s="36" t="s">
        <v>733</v>
      </c>
      <c r="CV9" s="36" t="s">
        <v>734</v>
      </c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6" t="s">
        <v>866</v>
      </c>
    </row>
    <row r="10" spans="1:146" s="36" customFormat="1" ht="12.75">
      <c r="A10" s="31" t="s">
        <v>146</v>
      </c>
      <c r="B10" s="31" t="s">
        <v>147</v>
      </c>
      <c r="C10" s="32" t="s">
        <v>148</v>
      </c>
      <c r="D10" s="32" t="s">
        <v>803</v>
      </c>
      <c r="E10" s="33">
        <v>45215</v>
      </c>
      <c r="F10" s="33">
        <v>45218</v>
      </c>
      <c r="G10" s="32"/>
      <c r="H10" s="34" t="s">
        <v>451</v>
      </c>
      <c r="I10" s="34" t="s">
        <v>451</v>
      </c>
      <c r="J10" s="35" t="s">
        <v>452</v>
      </c>
      <c r="K10" s="35" t="s">
        <v>453</v>
      </c>
      <c r="L10" s="35" t="s">
        <v>152</v>
      </c>
      <c r="M10" s="35" t="s">
        <v>153</v>
      </c>
      <c r="N10" s="35" t="s">
        <v>154</v>
      </c>
      <c r="O10" s="35" t="s">
        <v>155</v>
      </c>
      <c r="P10" s="35" t="s">
        <v>454</v>
      </c>
      <c r="Q10" s="35" t="s">
        <v>157</v>
      </c>
      <c r="R10" s="35" t="s">
        <v>152</v>
      </c>
      <c r="S10" s="32" t="s">
        <v>455</v>
      </c>
      <c r="T10" s="32" t="s">
        <v>455</v>
      </c>
      <c r="U10" s="32" t="s">
        <v>456</v>
      </c>
      <c r="V10" s="32"/>
      <c r="W10" s="32" t="s">
        <v>457</v>
      </c>
      <c r="X10" s="35"/>
      <c r="Y10" s="35" t="s">
        <v>152</v>
      </c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 t="s">
        <v>152</v>
      </c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 t="s">
        <v>782</v>
      </c>
      <c r="BG10" s="32"/>
      <c r="BH10" s="32"/>
      <c r="BI10" s="32" t="s">
        <v>849</v>
      </c>
      <c r="BJ10" s="32" t="s">
        <v>1029</v>
      </c>
      <c r="BK10" s="32" t="s">
        <v>1032</v>
      </c>
      <c r="BL10" s="32"/>
      <c r="BM10" s="32"/>
      <c r="BN10" s="32"/>
      <c r="BO10" s="32" t="s">
        <v>1033</v>
      </c>
      <c r="BP10" s="32" t="s">
        <v>762</v>
      </c>
      <c r="BQ10" s="32" t="s">
        <v>763</v>
      </c>
      <c r="BR10" s="32"/>
      <c r="BS10" s="32"/>
      <c r="BT10" s="32" t="s">
        <v>679</v>
      </c>
      <c r="BU10" s="36" t="s">
        <v>681</v>
      </c>
      <c r="BV10" s="36" t="s">
        <v>725</v>
      </c>
      <c r="BW10" s="36" t="s">
        <v>851</v>
      </c>
      <c r="BX10" s="36" t="s">
        <v>727</v>
      </c>
      <c r="BZ10" s="36" t="s">
        <v>728</v>
      </c>
      <c r="CB10" s="36" t="s">
        <v>735</v>
      </c>
      <c r="CD10" s="36" t="s">
        <v>726</v>
      </c>
      <c r="CF10" s="36" t="s">
        <v>736</v>
      </c>
      <c r="CH10" s="36" t="s">
        <v>737</v>
      </c>
      <c r="CJ10" s="36" t="s">
        <v>738</v>
      </c>
      <c r="CL10" s="36" t="s">
        <v>739</v>
      </c>
      <c r="CN10" s="36" t="s">
        <v>731</v>
      </c>
      <c r="CP10" s="36" t="s">
        <v>732</v>
      </c>
      <c r="CR10" s="36" t="s">
        <v>740</v>
      </c>
      <c r="CT10" s="36" t="s">
        <v>733</v>
      </c>
      <c r="CV10" s="36" t="s">
        <v>734</v>
      </c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6" t="s">
        <v>866</v>
      </c>
    </row>
    <row r="11" spans="1:146" s="36" customFormat="1" ht="12.75">
      <c r="A11" s="31" t="s">
        <v>146</v>
      </c>
      <c r="B11" s="31" t="s">
        <v>147</v>
      </c>
      <c r="C11" s="32" t="s">
        <v>148</v>
      </c>
      <c r="D11" s="32" t="s">
        <v>803</v>
      </c>
      <c r="E11" s="33">
        <v>45215</v>
      </c>
      <c r="F11" s="33">
        <v>45218</v>
      </c>
      <c r="G11" s="32"/>
      <c r="H11" s="34" t="s">
        <v>187</v>
      </c>
      <c r="I11" s="34" t="s">
        <v>187</v>
      </c>
      <c r="J11" s="35"/>
      <c r="K11" s="35"/>
      <c r="L11" s="35" t="s">
        <v>152</v>
      </c>
      <c r="M11" s="35" t="s">
        <v>153</v>
      </c>
      <c r="N11" s="35" t="s">
        <v>154</v>
      </c>
      <c r="O11" s="35" t="s">
        <v>166</v>
      </c>
      <c r="P11" s="35" t="s">
        <v>188</v>
      </c>
      <c r="Q11" s="35" t="s">
        <v>157</v>
      </c>
      <c r="R11" s="35" t="s">
        <v>152</v>
      </c>
      <c r="S11" s="32" t="s">
        <v>189</v>
      </c>
      <c r="T11" s="32" t="s">
        <v>189</v>
      </c>
      <c r="U11" s="32" t="s">
        <v>190</v>
      </c>
      <c r="V11" s="32"/>
      <c r="W11" s="32"/>
      <c r="X11" s="35"/>
      <c r="Y11" s="35" t="s">
        <v>152</v>
      </c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 t="s">
        <v>168</v>
      </c>
      <c r="AM11" s="32"/>
      <c r="AO11" s="32" t="s">
        <v>152</v>
      </c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 t="s">
        <v>782</v>
      </c>
      <c r="BG11" s="32"/>
      <c r="BH11" s="32"/>
      <c r="BI11" s="32"/>
      <c r="BJ11" s="32"/>
      <c r="BK11" s="32"/>
      <c r="BL11" s="32"/>
      <c r="BM11" s="32"/>
      <c r="BN11" s="32"/>
      <c r="BO11" s="32"/>
      <c r="BP11" s="32" t="s">
        <v>762</v>
      </c>
      <c r="BQ11" s="32" t="s">
        <v>763</v>
      </c>
      <c r="BR11" s="32" t="s">
        <v>1034</v>
      </c>
      <c r="BS11" s="32"/>
      <c r="BT11" s="32" t="s">
        <v>679</v>
      </c>
      <c r="BU11" s="36" t="s">
        <v>681</v>
      </c>
      <c r="BV11" s="36" t="s">
        <v>725</v>
      </c>
      <c r="BX11" s="36" t="s">
        <v>727</v>
      </c>
      <c r="BZ11" s="36" t="s">
        <v>728</v>
      </c>
      <c r="CB11" s="36" t="s">
        <v>735</v>
      </c>
      <c r="CD11" s="36" t="s">
        <v>726</v>
      </c>
      <c r="CF11" s="36" t="s">
        <v>736</v>
      </c>
      <c r="CH11" s="36" t="s">
        <v>737</v>
      </c>
      <c r="CJ11" s="36" t="s">
        <v>738</v>
      </c>
      <c r="CL11" s="36" t="s">
        <v>739</v>
      </c>
      <c r="CN11" s="36" t="s">
        <v>731</v>
      </c>
      <c r="CP11" s="36" t="s">
        <v>732</v>
      </c>
      <c r="CR11" s="36" t="s">
        <v>740</v>
      </c>
      <c r="CT11" s="36" t="s">
        <v>733</v>
      </c>
      <c r="CV11" s="36" t="s">
        <v>734</v>
      </c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6" t="s">
        <v>866</v>
      </c>
    </row>
    <row r="12" spans="1:146" s="36" customFormat="1" ht="12.75">
      <c r="A12" s="31" t="s">
        <v>146</v>
      </c>
      <c r="B12" s="31" t="s">
        <v>147</v>
      </c>
      <c r="C12" s="32" t="s">
        <v>148</v>
      </c>
      <c r="D12" s="32" t="s">
        <v>803</v>
      </c>
      <c r="E12" s="33">
        <v>45215</v>
      </c>
      <c r="F12" s="33">
        <v>45218</v>
      </c>
      <c r="G12" s="32"/>
      <c r="H12" s="34" t="s">
        <v>191</v>
      </c>
      <c r="I12" s="34" t="s">
        <v>191</v>
      </c>
      <c r="J12" s="35"/>
      <c r="K12" s="35"/>
      <c r="L12" s="35" t="s">
        <v>152</v>
      </c>
      <c r="M12" s="35" t="s">
        <v>153</v>
      </c>
      <c r="N12" s="35" t="s">
        <v>154</v>
      </c>
      <c r="O12" s="35" t="s">
        <v>165</v>
      </c>
      <c r="P12" s="35" t="s">
        <v>192</v>
      </c>
      <c r="Q12" s="35" t="s">
        <v>157</v>
      </c>
      <c r="R12" s="35" t="s">
        <v>152</v>
      </c>
      <c r="S12" s="32" t="s">
        <v>193</v>
      </c>
      <c r="T12" s="32" t="s">
        <v>193</v>
      </c>
      <c r="U12" s="32" t="s">
        <v>194</v>
      </c>
      <c r="V12" s="32"/>
      <c r="W12" s="32"/>
      <c r="X12" s="35"/>
      <c r="Y12" s="35" t="s">
        <v>152</v>
      </c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 t="s">
        <v>152</v>
      </c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 t="s">
        <v>782</v>
      </c>
      <c r="BG12" s="32"/>
      <c r="BH12" s="32"/>
      <c r="BI12" s="32" t="s">
        <v>875</v>
      </c>
      <c r="BJ12" s="32" t="s">
        <v>876</v>
      </c>
      <c r="BK12" s="32" t="s">
        <v>877</v>
      </c>
      <c r="BL12" s="32"/>
      <c r="BM12" s="32"/>
      <c r="BN12" s="32"/>
      <c r="BO12" s="32"/>
      <c r="BP12" s="32" t="s">
        <v>762</v>
      </c>
      <c r="BQ12" s="32" t="s">
        <v>763</v>
      </c>
      <c r="BR12" s="32" t="s">
        <v>885</v>
      </c>
      <c r="BS12" s="32"/>
      <c r="BT12" s="32" t="s">
        <v>679</v>
      </c>
      <c r="BU12" s="36" t="s">
        <v>681</v>
      </c>
      <c r="BV12" s="36" t="s">
        <v>725</v>
      </c>
      <c r="BW12" s="36" t="s">
        <v>1035</v>
      </c>
      <c r="BX12" s="36" t="s">
        <v>727</v>
      </c>
      <c r="BY12" s="36" t="s">
        <v>816</v>
      </c>
      <c r="BZ12" s="36" t="s">
        <v>728</v>
      </c>
      <c r="CA12" s="36" t="s">
        <v>837</v>
      </c>
      <c r="CB12" s="36" t="s">
        <v>735</v>
      </c>
      <c r="CC12" s="36" t="s">
        <v>811</v>
      </c>
      <c r="CD12" s="36" t="s">
        <v>726</v>
      </c>
      <c r="CF12" s="36" t="s">
        <v>736</v>
      </c>
      <c r="CH12" s="36" t="s">
        <v>737</v>
      </c>
      <c r="CI12" s="36">
        <v>1</v>
      </c>
      <c r="CJ12" s="36" t="s">
        <v>738</v>
      </c>
      <c r="CL12" s="36" t="s">
        <v>739</v>
      </c>
      <c r="CN12" s="36" t="s">
        <v>731</v>
      </c>
      <c r="CP12" s="36" t="s">
        <v>732</v>
      </c>
      <c r="CR12" s="36" t="s">
        <v>740</v>
      </c>
      <c r="CT12" s="36" t="s">
        <v>733</v>
      </c>
      <c r="CV12" s="36" t="s">
        <v>734</v>
      </c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6" t="s">
        <v>866</v>
      </c>
    </row>
    <row r="13" spans="1:146" s="36" customFormat="1" ht="12.75">
      <c r="A13" s="31" t="s">
        <v>146</v>
      </c>
      <c r="B13" s="31" t="s">
        <v>147</v>
      </c>
      <c r="C13" s="32" t="s">
        <v>148</v>
      </c>
      <c r="D13" s="32" t="s">
        <v>803</v>
      </c>
      <c r="E13" s="33">
        <v>45215</v>
      </c>
      <c r="F13" s="33">
        <v>45218</v>
      </c>
      <c r="G13" s="32"/>
      <c r="H13" s="34" t="s">
        <v>332</v>
      </c>
      <c r="I13" s="34" t="s">
        <v>332</v>
      </c>
      <c r="J13" s="35"/>
      <c r="K13" s="35"/>
      <c r="L13" s="35" t="s">
        <v>152</v>
      </c>
      <c r="M13" s="35" t="s">
        <v>153</v>
      </c>
      <c r="N13" s="35" t="s">
        <v>154</v>
      </c>
      <c r="O13" s="35" t="s">
        <v>165</v>
      </c>
      <c r="P13" s="35" t="s">
        <v>333</v>
      </c>
      <c r="Q13" s="35" t="s">
        <v>157</v>
      </c>
      <c r="R13" s="35" t="s">
        <v>152</v>
      </c>
      <c r="S13" s="32" t="s">
        <v>334</v>
      </c>
      <c r="T13" s="32" t="s">
        <v>334</v>
      </c>
      <c r="U13" s="32" t="s">
        <v>335</v>
      </c>
      <c r="V13" s="32"/>
      <c r="W13" s="32"/>
      <c r="X13" s="35"/>
      <c r="Y13" s="35" t="s">
        <v>152</v>
      </c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 t="s">
        <v>152</v>
      </c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 t="s">
        <v>782</v>
      </c>
      <c r="BG13" s="32"/>
      <c r="BH13" s="32"/>
      <c r="BI13" s="32" t="s">
        <v>957</v>
      </c>
      <c r="BJ13" s="32"/>
      <c r="BK13" s="32"/>
      <c r="BL13" s="32"/>
      <c r="BM13" s="32"/>
      <c r="BN13" s="32"/>
      <c r="BO13" s="32"/>
      <c r="BP13" s="32" t="s">
        <v>762</v>
      </c>
      <c r="BQ13" s="32" t="s">
        <v>763</v>
      </c>
      <c r="BR13" s="32"/>
      <c r="BS13" s="32"/>
      <c r="BT13" s="36" t="s">
        <v>679</v>
      </c>
      <c r="BU13" s="36" t="s">
        <v>681</v>
      </c>
      <c r="BV13" s="36" t="s">
        <v>725</v>
      </c>
      <c r="BX13" s="36" t="s">
        <v>727</v>
      </c>
      <c r="BZ13" s="36" t="s">
        <v>728</v>
      </c>
      <c r="CB13" s="36" t="s">
        <v>735</v>
      </c>
      <c r="CD13" s="36" t="s">
        <v>726</v>
      </c>
      <c r="CF13" s="36" t="s">
        <v>736</v>
      </c>
      <c r="CH13" s="36" t="s">
        <v>737</v>
      </c>
      <c r="CJ13" s="36" t="s">
        <v>738</v>
      </c>
      <c r="CL13" s="36" t="s">
        <v>739</v>
      </c>
      <c r="CN13" s="36" t="s">
        <v>731</v>
      </c>
      <c r="CP13" s="36" t="s">
        <v>732</v>
      </c>
      <c r="CR13" s="36" t="s">
        <v>740</v>
      </c>
      <c r="CT13" s="36" t="s">
        <v>733</v>
      </c>
      <c r="CV13" s="36" t="s">
        <v>734</v>
      </c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6" t="s">
        <v>866</v>
      </c>
    </row>
    <row r="14" spans="1:146" s="36" customFormat="1" ht="12.75">
      <c r="A14" s="31" t="s">
        <v>146</v>
      </c>
      <c r="B14" s="31" t="s">
        <v>147</v>
      </c>
      <c r="C14" s="32" t="s">
        <v>148</v>
      </c>
      <c r="D14" s="32" t="s">
        <v>803</v>
      </c>
      <c r="E14" s="33">
        <v>45215</v>
      </c>
      <c r="F14" s="33">
        <v>45218</v>
      </c>
      <c r="G14" s="32"/>
      <c r="H14" s="34" t="s">
        <v>336</v>
      </c>
      <c r="I14" s="34" t="s">
        <v>336</v>
      </c>
      <c r="J14" s="35"/>
      <c r="K14" s="35"/>
      <c r="L14" s="35" t="s">
        <v>152</v>
      </c>
      <c r="M14" s="35" t="s">
        <v>153</v>
      </c>
      <c r="N14" s="35" t="s">
        <v>154</v>
      </c>
      <c r="O14" s="35" t="s">
        <v>165</v>
      </c>
      <c r="P14" s="35" t="s">
        <v>337</v>
      </c>
      <c r="Q14" s="35" t="s">
        <v>157</v>
      </c>
      <c r="R14" s="35" t="s">
        <v>152</v>
      </c>
      <c r="S14" s="32" t="s">
        <v>334</v>
      </c>
      <c r="T14" s="32" t="s">
        <v>334</v>
      </c>
      <c r="U14" s="32" t="s">
        <v>335</v>
      </c>
      <c r="V14" s="32"/>
      <c r="W14" s="32"/>
      <c r="X14" s="35"/>
      <c r="Y14" s="35" t="s">
        <v>152</v>
      </c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 t="s">
        <v>152</v>
      </c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 t="s">
        <v>782</v>
      </c>
      <c r="BG14" s="32"/>
      <c r="BH14" s="32"/>
      <c r="BI14" s="32" t="s">
        <v>957</v>
      </c>
      <c r="BJ14" s="32"/>
      <c r="BK14" s="32"/>
      <c r="BL14" s="32"/>
      <c r="BM14" s="32"/>
      <c r="BN14" s="32"/>
      <c r="BO14" s="32"/>
      <c r="BP14" s="32" t="s">
        <v>762</v>
      </c>
      <c r="BQ14" s="32" t="s">
        <v>763</v>
      </c>
      <c r="BR14" s="32"/>
      <c r="BS14" s="32"/>
      <c r="BT14" s="36" t="s">
        <v>679</v>
      </c>
      <c r="BU14" s="36" t="s">
        <v>681</v>
      </c>
      <c r="BV14" s="36" t="s">
        <v>725</v>
      </c>
      <c r="BX14" s="36" t="s">
        <v>727</v>
      </c>
      <c r="BZ14" s="36" t="s">
        <v>728</v>
      </c>
      <c r="CB14" s="36" t="s">
        <v>735</v>
      </c>
      <c r="CD14" s="36" t="s">
        <v>726</v>
      </c>
      <c r="CF14" s="36" t="s">
        <v>736</v>
      </c>
      <c r="CH14" s="36" t="s">
        <v>737</v>
      </c>
      <c r="CJ14" s="36" t="s">
        <v>738</v>
      </c>
      <c r="CL14" s="36" t="s">
        <v>739</v>
      </c>
      <c r="CN14" s="36" t="s">
        <v>731</v>
      </c>
      <c r="CP14" s="36" t="s">
        <v>732</v>
      </c>
      <c r="CR14" s="36" t="s">
        <v>740</v>
      </c>
      <c r="CT14" s="36" t="s">
        <v>733</v>
      </c>
      <c r="CV14" s="36" t="s">
        <v>734</v>
      </c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6" t="s">
        <v>866</v>
      </c>
    </row>
    <row r="15" spans="1:146" s="36" customFormat="1" ht="12.75">
      <c r="A15" s="31" t="s">
        <v>146</v>
      </c>
      <c r="B15" s="31" t="s">
        <v>147</v>
      </c>
      <c r="C15" s="32" t="s">
        <v>148</v>
      </c>
      <c r="D15" s="32" t="s">
        <v>803</v>
      </c>
      <c r="E15" s="33">
        <v>45215</v>
      </c>
      <c r="F15" s="33">
        <v>45218</v>
      </c>
      <c r="G15" s="32"/>
      <c r="H15" s="34" t="s">
        <v>341</v>
      </c>
      <c r="I15" s="34" t="s">
        <v>341</v>
      </c>
      <c r="J15" s="35"/>
      <c r="K15" s="35"/>
      <c r="L15" s="35" t="s">
        <v>152</v>
      </c>
      <c r="M15" s="35" t="s">
        <v>153</v>
      </c>
      <c r="N15" s="35" t="s">
        <v>154</v>
      </c>
      <c r="O15" s="35" t="s">
        <v>342</v>
      </c>
      <c r="P15" s="35" t="s">
        <v>343</v>
      </c>
      <c r="Q15" s="35" t="s">
        <v>157</v>
      </c>
      <c r="R15" s="35" t="s">
        <v>152</v>
      </c>
      <c r="S15" s="32" t="s">
        <v>344</v>
      </c>
      <c r="T15" s="32" t="s">
        <v>344</v>
      </c>
      <c r="U15" s="32" t="s">
        <v>344</v>
      </c>
      <c r="V15" s="32"/>
      <c r="W15" s="32"/>
      <c r="X15" s="35"/>
      <c r="Y15" s="35" t="s">
        <v>152</v>
      </c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 t="s">
        <v>186</v>
      </c>
      <c r="AO15" s="32" t="s">
        <v>1068</v>
      </c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 t="s">
        <v>1069</v>
      </c>
      <c r="BG15" s="32" t="s">
        <v>1070</v>
      </c>
      <c r="BH15" s="32"/>
      <c r="BI15" s="32"/>
      <c r="BJ15" s="32"/>
      <c r="BK15" s="32"/>
      <c r="BL15" s="32"/>
      <c r="BM15" s="32"/>
      <c r="BN15" s="32"/>
      <c r="BO15" s="32"/>
      <c r="BP15" s="32" t="s">
        <v>765</v>
      </c>
      <c r="BQ15" s="32" t="s">
        <v>763</v>
      </c>
      <c r="BR15" s="32" t="s">
        <v>848</v>
      </c>
      <c r="BS15" s="32"/>
      <c r="BT15" s="36" t="s">
        <v>679</v>
      </c>
      <c r="BU15" s="36" t="s">
        <v>681</v>
      </c>
      <c r="BV15" s="36" t="s">
        <v>725</v>
      </c>
      <c r="BW15" s="36" t="s">
        <v>766</v>
      </c>
      <c r="BX15" s="36" t="s">
        <v>727</v>
      </c>
      <c r="BY15" s="36" t="s">
        <v>816</v>
      </c>
      <c r="BZ15" s="36" t="s">
        <v>728</v>
      </c>
      <c r="CA15" s="36" t="s">
        <v>804</v>
      </c>
      <c r="CB15" s="36" t="s">
        <v>735</v>
      </c>
      <c r="CC15" s="36" t="s">
        <v>842</v>
      </c>
      <c r="CD15" s="36" t="s">
        <v>726</v>
      </c>
      <c r="CE15" s="36" t="s">
        <v>813</v>
      </c>
      <c r="CF15" s="36" t="s">
        <v>736</v>
      </c>
      <c r="CG15" s="36" t="s">
        <v>770</v>
      </c>
      <c r="CH15" s="36" t="s">
        <v>737</v>
      </c>
      <c r="CI15" s="36">
        <v>1</v>
      </c>
      <c r="CJ15" s="36" t="s">
        <v>738</v>
      </c>
      <c r="CK15" s="36" t="s">
        <v>771</v>
      </c>
      <c r="CL15" s="36" t="s">
        <v>739</v>
      </c>
      <c r="CM15" s="36">
        <v>6000</v>
      </c>
      <c r="CN15" s="36" t="s">
        <v>731</v>
      </c>
      <c r="CO15" s="36" t="s">
        <v>838</v>
      </c>
      <c r="CP15" s="36" t="s">
        <v>732</v>
      </c>
      <c r="CQ15" s="36" t="s">
        <v>833</v>
      </c>
      <c r="CR15" s="36" t="s">
        <v>740</v>
      </c>
      <c r="CS15" s="36" t="s">
        <v>843</v>
      </c>
      <c r="CT15" s="36" t="s">
        <v>733</v>
      </c>
      <c r="CV15" s="36" t="s">
        <v>734</v>
      </c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6" t="s">
        <v>866</v>
      </c>
    </row>
    <row r="16" spans="1:146" s="36" customFormat="1" ht="12.75">
      <c r="A16" s="31" t="s">
        <v>146</v>
      </c>
      <c r="B16" s="31" t="s">
        <v>147</v>
      </c>
      <c r="C16" s="32" t="s">
        <v>148</v>
      </c>
      <c r="D16" s="32" t="s">
        <v>803</v>
      </c>
      <c r="E16" s="33">
        <v>45215</v>
      </c>
      <c r="F16" s="33">
        <v>45218</v>
      </c>
      <c r="G16" s="32"/>
      <c r="H16" s="34" t="s">
        <v>382</v>
      </c>
      <c r="I16" s="34" t="s">
        <v>382</v>
      </c>
      <c r="J16" s="35"/>
      <c r="K16" s="35"/>
      <c r="L16" s="35" t="s">
        <v>152</v>
      </c>
      <c r="M16" s="35" t="s">
        <v>153</v>
      </c>
      <c r="N16" s="35" t="s">
        <v>154</v>
      </c>
      <c r="O16" s="35" t="s">
        <v>155</v>
      </c>
      <c r="P16" s="35" t="s">
        <v>383</v>
      </c>
      <c r="Q16" s="35" t="s">
        <v>157</v>
      </c>
      <c r="R16" s="35" t="s">
        <v>152</v>
      </c>
      <c r="S16" s="32" t="s">
        <v>380</v>
      </c>
      <c r="T16" s="32" t="s">
        <v>380</v>
      </c>
      <c r="U16" s="32" t="s">
        <v>384</v>
      </c>
      <c r="V16" s="32"/>
      <c r="W16" s="32"/>
      <c r="X16" s="35"/>
      <c r="Y16" s="35" t="s">
        <v>152</v>
      </c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 t="s">
        <v>152</v>
      </c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 t="s">
        <v>782</v>
      </c>
      <c r="BG16" s="32"/>
      <c r="BH16" s="32"/>
      <c r="BI16" s="32" t="s">
        <v>1091</v>
      </c>
      <c r="BJ16" s="32" t="s">
        <v>1092</v>
      </c>
      <c r="BK16" s="32"/>
      <c r="BL16" s="32"/>
      <c r="BM16" s="32"/>
      <c r="BN16" s="32"/>
      <c r="BO16" s="32"/>
      <c r="BP16" s="32" t="s">
        <v>762</v>
      </c>
      <c r="BQ16" s="32" t="s">
        <v>763</v>
      </c>
      <c r="BR16" s="32"/>
      <c r="BS16" s="32"/>
      <c r="BT16" s="36" t="s">
        <v>679</v>
      </c>
      <c r="BU16" s="36" t="s">
        <v>681</v>
      </c>
      <c r="BV16" s="36" t="s">
        <v>725</v>
      </c>
      <c r="BW16" s="36" t="s">
        <v>766</v>
      </c>
      <c r="BX16" s="36" t="s">
        <v>727</v>
      </c>
      <c r="BZ16" s="36" t="s">
        <v>728</v>
      </c>
      <c r="CB16" s="36" t="s">
        <v>735</v>
      </c>
      <c r="CD16" s="36" t="s">
        <v>726</v>
      </c>
      <c r="CF16" s="36" t="s">
        <v>736</v>
      </c>
      <c r="CH16" s="36" t="s">
        <v>737</v>
      </c>
      <c r="CJ16" s="36" t="s">
        <v>738</v>
      </c>
      <c r="CL16" s="36" t="s">
        <v>739</v>
      </c>
      <c r="CN16" s="36" t="s">
        <v>731</v>
      </c>
      <c r="CP16" s="36" t="s">
        <v>732</v>
      </c>
      <c r="CR16" s="36" t="s">
        <v>740</v>
      </c>
      <c r="CT16" s="36" t="s">
        <v>733</v>
      </c>
      <c r="CV16" s="36" t="s">
        <v>734</v>
      </c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6" t="s">
        <v>866</v>
      </c>
    </row>
    <row r="17" spans="1:146" s="39" customFormat="1">
      <c r="A17" s="31" t="s">
        <v>146</v>
      </c>
      <c r="B17" s="31" t="s">
        <v>147</v>
      </c>
      <c r="C17" s="32" t="s">
        <v>148</v>
      </c>
      <c r="D17" s="32" t="s">
        <v>803</v>
      </c>
      <c r="E17" s="33">
        <v>45215</v>
      </c>
      <c r="F17" s="33">
        <v>45218</v>
      </c>
      <c r="G17" s="32"/>
      <c r="H17" s="34" t="s">
        <v>378</v>
      </c>
      <c r="I17" s="34" t="s">
        <v>378</v>
      </c>
      <c r="J17" s="35"/>
      <c r="K17" s="35"/>
      <c r="L17" s="35" t="s">
        <v>152</v>
      </c>
      <c r="M17" s="35" t="s">
        <v>153</v>
      </c>
      <c r="N17" s="35" t="s">
        <v>154</v>
      </c>
      <c r="O17" s="35" t="s">
        <v>155</v>
      </c>
      <c r="P17" s="35" t="s">
        <v>379</v>
      </c>
      <c r="Q17" s="35" t="s">
        <v>157</v>
      </c>
      <c r="R17" s="35" t="s">
        <v>152</v>
      </c>
      <c r="S17" s="32" t="s">
        <v>380</v>
      </c>
      <c r="T17" s="32" t="s">
        <v>380</v>
      </c>
      <c r="U17" s="32" t="s">
        <v>381</v>
      </c>
      <c r="V17" s="32"/>
      <c r="W17" s="32"/>
      <c r="X17" s="35"/>
      <c r="Y17" s="35" t="s">
        <v>152</v>
      </c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 t="s">
        <v>186</v>
      </c>
      <c r="AO17" s="32" t="s">
        <v>1093</v>
      </c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 t="s">
        <v>1094</v>
      </c>
      <c r="BG17" s="32" t="s">
        <v>1094</v>
      </c>
      <c r="BH17" s="32"/>
      <c r="BI17" s="32" t="s">
        <v>1091</v>
      </c>
      <c r="BJ17" s="32" t="s">
        <v>1092</v>
      </c>
      <c r="BK17" s="32"/>
      <c r="BL17" s="32"/>
      <c r="BM17" s="32"/>
      <c r="BN17" s="32"/>
      <c r="BO17" s="32"/>
      <c r="BP17" s="32" t="s">
        <v>765</v>
      </c>
      <c r="BQ17" s="32" t="s">
        <v>763</v>
      </c>
      <c r="BR17" s="32" t="s">
        <v>848</v>
      </c>
      <c r="BS17" s="32"/>
      <c r="BT17" s="36" t="s">
        <v>679</v>
      </c>
      <c r="BU17" s="36" t="s">
        <v>681</v>
      </c>
      <c r="BV17" s="36" t="s">
        <v>725</v>
      </c>
      <c r="BW17" s="36" t="s">
        <v>766</v>
      </c>
      <c r="BX17" s="36" t="s">
        <v>727</v>
      </c>
      <c r="BY17" s="36" t="s">
        <v>814</v>
      </c>
      <c r="BZ17" s="36" t="s">
        <v>728</v>
      </c>
      <c r="CA17" s="36" t="s">
        <v>884</v>
      </c>
      <c r="CB17" s="36" t="s">
        <v>735</v>
      </c>
      <c r="CC17" s="36" t="s">
        <v>861</v>
      </c>
      <c r="CD17" s="36" t="s">
        <v>726</v>
      </c>
      <c r="CE17" s="36" t="s">
        <v>807</v>
      </c>
      <c r="CF17" s="36" t="s">
        <v>736</v>
      </c>
      <c r="CG17" s="36" t="s">
        <v>770</v>
      </c>
      <c r="CH17" s="36" t="s">
        <v>737</v>
      </c>
      <c r="CI17" s="36">
        <v>1</v>
      </c>
      <c r="CJ17" s="36" t="s">
        <v>738</v>
      </c>
      <c r="CK17" s="36" t="s">
        <v>771</v>
      </c>
      <c r="CL17" s="36" t="s">
        <v>739</v>
      </c>
      <c r="CM17" s="36">
        <v>6000</v>
      </c>
      <c r="CN17" s="36" t="s">
        <v>731</v>
      </c>
      <c r="CO17" s="36" t="s">
        <v>975</v>
      </c>
      <c r="CP17" s="36" t="s">
        <v>732</v>
      </c>
      <c r="CQ17" s="36" t="s">
        <v>1095</v>
      </c>
      <c r="CR17" s="36" t="s">
        <v>740</v>
      </c>
      <c r="CS17" s="36" t="s">
        <v>1096</v>
      </c>
      <c r="CT17" s="36" t="s">
        <v>733</v>
      </c>
      <c r="CU17" s="36"/>
      <c r="CV17" s="36" t="s">
        <v>734</v>
      </c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6" t="s">
        <v>866</v>
      </c>
    </row>
    <row r="18" spans="1:146" s="39" customFormat="1">
      <c r="A18" s="31" t="s">
        <v>146</v>
      </c>
      <c r="B18" s="31" t="s">
        <v>147</v>
      </c>
      <c r="C18" s="32" t="s">
        <v>148</v>
      </c>
      <c r="D18" s="32" t="s">
        <v>803</v>
      </c>
      <c r="E18" s="33">
        <v>45215</v>
      </c>
      <c r="F18" s="33">
        <v>45218</v>
      </c>
      <c r="G18" s="32"/>
      <c r="H18" s="34" t="s">
        <v>385</v>
      </c>
      <c r="I18" s="34" t="s">
        <v>385</v>
      </c>
      <c r="J18" s="35"/>
      <c r="K18" s="35"/>
      <c r="L18" s="35" t="s">
        <v>152</v>
      </c>
      <c r="M18" s="35" t="s">
        <v>153</v>
      </c>
      <c r="N18" s="35" t="s">
        <v>154</v>
      </c>
      <c r="O18" s="35" t="s">
        <v>165</v>
      </c>
      <c r="P18" s="35" t="s">
        <v>386</v>
      </c>
      <c r="Q18" s="35" t="s">
        <v>157</v>
      </c>
      <c r="R18" s="35" t="s">
        <v>152</v>
      </c>
      <c r="S18" s="32" t="s">
        <v>387</v>
      </c>
      <c r="T18" s="32" t="s">
        <v>387</v>
      </c>
      <c r="U18" s="32" t="s">
        <v>388</v>
      </c>
      <c r="V18" s="32"/>
      <c r="W18" s="32"/>
      <c r="X18" s="35"/>
      <c r="Y18" s="35" t="s">
        <v>152</v>
      </c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 t="s">
        <v>152</v>
      </c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 t="s">
        <v>782</v>
      </c>
      <c r="BG18" s="32"/>
      <c r="BH18" s="32"/>
      <c r="BI18" s="32"/>
      <c r="BJ18" s="32"/>
      <c r="BK18" s="32" t="s">
        <v>878</v>
      </c>
      <c r="BL18" s="32"/>
      <c r="BM18" s="32"/>
      <c r="BN18" s="32"/>
      <c r="BO18" s="32"/>
      <c r="BP18" s="32" t="s">
        <v>762</v>
      </c>
      <c r="BQ18" s="32" t="s">
        <v>763</v>
      </c>
      <c r="BR18" s="32"/>
      <c r="BS18" s="32"/>
      <c r="BT18" s="36" t="s">
        <v>679</v>
      </c>
      <c r="BU18" s="36" t="s">
        <v>681</v>
      </c>
      <c r="BV18" s="36" t="s">
        <v>725</v>
      </c>
      <c r="BW18" s="36" t="s">
        <v>766</v>
      </c>
      <c r="BX18" s="36" t="s">
        <v>727</v>
      </c>
      <c r="BY18" s="36"/>
      <c r="BZ18" s="36" t="s">
        <v>728</v>
      </c>
      <c r="CA18" s="36"/>
      <c r="CB18" s="36" t="s">
        <v>735</v>
      </c>
      <c r="CC18" s="36"/>
      <c r="CD18" s="36" t="s">
        <v>726</v>
      </c>
      <c r="CE18" s="36"/>
      <c r="CF18" s="36" t="s">
        <v>736</v>
      </c>
      <c r="CG18" s="36"/>
      <c r="CH18" s="36" t="s">
        <v>737</v>
      </c>
      <c r="CI18" s="36"/>
      <c r="CJ18" s="36" t="s">
        <v>738</v>
      </c>
      <c r="CK18" s="36"/>
      <c r="CL18" s="36" t="s">
        <v>739</v>
      </c>
      <c r="CM18" s="36"/>
      <c r="CN18" s="36" t="s">
        <v>731</v>
      </c>
      <c r="CO18" s="36"/>
      <c r="CP18" s="36" t="s">
        <v>732</v>
      </c>
      <c r="CQ18" s="36"/>
      <c r="CR18" s="36" t="s">
        <v>740</v>
      </c>
      <c r="CS18" s="36"/>
      <c r="CT18" s="36" t="s">
        <v>733</v>
      </c>
      <c r="CU18" s="36"/>
      <c r="CV18" s="36" t="s">
        <v>734</v>
      </c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6" t="s">
        <v>866</v>
      </c>
    </row>
    <row r="19" spans="1:146" s="39" customFormat="1">
      <c r="A19" s="31" t="s">
        <v>146</v>
      </c>
      <c r="B19" s="31" t="s">
        <v>147</v>
      </c>
      <c r="C19" s="32" t="s">
        <v>148</v>
      </c>
      <c r="D19" s="32" t="s">
        <v>803</v>
      </c>
      <c r="E19" s="33">
        <v>45215</v>
      </c>
      <c r="F19" s="33">
        <v>45218</v>
      </c>
      <c r="G19" s="32"/>
      <c r="H19" s="34" t="s">
        <v>389</v>
      </c>
      <c r="I19" s="34" t="s">
        <v>389</v>
      </c>
      <c r="J19" s="35"/>
      <c r="K19" s="35"/>
      <c r="L19" s="35" t="s">
        <v>152</v>
      </c>
      <c r="M19" s="35" t="s">
        <v>153</v>
      </c>
      <c r="N19" s="35" t="s">
        <v>154</v>
      </c>
      <c r="O19" s="35" t="s">
        <v>165</v>
      </c>
      <c r="P19" s="35" t="s">
        <v>390</v>
      </c>
      <c r="Q19" s="35" t="s">
        <v>157</v>
      </c>
      <c r="R19" s="35" t="s">
        <v>152</v>
      </c>
      <c r="S19" s="32" t="s">
        <v>387</v>
      </c>
      <c r="T19" s="32" t="s">
        <v>387</v>
      </c>
      <c r="U19" s="32" t="s">
        <v>388</v>
      </c>
      <c r="V19" s="32"/>
      <c r="W19" s="32"/>
      <c r="X19" s="35"/>
      <c r="Y19" s="35" t="s">
        <v>152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 t="s">
        <v>152</v>
      </c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 t="s">
        <v>782</v>
      </c>
      <c r="BG19" s="32"/>
      <c r="BH19" s="32"/>
      <c r="BI19" s="32"/>
      <c r="BJ19" s="32"/>
      <c r="BK19" s="32" t="s">
        <v>878</v>
      </c>
      <c r="BL19" s="32"/>
      <c r="BM19" s="32"/>
      <c r="BN19" s="32"/>
      <c r="BO19" s="32"/>
      <c r="BP19" s="32" t="s">
        <v>762</v>
      </c>
      <c r="BQ19" s="32" t="s">
        <v>763</v>
      </c>
      <c r="BR19" s="32"/>
      <c r="BS19" s="32"/>
      <c r="BT19" s="36" t="s">
        <v>679</v>
      </c>
      <c r="BU19" s="36" t="s">
        <v>681</v>
      </c>
      <c r="BV19" s="36" t="s">
        <v>725</v>
      </c>
      <c r="BW19" s="36" t="s">
        <v>766</v>
      </c>
      <c r="BX19" s="36" t="s">
        <v>727</v>
      </c>
      <c r="BY19" s="36"/>
      <c r="BZ19" s="36" t="s">
        <v>728</v>
      </c>
      <c r="CA19" s="36"/>
      <c r="CB19" s="36" t="s">
        <v>735</v>
      </c>
      <c r="CC19" s="36"/>
      <c r="CD19" s="36" t="s">
        <v>726</v>
      </c>
      <c r="CE19" s="36"/>
      <c r="CF19" s="36" t="s">
        <v>736</v>
      </c>
      <c r="CG19" s="36"/>
      <c r="CH19" s="36" t="s">
        <v>737</v>
      </c>
      <c r="CI19" s="36"/>
      <c r="CJ19" s="36" t="s">
        <v>738</v>
      </c>
      <c r="CK19" s="36"/>
      <c r="CL19" s="36" t="s">
        <v>739</v>
      </c>
      <c r="CM19" s="36"/>
      <c r="CN19" s="36" t="s">
        <v>731</v>
      </c>
      <c r="CO19" s="36"/>
      <c r="CP19" s="36" t="s">
        <v>732</v>
      </c>
      <c r="CQ19" s="36"/>
      <c r="CR19" s="36" t="s">
        <v>740</v>
      </c>
      <c r="CS19" s="36"/>
      <c r="CT19" s="36" t="s">
        <v>733</v>
      </c>
      <c r="CU19" s="36"/>
      <c r="CV19" s="36" t="s">
        <v>734</v>
      </c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6" t="s">
        <v>866</v>
      </c>
    </row>
    <row r="20" spans="1:146" s="39" customFormat="1">
      <c r="A20" s="31" t="s">
        <v>146</v>
      </c>
      <c r="B20" s="31" t="s">
        <v>147</v>
      </c>
      <c r="C20" s="32" t="s">
        <v>148</v>
      </c>
      <c r="D20" s="32" t="s">
        <v>803</v>
      </c>
      <c r="E20" s="33">
        <v>45215</v>
      </c>
      <c r="F20" s="33">
        <v>45218</v>
      </c>
      <c r="G20" s="32"/>
      <c r="H20" s="34" t="s">
        <v>395</v>
      </c>
      <c r="I20" s="34" t="s">
        <v>395</v>
      </c>
      <c r="J20" s="35"/>
      <c r="K20" s="35"/>
      <c r="L20" s="35" t="s">
        <v>152</v>
      </c>
      <c r="M20" s="35" t="s">
        <v>153</v>
      </c>
      <c r="N20" s="35" t="s">
        <v>154</v>
      </c>
      <c r="O20" s="35" t="s">
        <v>165</v>
      </c>
      <c r="P20" s="35" t="s">
        <v>396</v>
      </c>
      <c r="Q20" s="35" t="s">
        <v>157</v>
      </c>
      <c r="R20" s="35" t="s">
        <v>152</v>
      </c>
      <c r="S20" s="32" t="s">
        <v>397</v>
      </c>
      <c r="T20" s="32" t="s">
        <v>397</v>
      </c>
      <c r="U20" s="32" t="s">
        <v>397</v>
      </c>
      <c r="V20" s="32"/>
      <c r="W20" s="32"/>
      <c r="X20" s="35"/>
      <c r="Y20" s="35" t="s">
        <v>152</v>
      </c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 t="s">
        <v>152</v>
      </c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 t="s">
        <v>782</v>
      </c>
      <c r="BG20" s="32"/>
      <c r="BH20" s="32"/>
      <c r="BI20" s="32"/>
      <c r="BJ20" s="32"/>
      <c r="BK20" s="32" t="s">
        <v>878</v>
      </c>
      <c r="BL20" s="32"/>
      <c r="BM20" s="32"/>
      <c r="BN20" s="32"/>
      <c r="BO20" s="32"/>
      <c r="BP20" s="32" t="s">
        <v>762</v>
      </c>
      <c r="BQ20" s="32" t="s">
        <v>1101</v>
      </c>
      <c r="BR20" s="32"/>
      <c r="BS20" s="32"/>
      <c r="BT20" s="36" t="s">
        <v>679</v>
      </c>
      <c r="BU20" s="36" t="s">
        <v>686</v>
      </c>
      <c r="BV20" s="36" t="s">
        <v>725</v>
      </c>
      <c r="BW20" s="36"/>
      <c r="BX20" s="36" t="s">
        <v>727</v>
      </c>
      <c r="BY20" s="36"/>
      <c r="BZ20" s="36" t="s">
        <v>750</v>
      </c>
      <c r="CA20" s="36"/>
      <c r="CB20" s="36" t="s">
        <v>745</v>
      </c>
      <c r="CC20" s="36"/>
      <c r="CD20" s="36" t="s">
        <v>746</v>
      </c>
      <c r="CE20" s="36"/>
      <c r="CF20" s="36" t="s">
        <v>747</v>
      </c>
      <c r="CG20" s="36"/>
      <c r="CH20" s="36" t="s">
        <v>748</v>
      </c>
      <c r="CI20" s="36"/>
      <c r="CJ20" s="36" t="s">
        <v>743</v>
      </c>
      <c r="CK20" s="36"/>
      <c r="CL20" s="36" t="s">
        <v>749</v>
      </c>
      <c r="CM20" s="36"/>
      <c r="CN20" s="36" t="s">
        <v>731</v>
      </c>
      <c r="CO20" s="36"/>
      <c r="CP20" s="36" t="s">
        <v>732</v>
      </c>
      <c r="CQ20" s="36"/>
      <c r="CR20" s="36" t="s">
        <v>733</v>
      </c>
      <c r="CS20" s="36"/>
      <c r="CT20" s="36" t="s">
        <v>734</v>
      </c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6" t="s">
        <v>866</v>
      </c>
    </row>
    <row r="21" spans="1:146" s="39" customFormat="1">
      <c r="A21" s="31" t="s">
        <v>146</v>
      </c>
      <c r="B21" s="31" t="s">
        <v>147</v>
      </c>
      <c r="C21" s="32" t="s">
        <v>148</v>
      </c>
      <c r="D21" s="32" t="s">
        <v>803</v>
      </c>
      <c r="E21" s="33">
        <v>45215</v>
      </c>
      <c r="F21" s="33">
        <v>45218</v>
      </c>
      <c r="G21" s="32"/>
      <c r="H21" s="34" t="s">
        <v>398</v>
      </c>
      <c r="I21" s="34" t="s">
        <v>398</v>
      </c>
      <c r="J21" s="35"/>
      <c r="K21" s="35"/>
      <c r="L21" s="35" t="s">
        <v>152</v>
      </c>
      <c r="M21" s="35" t="s">
        <v>153</v>
      </c>
      <c r="N21" s="35" t="s">
        <v>154</v>
      </c>
      <c r="O21" s="35" t="s">
        <v>165</v>
      </c>
      <c r="P21" s="35" t="s">
        <v>399</v>
      </c>
      <c r="Q21" s="35" t="s">
        <v>157</v>
      </c>
      <c r="R21" s="35" t="s">
        <v>152</v>
      </c>
      <c r="S21" s="32" t="s">
        <v>397</v>
      </c>
      <c r="T21" s="32" t="s">
        <v>397</v>
      </c>
      <c r="U21" s="32" t="s">
        <v>397</v>
      </c>
      <c r="V21" s="32"/>
      <c r="W21" s="32"/>
      <c r="X21" s="35"/>
      <c r="Y21" s="35" t="s">
        <v>152</v>
      </c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 t="s">
        <v>152</v>
      </c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 t="s">
        <v>782</v>
      </c>
      <c r="BG21" s="32"/>
      <c r="BH21" s="32"/>
      <c r="BI21" s="32"/>
      <c r="BJ21" s="32"/>
      <c r="BK21" s="32" t="s">
        <v>878</v>
      </c>
      <c r="BL21" s="32"/>
      <c r="BM21" s="32"/>
      <c r="BN21" s="32"/>
      <c r="BO21" s="32"/>
      <c r="BP21" s="32" t="s">
        <v>762</v>
      </c>
      <c r="BQ21" s="32" t="s">
        <v>1101</v>
      </c>
      <c r="BR21" s="32"/>
      <c r="BS21" s="32"/>
      <c r="BT21" s="36" t="s">
        <v>679</v>
      </c>
      <c r="BU21" s="36" t="s">
        <v>686</v>
      </c>
      <c r="BV21" s="36" t="s">
        <v>725</v>
      </c>
      <c r="BW21" s="36"/>
      <c r="BX21" s="36" t="s">
        <v>727</v>
      </c>
      <c r="BY21" s="36"/>
      <c r="BZ21" s="36" t="s">
        <v>750</v>
      </c>
      <c r="CA21" s="36"/>
      <c r="CB21" s="36" t="s">
        <v>745</v>
      </c>
      <c r="CC21" s="36"/>
      <c r="CD21" s="36" t="s">
        <v>746</v>
      </c>
      <c r="CE21" s="36"/>
      <c r="CF21" s="36" t="s">
        <v>747</v>
      </c>
      <c r="CG21" s="36"/>
      <c r="CH21" s="36" t="s">
        <v>748</v>
      </c>
      <c r="CI21" s="36"/>
      <c r="CJ21" s="36" t="s">
        <v>743</v>
      </c>
      <c r="CK21" s="36"/>
      <c r="CL21" s="36" t="s">
        <v>749</v>
      </c>
      <c r="CM21" s="36"/>
      <c r="CN21" s="36" t="s">
        <v>731</v>
      </c>
      <c r="CO21" s="36"/>
      <c r="CP21" s="36" t="s">
        <v>732</v>
      </c>
      <c r="CQ21" s="36"/>
      <c r="CR21" s="36" t="s">
        <v>733</v>
      </c>
      <c r="CS21" s="36"/>
      <c r="CT21" s="36" t="s">
        <v>734</v>
      </c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6" t="s">
        <v>866</v>
      </c>
    </row>
    <row r="22" spans="1:146" s="39" customFormat="1">
      <c r="A22" s="31" t="s">
        <v>146</v>
      </c>
      <c r="B22" s="31" t="s">
        <v>147</v>
      </c>
      <c r="C22" s="32" t="s">
        <v>148</v>
      </c>
      <c r="D22" s="32" t="s">
        <v>803</v>
      </c>
      <c r="E22" s="33">
        <v>45215</v>
      </c>
      <c r="F22" s="33">
        <v>45218</v>
      </c>
      <c r="G22" s="32"/>
      <c r="H22" s="34" t="s">
        <v>195</v>
      </c>
      <c r="I22" s="34" t="s">
        <v>195</v>
      </c>
      <c r="J22" s="35"/>
      <c r="K22" s="35"/>
      <c r="L22" s="35" t="s">
        <v>152</v>
      </c>
      <c r="M22" s="35" t="s">
        <v>153</v>
      </c>
      <c r="N22" s="35" t="s">
        <v>154</v>
      </c>
      <c r="O22" s="35" t="s">
        <v>162</v>
      </c>
      <c r="P22" s="35" t="s">
        <v>196</v>
      </c>
      <c r="Q22" s="35" t="s">
        <v>157</v>
      </c>
      <c r="R22" s="35" t="s">
        <v>152</v>
      </c>
      <c r="S22" s="32" t="s">
        <v>197</v>
      </c>
      <c r="T22" s="32" t="s">
        <v>197</v>
      </c>
      <c r="U22" s="32" t="s">
        <v>197</v>
      </c>
      <c r="V22" s="32"/>
      <c r="W22" s="32"/>
      <c r="X22" s="35"/>
      <c r="Y22" s="35" t="s">
        <v>152</v>
      </c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 t="s">
        <v>152</v>
      </c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 t="s">
        <v>782</v>
      </c>
      <c r="BG22" s="32"/>
      <c r="BH22" s="32"/>
      <c r="BI22" s="32"/>
      <c r="BJ22" s="32"/>
      <c r="BK22" s="32"/>
      <c r="BL22" s="32"/>
      <c r="BM22" s="32"/>
      <c r="BN22" s="32"/>
      <c r="BO22" s="32"/>
      <c r="BP22" s="32" t="s">
        <v>762</v>
      </c>
      <c r="BQ22" s="32" t="s">
        <v>825</v>
      </c>
      <c r="BR22" s="32"/>
      <c r="BS22" s="32"/>
      <c r="BT22" s="32" t="s">
        <v>679</v>
      </c>
      <c r="BU22" s="32" t="s">
        <v>683</v>
      </c>
      <c r="BV22" s="38" t="s">
        <v>725</v>
      </c>
      <c r="BW22" s="32" t="s">
        <v>1036</v>
      </c>
      <c r="BX22" s="38" t="s">
        <v>727</v>
      </c>
      <c r="BY22" s="32"/>
      <c r="BZ22" s="38" t="s">
        <v>728</v>
      </c>
      <c r="CA22" s="32"/>
      <c r="CB22" s="38" t="s">
        <v>735</v>
      </c>
      <c r="CC22" s="32"/>
      <c r="CD22" s="38" t="s">
        <v>743</v>
      </c>
      <c r="CE22" s="32"/>
      <c r="CF22" s="38" t="s">
        <v>731</v>
      </c>
      <c r="CG22" s="32"/>
      <c r="CH22" s="38" t="s">
        <v>732</v>
      </c>
      <c r="CI22" s="32"/>
      <c r="CJ22" s="38" t="s">
        <v>733</v>
      </c>
      <c r="CK22" s="32"/>
      <c r="CL22" s="38" t="s">
        <v>734</v>
      </c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6" t="s">
        <v>866</v>
      </c>
    </row>
    <row r="23" spans="1:146" s="39" customFormat="1">
      <c r="A23" s="31" t="s">
        <v>146</v>
      </c>
      <c r="B23" s="31" t="s">
        <v>147</v>
      </c>
      <c r="C23" s="32" t="s">
        <v>148</v>
      </c>
      <c r="D23" s="32" t="s">
        <v>803</v>
      </c>
      <c r="E23" s="33">
        <v>45215</v>
      </c>
      <c r="F23" s="33">
        <v>45218</v>
      </c>
      <c r="G23" s="32"/>
      <c r="H23" s="34" t="s">
        <v>338</v>
      </c>
      <c r="I23" s="34" t="s">
        <v>338</v>
      </c>
      <c r="J23" s="35"/>
      <c r="K23" s="35"/>
      <c r="L23" s="35" t="s">
        <v>152</v>
      </c>
      <c r="M23" s="35" t="s">
        <v>153</v>
      </c>
      <c r="N23" s="35" t="s">
        <v>154</v>
      </c>
      <c r="O23" s="35" t="s">
        <v>165</v>
      </c>
      <c r="P23" s="35" t="s">
        <v>339</v>
      </c>
      <c r="Q23" s="35" t="s">
        <v>157</v>
      </c>
      <c r="R23" s="35" t="s">
        <v>152</v>
      </c>
      <c r="S23" s="32" t="s">
        <v>340</v>
      </c>
      <c r="T23" s="32" t="s">
        <v>340</v>
      </c>
      <c r="U23" s="32" t="s">
        <v>340</v>
      </c>
      <c r="V23" s="32"/>
      <c r="W23" s="32"/>
      <c r="X23" s="35"/>
      <c r="Y23" s="35" t="s">
        <v>152</v>
      </c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 t="s">
        <v>152</v>
      </c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 t="s">
        <v>782</v>
      </c>
      <c r="BG23" s="32"/>
      <c r="BH23" s="32"/>
      <c r="BI23" s="32"/>
      <c r="BJ23" s="32"/>
      <c r="BK23" s="32"/>
      <c r="BL23" s="32"/>
      <c r="BM23" s="32"/>
      <c r="BN23" s="32"/>
      <c r="BO23" s="32"/>
      <c r="BP23" s="32" t="s">
        <v>762</v>
      </c>
      <c r="BQ23" s="32" t="s">
        <v>825</v>
      </c>
      <c r="BR23" s="32"/>
      <c r="BS23" s="32"/>
      <c r="BT23" s="36" t="s">
        <v>679</v>
      </c>
      <c r="BU23" s="36" t="s">
        <v>683</v>
      </c>
      <c r="BV23" s="36" t="s">
        <v>725</v>
      </c>
      <c r="BW23" s="36" t="s">
        <v>1067</v>
      </c>
      <c r="BX23" s="36" t="s">
        <v>727</v>
      </c>
      <c r="BY23" s="36"/>
      <c r="BZ23" s="36" t="s">
        <v>728</v>
      </c>
      <c r="CA23" s="36"/>
      <c r="CB23" s="36" t="s">
        <v>735</v>
      </c>
      <c r="CC23" s="36"/>
      <c r="CD23" s="36" t="s">
        <v>743</v>
      </c>
      <c r="CE23" s="36"/>
      <c r="CF23" s="36" t="s">
        <v>731</v>
      </c>
      <c r="CG23" s="36"/>
      <c r="CH23" s="36" t="s">
        <v>732</v>
      </c>
      <c r="CI23" s="36"/>
      <c r="CJ23" s="36" t="s">
        <v>733</v>
      </c>
      <c r="CK23" s="36"/>
      <c r="CL23" s="36" t="s">
        <v>734</v>
      </c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6" t="s">
        <v>866</v>
      </c>
    </row>
    <row r="24" spans="1:146" s="39" customFormat="1">
      <c r="A24" s="31" t="s">
        <v>146</v>
      </c>
      <c r="B24" s="31" t="s">
        <v>147</v>
      </c>
      <c r="C24" s="32" t="s">
        <v>148</v>
      </c>
      <c r="D24" s="32" t="s">
        <v>803</v>
      </c>
      <c r="E24" s="33">
        <v>45215</v>
      </c>
      <c r="F24" s="33">
        <v>45218</v>
      </c>
      <c r="G24" s="32"/>
      <c r="H24" s="34" t="s">
        <v>348</v>
      </c>
      <c r="I24" s="34" t="s">
        <v>348</v>
      </c>
      <c r="J24" s="35"/>
      <c r="K24" s="35"/>
      <c r="L24" s="35" t="s">
        <v>152</v>
      </c>
      <c r="M24" s="35" t="s">
        <v>153</v>
      </c>
      <c r="N24" s="35" t="s">
        <v>154</v>
      </c>
      <c r="O24" s="35" t="s">
        <v>162</v>
      </c>
      <c r="P24" s="35" t="s">
        <v>349</v>
      </c>
      <c r="Q24" s="35" t="s">
        <v>157</v>
      </c>
      <c r="R24" s="35" t="s">
        <v>152</v>
      </c>
      <c r="S24" s="32" t="s">
        <v>350</v>
      </c>
      <c r="T24" s="32" t="s">
        <v>350</v>
      </c>
      <c r="U24" s="32" t="s">
        <v>351</v>
      </c>
      <c r="V24" s="32"/>
      <c r="W24" s="32"/>
      <c r="X24" s="35"/>
      <c r="Y24" s="35" t="s">
        <v>152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 t="s">
        <v>152</v>
      </c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 t="s">
        <v>782</v>
      </c>
      <c r="BG24" s="32"/>
      <c r="BH24" s="32"/>
      <c r="BI24" s="32" t="s">
        <v>1077</v>
      </c>
      <c r="BJ24" s="32" t="s">
        <v>416</v>
      </c>
      <c r="BK24" s="32" t="s">
        <v>1078</v>
      </c>
      <c r="BL24" s="32"/>
      <c r="BM24" s="32"/>
      <c r="BN24" s="32"/>
      <c r="BO24" s="32"/>
      <c r="BP24" s="32" t="s">
        <v>762</v>
      </c>
      <c r="BQ24" s="32" t="s">
        <v>825</v>
      </c>
      <c r="BR24" s="32"/>
      <c r="BS24" s="32"/>
      <c r="BT24" s="32" t="s">
        <v>679</v>
      </c>
      <c r="BU24" s="32" t="s">
        <v>683</v>
      </c>
      <c r="BV24" s="38" t="s">
        <v>725</v>
      </c>
      <c r="BW24" s="32" t="s">
        <v>1076</v>
      </c>
      <c r="BX24" s="38" t="s">
        <v>727</v>
      </c>
      <c r="BY24" s="32"/>
      <c r="BZ24" s="38" t="s">
        <v>728</v>
      </c>
      <c r="CA24" s="32"/>
      <c r="CB24" s="38" t="s">
        <v>735</v>
      </c>
      <c r="CC24" s="32"/>
      <c r="CD24" s="38" t="s">
        <v>743</v>
      </c>
      <c r="CE24" s="32"/>
      <c r="CF24" s="38" t="s">
        <v>731</v>
      </c>
      <c r="CG24" s="32"/>
      <c r="CH24" s="38" t="s">
        <v>732</v>
      </c>
      <c r="CI24" s="32"/>
      <c r="CJ24" s="38" t="s">
        <v>733</v>
      </c>
      <c r="CK24" s="32"/>
      <c r="CL24" s="38" t="s">
        <v>734</v>
      </c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6" t="s">
        <v>866</v>
      </c>
    </row>
    <row r="25" spans="1:146" s="39" customFormat="1">
      <c r="A25" s="31" t="s">
        <v>146</v>
      </c>
      <c r="B25" s="31" t="s">
        <v>147</v>
      </c>
      <c r="C25" s="32" t="s">
        <v>148</v>
      </c>
      <c r="D25" s="32" t="s">
        <v>803</v>
      </c>
      <c r="E25" s="33">
        <v>45215</v>
      </c>
      <c r="F25" s="33">
        <v>45218</v>
      </c>
      <c r="G25" s="32"/>
      <c r="H25" s="34" t="s">
        <v>352</v>
      </c>
      <c r="I25" s="34" t="s">
        <v>352</v>
      </c>
      <c r="J25" s="35"/>
      <c r="K25" s="35"/>
      <c r="L25" s="35" t="s">
        <v>152</v>
      </c>
      <c r="M25" s="35" t="s">
        <v>153</v>
      </c>
      <c r="N25" s="35" t="s">
        <v>154</v>
      </c>
      <c r="O25" s="35" t="s">
        <v>162</v>
      </c>
      <c r="P25" s="35" t="s">
        <v>353</v>
      </c>
      <c r="Q25" s="35" t="s">
        <v>157</v>
      </c>
      <c r="R25" s="35" t="s">
        <v>152</v>
      </c>
      <c r="S25" s="32" t="s">
        <v>354</v>
      </c>
      <c r="T25" s="32" t="s">
        <v>354</v>
      </c>
      <c r="U25" s="32" t="s">
        <v>354</v>
      </c>
      <c r="V25" s="32"/>
      <c r="W25" s="32"/>
      <c r="X25" s="35"/>
      <c r="Y25" s="35" t="s">
        <v>152</v>
      </c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 t="s">
        <v>152</v>
      </c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 t="s">
        <v>782</v>
      </c>
      <c r="BG25" s="32"/>
      <c r="BH25" s="32"/>
      <c r="BI25" s="32"/>
      <c r="BJ25" s="32"/>
      <c r="BK25" s="32"/>
      <c r="BL25" s="32"/>
      <c r="BM25" s="32"/>
      <c r="BN25" s="32"/>
      <c r="BO25" s="32"/>
      <c r="BP25" s="32" t="s">
        <v>762</v>
      </c>
      <c r="BQ25" s="32" t="s">
        <v>825</v>
      </c>
      <c r="BR25" s="32"/>
      <c r="BS25" s="32"/>
      <c r="BT25" s="32" t="s">
        <v>679</v>
      </c>
      <c r="BU25" s="32" t="s">
        <v>683</v>
      </c>
      <c r="BV25" s="38" t="s">
        <v>725</v>
      </c>
      <c r="BW25" s="32" t="s">
        <v>1079</v>
      </c>
      <c r="BX25" s="38" t="s">
        <v>727</v>
      </c>
      <c r="BY25" s="32"/>
      <c r="BZ25" s="38" t="s">
        <v>728</v>
      </c>
      <c r="CA25" s="32"/>
      <c r="CB25" s="38" t="s">
        <v>735</v>
      </c>
      <c r="CC25" s="32"/>
      <c r="CD25" s="38" t="s">
        <v>743</v>
      </c>
      <c r="CE25" s="32"/>
      <c r="CF25" s="38" t="s">
        <v>731</v>
      </c>
      <c r="CG25" s="32"/>
      <c r="CH25" s="38" t="s">
        <v>732</v>
      </c>
      <c r="CI25" s="32"/>
      <c r="CJ25" s="38" t="s">
        <v>733</v>
      </c>
      <c r="CK25" s="32"/>
      <c r="CL25" s="38" t="s">
        <v>734</v>
      </c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6" t="s">
        <v>866</v>
      </c>
    </row>
    <row r="26" spans="1:146" s="39" customFormat="1">
      <c r="A26" s="31" t="s">
        <v>146</v>
      </c>
      <c r="B26" s="31" t="s">
        <v>147</v>
      </c>
      <c r="C26" s="32" t="s">
        <v>148</v>
      </c>
      <c r="D26" s="32" t="s">
        <v>803</v>
      </c>
      <c r="E26" s="33">
        <v>45215</v>
      </c>
      <c r="F26" s="33">
        <v>45218</v>
      </c>
      <c r="G26" s="32"/>
      <c r="H26" s="34" t="s">
        <v>358</v>
      </c>
      <c r="I26" s="34" t="s">
        <v>358</v>
      </c>
      <c r="J26" s="35"/>
      <c r="K26" s="35"/>
      <c r="L26" s="35" t="s">
        <v>152</v>
      </c>
      <c r="M26" s="35" t="s">
        <v>153</v>
      </c>
      <c r="N26" s="35" t="s">
        <v>154</v>
      </c>
      <c r="O26" s="35" t="s">
        <v>342</v>
      </c>
      <c r="P26" s="35" t="s">
        <v>359</v>
      </c>
      <c r="Q26" s="35" t="s">
        <v>157</v>
      </c>
      <c r="R26" s="35" t="s">
        <v>152</v>
      </c>
      <c r="S26" s="32" t="s">
        <v>360</v>
      </c>
      <c r="T26" s="32" t="s">
        <v>360</v>
      </c>
      <c r="U26" s="32" t="s">
        <v>361</v>
      </c>
      <c r="V26" s="32"/>
      <c r="W26" s="32"/>
      <c r="X26" s="35"/>
      <c r="Y26" s="35" t="s">
        <v>152</v>
      </c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 t="s">
        <v>152</v>
      </c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 t="s">
        <v>782</v>
      </c>
      <c r="BG26" s="32"/>
      <c r="BH26" s="32"/>
      <c r="BI26" s="32" t="s">
        <v>1083</v>
      </c>
      <c r="BJ26" s="32" t="s">
        <v>1084</v>
      </c>
      <c r="BK26" s="32"/>
      <c r="BL26" s="32"/>
      <c r="BM26" s="32"/>
      <c r="BN26" s="32"/>
      <c r="BO26" s="32"/>
      <c r="BP26" s="32" t="s">
        <v>762</v>
      </c>
      <c r="BQ26" s="32" t="s">
        <v>825</v>
      </c>
      <c r="BR26" s="32"/>
      <c r="BS26" s="32"/>
      <c r="BT26" s="32" t="s">
        <v>679</v>
      </c>
      <c r="BU26" s="32" t="s">
        <v>683</v>
      </c>
      <c r="BV26" s="38" t="s">
        <v>725</v>
      </c>
      <c r="BW26" s="32"/>
      <c r="BX26" s="38" t="s">
        <v>727</v>
      </c>
      <c r="BY26" s="32"/>
      <c r="BZ26" s="38" t="s">
        <v>728</v>
      </c>
      <c r="CA26" s="32"/>
      <c r="CB26" s="38" t="s">
        <v>735</v>
      </c>
      <c r="CC26" s="32"/>
      <c r="CD26" s="38" t="s">
        <v>743</v>
      </c>
      <c r="CE26" s="32"/>
      <c r="CF26" s="38" t="s">
        <v>731</v>
      </c>
      <c r="CG26" s="32"/>
      <c r="CH26" s="38" t="s">
        <v>732</v>
      </c>
      <c r="CI26" s="32"/>
      <c r="CJ26" s="38" t="s">
        <v>733</v>
      </c>
      <c r="CK26" s="32"/>
      <c r="CL26" s="38" t="s">
        <v>734</v>
      </c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6" t="s">
        <v>866</v>
      </c>
    </row>
    <row r="27" spans="1:146" s="39" customFormat="1">
      <c r="A27" s="31" t="s">
        <v>146</v>
      </c>
      <c r="B27" s="31" t="s">
        <v>147</v>
      </c>
      <c r="C27" s="32" t="s">
        <v>148</v>
      </c>
      <c r="D27" s="32" t="s">
        <v>803</v>
      </c>
      <c r="E27" s="33">
        <v>45215</v>
      </c>
      <c r="F27" s="33">
        <v>45218</v>
      </c>
      <c r="G27" s="32"/>
      <c r="H27" s="34" t="s">
        <v>362</v>
      </c>
      <c r="I27" s="34" t="s">
        <v>362</v>
      </c>
      <c r="J27" s="35"/>
      <c r="K27" s="35"/>
      <c r="L27" s="35" t="s">
        <v>152</v>
      </c>
      <c r="M27" s="35" t="s">
        <v>153</v>
      </c>
      <c r="N27" s="35" t="s">
        <v>154</v>
      </c>
      <c r="O27" s="35" t="s">
        <v>162</v>
      </c>
      <c r="P27" s="35" t="s">
        <v>363</v>
      </c>
      <c r="Q27" s="35" t="s">
        <v>157</v>
      </c>
      <c r="R27" s="35" t="s">
        <v>152</v>
      </c>
      <c r="S27" s="32" t="s">
        <v>364</v>
      </c>
      <c r="T27" s="32" t="s">
        <v>364</v>
      </c>
      <c r="U27" s="32" t="s">
        <v>365</v>
      </c>
      <c r="V27" s="32"/>
      <c r="W27" s="32"/>
      <c r="X27" s="35"/>
      <c r="Y27" s="35" t="s">
        <v>152</v>
      </c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 t="s">
        <v>152</v>
      </c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 t="s">
        <v>782</v>
      </c>
      <c r="BG27" s="32"/>
      <c r="BH27" s="32"/>
      <c r="BI27" s="32" t="s">
        <v>1077</v>
      </c>
      <c r="BJ27" s="32" t="s">
        <v>416</v>
      </c>
      <c r="BK27" s="32" t="s">
        <v>1078</v>
      </c>
      <c r="BL27" s="32"/>
      <c r="BM27" s="32"/>
      <c r="BN27" s="32"/>
      <c r="BO27" s="32"/>
      <c r="BP27" s="32" t="s">
        <v>762</v>
      </c>
      <c r="BQ27" s="32" t="s">
        <v>825</v>
      </c>
      <c r="BR27" s="32"/>
      <c r="BS27" s="32"/>
      <c r="BT27" s="32" t="s">
        <v>679</v>
      </c>
      <c r="BU27" s="32" t="s">
        <v>683</v>
      </c>
      <c r="BV27" s="38" t="s">
        <v>725</v>
      </c>
      <c r="BW27" s="32" t="s">
        <v>1085</v>
      </c>
      <c r="BX27" s="38" t="s">
        <v>727</v>
      </c>
      <c r="BY27" s="32"/>
      <c r="BZ27" s="38" t="s">
        <v>728</v>
      </c>
      <c r="CA27" s="32"/>
      <c r="CB27" s="38" t="s">
        <v>735</v>
      </c>
      <c r="CC27" s="32"/>
      <c r="CD27" s="38" t="s">
        <v>743</v>
      </c>
      <c r="CE27" s="32"/>
      <c r="CF27" s="38" t="s">
        <v>731</v>
      </c>
      <c r="CG27" s="32"/>
      <c r="CH27" s="38" t="s">
        <v>732</v>
      </c>
      <c r="CI27" s="32"/>
      <c r="CJ27" s="38" t="s">
        <v>733</v>
      </c>
      <c r="CK27" s="32"/>
      <c r="CL27" s="38" t="s">
        <v>734</v>
      </c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6" t="s">
        <v>866</v>
      </c>
    </row>
    <row r="28" spans="1:146" s="39" customFormat="1">
      <c r="A28" s="31" t="s">
        <v>146</v>
      </c>
      <c r="B28" s="31" t="s">
        <v>147</v>
      </c>
      <c r="C28" s="32" t="s">
        <v>148</v>
      </c>
      <c r="D28" s="32" t="s">
        <v>803</v>
      </c>
      <c r="E28" s="33">
        <v>45215</v>
      </c>
      <c r="F28" s="33">
        <v>45218</v>
      </c>
      <c r="G28" s="32"/>
      <c r="H28" s="34" t="s">
        <v>366</v>
      </c>
      <c r="I28" s="34" t="s">
        <v>366</v>
      </c>
      <c r="J28" s="35"/>
      <c r="K28" s="35"/>
      <c r="L28" s="35" t="s">
        <v>152</v>
      </c>
      <c r="M28" s="35" t="s">
        <v>153</v>
      </c>
      <c r="N28" s="35" t="s">
        <v>154</v>
      </c>
      <c r="O28" s="35" t="s">
        <v>162</v>
      </c>
      <c r="P28" s="35" t="s">
        <v>367</v>
      </c>
      <c r="Q28" s="35" t="s">
        <v>157</v>
      </c>
      <c r="R28" s="35" t="s">
        <v>152</v>
      </c>
      <c r="S28" s="32" t="s">
        <v>368</v>
      </c>
      <c r="T28" s="32" t="s">
        <v>368</v>
      </c>
      <c r="U28" s="32" t="s">
        <v>369</v>
      </c>
      <c r="V28" s="32"/>
      <c r="W28" s="32"/>
      <c r="X28" s="35"/>
      <c r="Y28" s="35" t="s">
        <v>152</v>
      </c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 t="s">
        <v>152</v>
      </c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 t="s">
        <v>782</v>
      </c>
      <c r="BG28" s="32"/>
      <c r="BH28" s="32"/>
      <c r="BI28" s="32" t="s">
        <v>1077</v>
      </c>
      <c r="BJ28" s="32" t="s">
        <v>416</v>
      </c>
      <c r="BK28" s="32" t="s">
        <v>1078</v>
      </c>
      <c r="BL28" s="32"/>
      <c r="BM28" s="32"/>
      <c r="BN28" s="32"/>
      <c r="BO28" s="32"/>
      <c r="BP28" s="32" t="s">
        <v>762</v>
      </c>
      <c r="BQ28" s="32" t="s">
        <v>825</v>
      </c>
      <c r="BR28" s="32"/>
      <c r="BS28" s="32"/>
      <c r="BT28" s="32" t="s">
        <v>679</v>
      </c>
      <c r="BU28" s="32" t="s">
        <v>683</v>
      </c>
      <c r="BV28" s="38" t="s">
        <v>725</v>
      </c>
      <c r="BW28" s="32" t="s">
        <v>1086</v>
      </c>
      <c r="BX28" s="38" t="s">
        <v>727</v>
      </c>
      <c r="BY28" s="32"/>
      <c r="BZ28" s="38" t="s">
        <v>728</v>
      </c>
      <c r="CA28" s="32"/>
      <c r="CB28" s="38" t="s">
        <v>735</v>
      </c>
      <c r="CC28" s="32"/>
      <c r="CD28" s="38" t="s">
        <v>743</v>
      </c>
      <c r="CE28" s="32"/>
      <c r="CF28" s="38" t="s">
        <v>731</v>
      </c>
      <c r="CG28" s="32"/>
      <c r="CH28" s="38" t="s">
        <v>732</v>
      </c>
      <c r="CI28" s="32"/>
      <c r="CJ28" s="38" t="s">
        <v>733</v>
      </c>
      <c r="CK28" s="32"/>
      <c r="CL28" s="38" t="s">
        <v>734</v>
      </c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6" t="s">
        <v>866</v>
      </c>
    </row>
    <row r="29" spans="1:146" s="39" customFormat="1">
      <c r="A29" s="31" t="s">
        <v>146</v>
      </c>
      <c r="B29" s="31" t="s">
        <v>147</v>
      </c>
      <c r="C29" s="32" t="s">
        <v>148</v>
      </c>
      <c r="D29" s="32" t="s">
        <v>803</v>
      </c>
      <c r="E29" s="33">
        <v>45215</v>
      </c>
      <c r="F29" s="33">
        <v>45218</v>
      </c>
      <c r="G29" s="32"/>
      <c r="H29" s="34" t="s">
        <v>370</v>
      </c>
      <c r="I29" s="34" t="s">
        <v>370</v>
      </c>
      <c r="J29" s="35"/>
      <c r="K29" s="35"/>
      <c r="L29" s="35" t="s">
        <v>152</v>
      </c>
      <c r="M29" s="35" t="s">
        <v>153</v>
      </c>
      <c r="N29" s="35" t="s">
        <v>154</v>
      </c>
      <c r="O29" s="35" t="s">
        <v>165</v>
      </c>
      <c r="P29" s="35" t="s">
        <v>371</v>
      </c>
      <c r="Q29" s="35" t="s">
        <v>157</v>
      </c>
      <c r="R29" s="35" t="s">
        <v>152</v>
      </c>
      <c r="S29" s="32" t="s">
        <v>372</v>
      </c>
      <c r="T29" s="32" t="s">
        <v>372</v>
      </c>
      <c r="U29" s="32" t="s">
        <v>373</v>
      </c>
      <c r="V29" s="32"/>
      <c r="W29" s="32"/>
      <c r="X29" s="35"/>
      <c r="Y29" s="35" t="s">
        <v>152</v>
      </c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 t="s">
        <v>152</v>
      </c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 t="s">
        <v>782</v>
      </c>
      <c r="BG29" s="32"/>
      <c r="BH29" s="32"/>
      <c r="BI29" s="32" t="s">
        <v>1088</v>
      </c>
      <c r="BJ29" s="32" t="s">
        <v>1087</v>
      </c>
      <c r="BK29" s="32"/>
      <c r="BL29" s="32"/>
      <c r="BM29" s="32"/>
      <c r="BN29" s="32"/>
      <c r="BO29" s="32"/>
      <c r="BP29" s="32" t="s">
        <v>762</v>
      </c>
      <c r="BQ29" s="32" t="s">
        <v>825</v>
      </c>
      <c r="BR29" s="32" t="s">
        <v>1089</v>
      </c>
      <c r="BS29" s="32"/>
      <c r="BT29" s="32" t="s">
        <v>679</v>
      </c>
      <c r="BU29" s="32" t="s">
        <v>683</v>
      </c>
      <c r="BV29" s="38" t="s">
        <v>725</v>
      </c>
      <c r="BX29" s="38" t="s">
        <v>727</v>
      </c>
      <c r="BY29" s="32"/>
      <c r="BZ29" s="38" t="s">
        <v>728</v>
      </c>
      <c r="CA29" s="32"/>
      <c r="CB29" s="38" t="s">
        <v>735</v>
      </c>
      <c r="CC29" s="32"/>
      <c r="CD29" s="38" t="s">
        <v>743</v>
      </c>
      <c r="CE29" s="32"/>
      <c r="CF29" s="38" t="s">
        <v>731</v>
      </c>
      <c r="CG29" s="32"/>
      <c r="CH29" s="38" t="s">
        <v>732</v>
      </c>
      <c r="CI29" s="32"/>
      <c r="CJ29" s="38" t="s">
        <v>733</v>
      </c>
      <c r="CK29" s="32"/>
      <c r="CL29" s="38" t="s">
        <v>734</v>
      </c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6" t="s">
        <v>866</v>
      </c>
    </row>
    <row r="30" spans="1:146" s="39" customFormat="1">
      <c r="A30" s="31" t="s">
        <v>146</v>
      </c>
      <c r="B30" s="31" t="s">
        <v>147</v>
      </c>
      <c r="C30" s="32" t="s">
        <v>148</v>
      </c>
      <c r="D30" s="32" t="s">
        <v>803</v>
      </c>
      <c r="E30" s="33">
        <v>45215</v>
      </c>
      <c r="F30" s="33">
        <v>45218</v>
      </c>
      <c r="G30" s="32"/>
      <c r="H30" s="34" t="s">
        <v>374</v>
      </c>
      <c r="I30" s="34" t="s">
        <v>374</v>
      </c>
      <c r="J30" s="35"/>
      <c r="K30" s="35"/>
      <c r="L30" s="35" t="s">
        <v>152</v>
      </c>
      <c r="M30" s="35" t="s">
        <v>153</v>
      </c>
      <c r="N30" s="35" t="s">
        <v>154</v>
      </c>
      <c r="O30" s="35" t="s">
        <v>165</v>
      </c>
      <c r="P30" s="35" t="s">
        <v>375</v>
      </c>
      <c r="Q30" s="35" t="s">
        <v>157</v>
      </c>
      <c r="R30" s="35" t="s">
        <v>152</v>
      </c>
      <c r="S30" s="32" t="s">
        <v>376</v>
      </c>
      <c r="T30" s="32" t="s">
        <v>376</v>
      </c>
      <c r="U30" s="32" t="s">
        <v>377</v>
      </c>
      <c r="V30" s="32"/>
      <c r="W30" s="32"/>
      <c r="X30" s="35"/>
      <c r="Y30" s="35" t="s">
        <v>152</v>
      </c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 t="s">
        <v>152</v>
      </c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 t="s">
        <v>782</v>
      </c>
      <c r="BG30" s="32"/>
      <c r="BH30" s="32"/>
      <c r="BI30" s="32"/>
      <c r="BJ30" s="32"/>
      <c r="BK30" s="32"/>
      <c r="BL30" s="32"/>
      <c r="BM30" s="32"/>
      <c r="BN30" s="32"/>
      <c r="BO30" s="32"/>
      <c r="BP30" s="32" t="s">
        <v>762</v>
      </c>
      <c r="BQ30" s="32" t="s">
        <v>825</v>
      </c>
      <c r="BR30" s="32" t="s">
        <v>1090</v>
      </c>
      <c r="BS30" s="32"/>
      <c r="BT30" s="32" t="s">
        <v>679</v>
      </c>
      <c r="BU30" s="32" t="s">
        <v>683</v>
      </c>
      <c r="BV30" s="38" t="s">
        <v>725</v>
      </c>
      <c r="BW30" s="32"/>
      <c r="BX30" s="38" t="s">
        <v>727</v>
      </c>
      <c r="BY30" s="32"/>
      <c r="BZ30" s="38" t="s">
        <v>728</v>
      </c>
      <c r="CA30" s="32"/>
      <c r="CB30" s="38" t="s">
        <v>735</v>
      </c>
      <c r="CC30" s="32"/>
      <c r="CD30" s="38" t="s">
        <v>743</v>
      </c>
      <c r="CE30" s="32"/>
      <c r="CF30" s="38" t="s">
        <v>731</v>
      </c>
      <c r="CG30" s="32"/>
      <c r="CH30" s="38" t="s">
        <v>732</v>
      </c>
      <c r="CI30" s="32"/>
      <c r="CJ30" s="38" t="s">
        <v>733</v>
      </c>
      <c r="CK30" s="32"/>
      <c r="CL30" s="38" t="s">
        <v>734</v>
      </c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6" t="s">
        <v>866</v>
      </c>
    </row>
    <row r="31" spans="1:146" s="39" customFormat="1">
      <c r="A31" s="31" t="s">
        <v>146</v>
      </c>
      <c r="B31" s="31" t="s">
        <v>147</v>
      </c>
      <c r="C31" s="32" t="s">
        <v>148</v>
      </c>
      <c r="D31" s="32" t="s">
        <v>803</v>
      </c>
      <c r="E31" s="33">
        <v>45215</v>
      </c>
      <c r="F31" s="33">
        <v>45218</v>
      </c>
      <c r="G31" s="32"/>
      <c r="H31" s="34" t="s">
        <v>391</v>
      </c>
      <c r="I31" s="34" t="s">
        <v>391</v>
      </c>
      <c r="J31" s="35"/>
      <c r="K31" s="35"/>
      <c r="L31" s="35" t="s">
        <v>152</v>
      </c>
      <c r="M31" s="35" t="s">
        <v>153</v>
      </c>
      <c r="N31" s="35" t="s">
        <v>154</v>
      </c>
      <c r="O31" s="35" t="s">
        <v>165</v>
      </c>
      <c r="P31" s="35" t="s">
        <v>392</v>
      </c>
      <c r="Q31" s="35" t="s">
        <v>157</v>
      </c>
      <c r="R31" s="35" t="s">
        <v>152</v>
      </c>
      <c r="S31" s="32" t="s">
        <v>393</v>
      </c>
      <c r="T31" s="32" t="s">
        <v>393</v>
      </c>
      <c r="U31" s="32" t="s">
        <v>394</v>
      </c>
      <c r="V31" s="32"/>
      <c r="W31" s="32"/>
      <c r="X31" s="35"/>
      <c r="Y31" s="35" t="s">
        <v>152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 t="s">
        <v>152</v>
      </c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 t="s">
        <v>782</v>
      </c>
      <c r="BG31" s="32"/>
      <c r="BH31" s="32"/>
      <c r="BI31" s="32" t="s">
        <v>1098</v>
      </c>
      <c r="BJ31" s="32"/>
      <c r="BK31" s="32" t="s">
        <v>1097</v>
      </c>
      <c r="BL31" s="32"/>
      <c r="BM31" s="32"/>
      <c r="BN31" s="32"/>
      <c r="BO31" s="32"/>
      <c r="BP31" s="32" t="s">
        <v>762</v>
      </c>
      <c r="BQ31" s="32" t="s">
        <v>825</v>
      </c>
      <c r="BR31" s="32"/>
      <c r="BS31" s="32"/>
      <c r="BT31" s="32" t="s">
        <v>679</v>
      </c>
      <c r="BU31" s="32" t="s">
        <v>683</v>
      </c>
      <c r="BV31" s="38" t="s">
        <v>725</v>
      </c>
      <c r="BW31" s="32" t="s">
        <v>1099</v>
      </c>
      <c r="BX31" s="38" t="s">
        <v>727</v>
      </c>
      <c r="BY31" s="32"/>
      <c r="BZ31" s="38" t="s">
        <v>728</v>
      </c>
      <c r="CA31" s="32"/>
      <c r="CB31" s="38" t="s">
        <v>735</v>
      </c>
      <c r="CC31" s="32"/>
      <c r="CD31" s="38" t="s">
        <v>743</v>
      </c>
      <c r="CE31" s="32" t="s">
        <v>1100</v>
      </c>
      <c r="CF31" s="38" t="s">
        <v>731</v>
      </c>
      <c r="CG31" s="32"/>
      <c r="CH31" s="38" t="s">
        <v>732</v>
      </c>
      <c r="CI31" s="32"/>
      <c r="CJ31" s="38" t="s">
        <v>733</v>
      </c>
      <c r="CK31" s="32"/>
      <c r="CL31" s="38" t="s">
        <v>734</v>
      </c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6" t="s">
        <v>866</v>
      </c>
    </row>
    <row r="32" spans="1:146" s="39" customFormat="1">
      <c r="A32" s="31" t="s">
        <v>146</v>
      </c>
      <c r="B32" s="31" t="s">
        <v>147</v>
      </c>
      <c r="C32" s="32" t="s">
        <v>148</v>
      </c>
      <c r="D32" s="32" t="s">
        <v>803</v>
      </c>
      <c r="E32" s="33">
        <v>45215</v>
      </c>
      <c r="F32" s="33">
        <v>45218</v>
      </c>
      <c r="G32" s="32"/>
      <c r="H32" s="34" t="s">
        <v>400</v>
      </c>
      <c r="I32" s="34" t="s">
        <v>400</v>
      </c>
      <c r="J32" s="35"/>
      <c r="K32" s="35"/>
      <c r="L32" s="35" t="s">
        <v>152</v>
      </c>
      <c r="M32" s="35" t="s">
        <v>153</v>
      </c>
      <c r="N32" s="35" t="s">
        <v>154</v>
      </c>
      <c r="O32" s="35" t="s">
        <v>155</v>
      </c>
      <c r="P32" s="35" t="s">
        <v>401</v>
      </c>
      <c r="Q32" s="35" t="s">
        <v>157</v>
      </c>
      <c r="R32" s="35" t="s">
        <v>152</v>
      </c>
      <c r="S32" s="32" t="s">
        <v>402</v>
      </c>
      <c r="T32" s="32" t="s">
        <v>402</v>
      </c>
      <c r="U32" s="32" t="s">
        <v>402</v>
      </c>
      <c r="V32" s="32"/>
      <c r="W32" s="32"/>
      <c r="X32" s="35"/>
      <c r="Y32" s="35" t="s">
        <v>152</v>
      </c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 t="s">
        <v>152</v>
      </c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 t="s">
        <v>782</v>
      </c>
      <c r="BG32" s="32"/>
      <c r="BH32" s="32"/>
      <c r="BI32" s="36" t="s">
        <v>1083</v>
      </c>
      <c r="BJ32" s="36" t="s">
        <v>1084</v>
      </c>
      <c r="BK32" s="36" t="s">
        <v>1102</v>
      </c>
      <c r="BL32" s="36"/>
      <c r="BM32" s="32"/>
      <c r="BN32" s="32"/>
      <c r="BO32" s="32"/>
      <c r="BP32" s="32" t="s">
        <v>762</v>
      </c>
      <c r="BQ32" s="32" t="s">
        <v>825</v>
      </c>
      <c r="BR32" s="32"/>
      <c r="BS32" s="32"/>
      <c r="BT32" s="32" t="s">
        <v>679</v>
      </c>
      <c r="BU32" s="32" t="s">
        <v>683</v>
      </c>
      <c r="BV32" s="38" t="s">
        <v>725</v>
      </c>
      <c r="BW32" s="32"/>
      <c r="BX32" s="38" t="s">
        <v>727</v>
      </c>
      <c r="BY32" s="32"/>
      <c r="BZ32" s="38" t="s">
        <v>728</v>
      </c>
      <c r="CA32" s="32"/>
      <c r="CB32" s="38" t="s">
        <v>735</v>
      </c>
      <c r="CC32" s="32"/>
      <c r="CD32" s="38" t="s">
        <v>743</v>
      </c>
      <c r="CE32" s="32"/>
      <c r="CF32" s="38" t="s">
        <v>731</v>
      </c>
      <c r="CG32" s="32"/>
      <c r="CH32" s="38" t="s">
        <v>732</v>
      </c>
      <c r="CI32" s="32"/>
      <c r="CJ32" s="38" t="s">
        <v>733</v>
      </c>
      <c r="CK32" s="32"/>
      <c r="CL32" s="38" t="s">
        <v>734</v>
      </c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6" t="s">
        <v>866</v>
      </c>
    </row>
    <row r="33" spans="1:146" s="39" customFormat="1">
      <c r="A33" s="31" t="s">
        <v>146</v>
      </c>
      <c r="B33" s="31" t="s">
        <v>147</v>
      </c>
      <c r="C33" s="32" t="s">
        <v>148</v>
      </c>
      <c r="D33" s="32" t="s">
        <v>803</v>
      </c>
      <c r="E33" s="33">
        <v>45215</v>
      </c>
      <c r="F33" s="33">
        <v>45218</v>
      </c>
      <c r="G33" s="32"/>
      <c r="H33" s="34" t="s">
        <v>403</v>
      </c>
      <c r="I33" s="34" t="s">
        <v>403</v>
      </c>
      <c r="J33" s="35"/>
      <c r="K33" s="35"/>
      <c r="L33" s="35" t="s">
        <v>152</v>
      </c>
      <c r="M33" s="35" t="s">
        <v>153</v>
      </c>
      <c r="N33" s="35" t="s">
        <v>154</v>
      </c>
      <c r="O33" s="35" t="s">
        <v>162</v>
      </c>
      <c r="P33" s="35" t="s">
        <v>404</v>
      </c>
      <c r="Q33" s="35" t="s">
        <v>157</v>
      </c>
      <c r="R33" s="35" t="s">
        <v>152</v>
      </c>
      <c r="S33" s="32" t="s">
        <v>405</v>
      </c>
      <c r="T33" s="32" t="s">
        <v>405</v>
      </c>
      <c r="U33" s="32" t="s">
        <v>405</v>
      </c>
      <c r="V33" s="32"/>
      <c r="W33" s="32"/>
      <c r="X33" s="35"/>
      <c r="Y33" s="35" t="s">
        <v>152</v>
      </c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 t="s">
        <v>152</v>
      </c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 t="s">
        <v>782</v>
      </c>
      <c r="BG33" s="32"/>
      <c r="BH33" s="32"/>
      <c r="BI33" s="32"/>
      <c r="BJ33" s="32"/>
      <c r="BK33" s="32"/>
      <c r="BL33" s="32"/>
      <c r="BM33" s="32"/>
      <c r="BN33" s="32"/>
      <c r="BO33" s="32"/>
      <c r="BP33" s="32" t="s">
        <v>762</v>
      </c>
      <c r="BQ33" s="32" t="s">
        <v>825</v>
      </c>
      <c r="BR33" s="32"/>
      <c r="BS33" s="32"/>
      <c r="BT33" s="32" t="s">
        <v>679</v>
      </c>
      <c r="BU33" s="32" t="s">
        <v>683</v>
      </c>
      <c r="BV33" s="38" t="s">
        <v>725</v>
      </c>
      <c r="BW33" s="32" t="s">
        <v>1104</v>
      </c>
      <c r="BX33" s="38" t="s">
        <v>727</v>
      </c>
      <c r="BY33" s="32"/>
      <c r="BZ33" s="38" t="s">
        <v>728</v>
      </c>
      <c r="CA33" s="32"/>
      <c r="CB33" s="38" t="s">
        <v>735</v>
      </c>
      <c r="CC33" s="32"/>
      <c r="CD33" s="38" t="s">
        <v>743</v>
      </c>
      <c r="CE33" s="32"/>
      <c r="CF33" s="38" t="s">
        <v>731</v>
      </c>
      <c r="CG33" s="32"/>
      <c r="CH33" s="38" t="s">
        <v>732</v>
      </c>
      <c r="CI33" s="32"/>
      <c r="CJ33" s="38" t="s">
        <v>733</v>
      </c>
      <c r="CK33" s="32"/>
      <c r="CL33" s="38" t="s">
        <v>734</v>
      </c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6" t="s">
        <v>866</v>
      </c>
    </row>
    <row r="34" spans="1:146" s="39" customFormat="1">
      <c r="A34" s="31" t="s">
        <v>146</v>
      </c>
      <c r="B34" s="31" t="s">
        <v>147</v>
      </c>
      <c r="C34" s="32" t="s">
        <v>148</v>
      </c>
      <c r="D34" s="32" t="s">
        <v>803</v>
      </c>
      <c r="E34" s="33">
        <v>45215</v>
      </c>
      <c r="F34" s="33">
        <v>45218</v>
      </c>
      <c r="G34" s="32"/>
      <c r="H34" s="34" t="s">
        <v>406</v>
      </c>
      <c r="I34" s="34" t="s">
        <v>406</v>
      </c>
      <c r="J34" s="35"/>
      <c r="K34" s="35"/>
      <c r="L34" s="35" t="s">
        <v>152</v>
      </c>
      <c r="M34" s="35" t="s">
        <v>153</v>
      </c>
      <c r="N34" s="35" t="s">
        <v>154</v>
      </c>
      <c r="O34" s="35" t="s">
        <v>155</v>
      </c>
      <c r="P34" s="35" t="s">
        <v>407</v>
      </c>
      <c r="Q34" s="35" t="s">
        <v>157</v>
      </c>
      <c r="R34" s="35" t="s">
        <v>152</v>
      </c>
      <c r="S34" s="32" t="s">
        <v>408</v>
      </c>
      <c r="T34" s="32" t="s">
        <v>408</v>
      </c>
      <c r="U34" s="32" t="s">
        <v>409</v>
      </c>
      <c r="V34" s="32"/>
      <c r="W34" s="32"/>
      <c r="X34" s="35"/>
      <c r="Y34" s="35" t="s">
        <v>152</v>
      </c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 t="s">
        <v>152</v>
      </c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 t="s">
        <v>782</v>
      </c>
      <c r="BG34" s="32"/>
      <c r="BH34" s="32"/>
      <c r="BI34" s="32" t="s">
        <v>1083</v>
      </c>
      <c r="BJ34" s="32" t="s">
        <v>1084</v>
      </c>
      <c r="BK34" s="32" t="s">
        <v>1102</v>
      </c>
      <c r="BL34" s="32"/>
      <c r="BM34" s="32"/>
      <c r="BN34" s="32"/>
      <c r="BO34" s="32"/>
      <c r="BP34" s="32" t="s">
        <v>762</v>
      </c>
      <c r="BQ34" s="32" t="s">
        <v>825</v>
      </c>
      <c r="BR34" s="32"/>
      <c r="BS34" s="32"/>
      <c r="BT34" s="32" t="s">
        <v>679</v>
      </c>
      <c r="BU34" s="32" t="s">
        <v>683</v>
      </c>
      <c r="BV34" s="38" t="s">
        <v>725</v>
      </c>
      <c r="BW34" s="32" t="s">
        <v>1105</v>
      </c>
      <c r="BX34" s="38" t="s">
        <v>727</v>
      </c>
      <c r="BY34" s="32"/>
      <c r="BZ34" s="38" t="s">
        <v>728</v>
      </c>
      <c r="CA34" s="32"/>
      <c r="CB34" s="38" t="s">
        <v>735</v>
      </c>
      <c r="CC34" s="32"/>
      <c r="CD34" s="38" t="s">
        <v>743</v>
      </c>
      <c r="CE34" s="32"/>
      <c r="CF34" s="38" t="s">
        <v>731</v>
      </c>
      <c r="CG34" s="32"/>
      <c r="CH34" s="38" t="s">
        <v>732</v>
      </c>
      <c r="CI34" s="32"/>
      <c r="CJ34" s="38" t="s">
        <v>733</v>
      </c>
      <c r="CK34" s="32"/>
      <c r="CL34" s="38" t="s">
        <v>734</v>
      </c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6" t="s">
        <v>866</v>
      </c>
    </row>
    <row r="35" spans="1:146" s="39" customFormat="1">
      <c r="A35" s="31" t="s">
        <v>146</v>
      </c>
      <c r="B35" s="31" t="s">
        <v>147</v>
      </c>
      <c r="C35" s="32" t="s">
        <v>148</v>
      </c>
      <c r="D35" s="32" t="s">
        <v>803</v>
      </c>
      <c r="E35" s="33">
        <v>45215</v>
      </c>
      <c r="F35" s="33">
        <v>45218</v>
      </c>
      <c r="G35" s="32"/>
      <c r="H35" s="34" t="s">
        <v>203</v>
      </c>
      <c r="I35" s="34" t="s">
        <v>203</v>
      </c>
      <c r="J35" s="35" t="s">
        <v>204</v>
      </c>
      <c r="K35" s="35" t="s">
        <v>205</v>
      </c>
      <c r="L35" s="35" t="s">
        <v>152</v>
      </c>
      <c r="M35" s="35" t="s">
        <v>153</v>
      </c>
      <c r="N35" s="35" t="s">
        <v>154</v>
      </c>
      <c r="O35" s="35" t="s">
        <v>155</v>
      </c>
      <c r="P35" s="35" t="s">
        <v>206</v>
      </c>
      <c r="Q35" s="35" t="s">
        <v>157</v>
      </c>
      <c r="R35" s="35" t="s">
        <v>152</v>
      </c>
      <c r="S35" s="32" t="s">
        <v>207</v>
      </c>
      <c r="T35" s="32" t="s">
        <v>207</v>
      </c>
      <c r="U35" s="32" t="s">
        <v>207</v>
      </c>
      <c r="V35" s="32"/>
      <c r="W35" s="32" t="s">
        <v>207</v>
      </c>
      <c r="X35" s="35"/>
      <c r="Y35" s="35" t="s">
        <v>152</v>
      </c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 t="s">
        <v>152</v>
      </c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 t="s">
        <v>782</v>
      </c>
      <c r="BG35" s="32"/>
      <c r="BH35" s="32"/>
      <c r="BI35" s="32"/>
      <c r="BJ35" s="32"/>
      <c r="BK35" s="32"/>
      <c r="BL35" s="32"/>
      <c r="BM35" s="32"/>
      <c r="BN35" s="32"/>
      <c r="BO35" s="32"/>
      <c r="BP35" s="32" t="s">
        <v>762</v>
      </c>
      <c r="BQ35" s="32" t="s">
        <v>828</v>
      </c>
      <c r="BR35" s="32"/>
      <c r="BS35" s="32"/>
      <c r="BT35" s="32" t="s">
        <v>679</v>
      </c>
      <c r="BU35" s="32" t="s">
        <v>689</v>
      </c>
      <c r="BV35" s="38" t="s">
        <v>725</v>
      </c>
      <c r="BW35" s="32" t="s">
        <v>818</v>
      </c>
      <c r="BX35" s="38" t="s">
        <v>727</v>
      </c>
      <c r="BY35" s="32"/>
      <c r="BZ35" s="38" t="s">
        <v>728</v>
      </c>
      <c r="CA35" s="32"/>
      <c r="CB35" s="38" t="s">
        <v>729</v>
      </c>
      <c r="CC35" s="32"/>
      <c r="CD35" s="38" t="s">
        <v>743</v>
      </c>
      <c r="CE35" s="32"/>
      <c r="CF35" s="38" t="s">
        <v>726</v>
      </c>
      <c r="CG35" s="32"/>
      <c r="CH35" s="38" t="s">
        <v>733</v>
      </c>
      <c r="CI35" s="32"/>
      <c r="CJ35" s="38" t="s">
        <v>734</v>
      </c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6" t="s">
        <v>866</v>
      </c>
    </row>
    <row r="36" spans="1:146" s="39" customFormat="1">
      <c r="A36" s="31" t="s">
        <v>146</v>
      </c>
      <c r="B36" s="31" t="s">
        <v>147</v>
      </c>
      <c r="C36" s="32" t="s">
        <v>148</v>
      </c>
      <c r="D36" s="32" t="s">
        <v>803</v>
      </c>
      <c r="E36" s="33">
        <v>45215</v>
      </c>
      <c r="F36" s="33">
        <v>45218</v>
      </c>
      <c r="G36" s="32"/>
      <c r="H36" s="34" t="s">
        <v>208</v>
      </c>
      <c r="I36" s="34" t="s">
        <v>208</v>
      </c>
      <c r="J36" s="35"/>
      <c r="K36" s="35"/>
      <c r="L36" s="35" t="s">
        <v>152</v>
      </c>
      <c r="M36" s="35" t="s">
        <v>153</v>
      </c>
      <c r="N36" s="35" t="s">
        <v>154</v>
      </c>
      <c r="O36" s="35" t="s">
        <v>166</v>
      </c>
      <c r="P36" s="35" t="s">
        <v>209</v>
      </c>
      <c r="Q36" s="35" t="s">
        <v>157</v>
      </c>
      <c r="R36" s="35" t="s">
        <v>152</v>
      </c>
      <c r="S36" s="32" t="s">
        <v>210</v>
      </c>
      <c r="T36" s="32" t="s">
        <v>210</v>
      </c>
      <c r="U36" s="32" t="s">
        <v>211</v>
      </c>
      <c r="V36" s="32"/>
      <c r="W36" s="32"/>
      <c r="X36" s="35"/>
      <c r="Y36" s="35" t="s">
        <v>152</v>
      </c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 t="s">
        <v>152</v>
      </c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 t="s">
        <v>782</v>
      </c>
      <c r="BG36" s="32"/>
      <c r="BH36" s="32"/>
      <c r="BI36" s="32" t="s">
        <v>852</v>
      </c>
      <c r="BJ36" s="32" t="s">
        <v>879</v>
      </c>
      <c r="BK36" s="32" t="s">
        <v>1114</v>
      </c>
      <c r="BL36" s="32"/>
      <c r="BM36" s="32"/>
      <c r="BN36" s="32"/>
      <c r="BO36" s="32"/>
      <c r="BP36" s="32" t="s">
        <v>762</v>
      </c>
      <c r="BQ36" s="32" t="s">
        <v>828</v>
      </c>
      <c r="BR36" s="32"/>
      <c r="BS36" s="32"/>
      <c r="BT36" s="32" t="s">
        <v>679</v>
      </c>
      <c r="BU36" s="32" t="s">
        <v>689</v>
      </c>
      <c r="BV36" s="38" t="s">
        <v>725</v>
      </c>
      <c r="BW36" s="32" t="s">
        <v>1113</v>
      </c>
      <c r="BX36" s="38" t="s">
        <v>727</v>
      </c>
      <c r="BY36" s="32"/>
      <c r="BZ36" s="38" t="s">
        <v>728</v>
      </c>
      <c r="CA36" s="32"/>
      <c r="CB36" s="38" t="s">
        <v>729</v>
      </c>
      <c r="CC36" s="32"/>
      <c r="CD36" s="38" t="s">
        <v>743</v>
      </c>
      <c r="CE36" s="32"/>
      <c r="CF36" s="38" t="s">
        <v>726</v>
      </c>
      <c r="CG36" s="32"/>
      <c r="CH36" s="38" t="s">
        <v>733</v>
      </c>
      <c r="CI36" s="32"/>
      <c r="CJ36" s="38" t="s">
        <v>734</v>
      </c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6" t="s">
        <v>866</v>
      </c>
    </row>
    <row r="37" spans="1:146" s="39" customFormat="1">
      <c r="A37" s="31" t="s">
        <v>146</v>
      </c>
      <c r="B37" s="31" t="s">
        <v>147</v>
      </c>
      <c r="C37" s="32" t="s">
        <v>148</v>
      </c>
      <c r="D37" s="32" t="s">
        <v>803</v>
      </c>
      <c r="E37" s="33">
        <v>45215</v>
      </c>
      <c r="F37" s="33">
        <v>45218</v>
      </c>
      <c r="G37" s="32"/>
      <c r="H37" s="34" t="s">
        <v>212</v>
      </c>
      <c r="I37" s="34" t="s">
        <v>212</v>
      </c>
      <c r="J37" s="35"/>
      <c r="K37" s="35"/>
      <c r="L37" s="35" t="s">
        <v>152</v>
      </c>
      <c r="M37" s="35" t="s">
        <v>153</v>
      </c>
      <c r="N37" s="35" t="s">
        <v>154</v>
      </c>
      <c r="O37" s="35" t="s">
        <v>166</v>
      </c>
      <c r="P37" s="35" t="s">
        <v>213</v>
      </c>
      <c r="Q37" s="35" t="s">
        <v>157</v>
      </c>
      <c r="R37" s="35" t="s">
        <v>152</v>
      </c>
      <c r="S37" s="32" t="s">
        <v>210</v>
      </c>
      <c r="T37" s="32" t="s">
        <v>210</v>
      </c>
      <c r="U37" s="32" t="s">
        <v>211</v>
      </c>
      <c r="V37" s="32"/>
      <c r="W37" s="32"/>
      <c r="X37" s="35"/>
      <c r="Y37" s="35" t="s">
        <v>152</v>
      </c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 t="s">
        <v>152</v>
      </c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 t="s">
        <v>782</v>
      </c>
      <c r="BG37" s="32"/>
      <c r="BH37" s="32"/>
      <c r="BI37" s="32" t="s">
        <v>852</v>
      </c>
      <c r="BJ37" s="32" t="s">
        <v>879</v>
      </c>
      <c r="BK37" s="32" t="s">
        <v>1114</v>
      </c>
      <c r="BL37" s="32"/>
      <c r="BM37" s="32"/>
      <c r="BN37" s="32"/>
      <c r="BO37" s="32"/>
      <c r="BP37" s="32" t="s">
        <v>762</v>
      </c>
      <c r="BQ37" s="32" t="s">
        <v>828</v>
      </c>
      <c r="BR37" s="32"/>
      <c r="BS37" s="32"/>
      <c r="BT37" s="32" t="s">
        <v>679</v>
      </c>
      <c r="BU37" s="32" t="s">
        <v>689</v>
      </c>
      <c r="BV37" s="38" t="s">
        <v>725</v>
      </c>
      <c r="BW37" s="32" t="s">
        <v>1113</v>
      </c>
      <c r="BX37" s="38" t="s">
        <v>727</v>
      </c>
      <c r="BY37" s="32"/>
      <c r="BZ37" s="38" t="s">
        <v>728</v>
      </c>
      <c r="CA37" s="32"/>
      <c r="CB37" s="38" t="s">
        <v>729</v>
      </c>
      <c r="CC37" s="32"/>
      <c r="CD37" s="38" t="s">
        <v>743</v>
      </c>
      <c r="CE37" s="32"/>
      <c r="CF37" s="38" t="s">
        <v>726</v>
      </c>
      <c r="CG37" s="32"/>
      <c r="CH37" s="38" t="s">
        <v>733</v>
      </c>
      <c r="CI37" s="32"/>
      <c r="CJ37" s="38" t="s">
        <v>734</v>
      </c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6" t="s">
        <v>866</v>
      </c>
    </row>
    <row r="38" spans="1:146" s="39" customFormat="1">
      <c r="A38" s="31" t="s">
        <v>146</v>
      </c>
      <c r="B38" s="31" t="s">
        <v>147</v>
      </c>
      <c r="C38" s="32" t="s">
        <v>148</v>
      </c>
      <c r="D38" s="32" t="s">
        <v>803</v>
      </c>
      <c r="E38" s="33">
        <v>45215</v>
      </c>
      <c r="F38" s="33">
        <v>45218</v>
      </c>
      <c r="G38" s="32"/>
      <c r="H38" s="34" t="s">
        <v>214</v>
      </c>
      <c r="I38" s="34" t="s">
        <v>214</v>
      </c>
      <c r="J38" s="35"/>
      <c r="K38" s="35"/>
      <c r="L38" s="35" t="s">
        <v>152</v>
      </c>
      <c r="M38" s="35" t="s">
        <v>153</v>
      </c>
      <c r="N38" s="35" t="s">
        <v>154</v>
      </c>
      <c r="O38" s="35" t="s">
        <v>165</v>
      </c>
      <c r="P38" s="35" t="s">
        <v>215</v>
      </c>
      <c r="Q38" s="35" t="s">
        <v>157</v>
      </c>
      <c r="R38" s="35" t="s">
        <v>152</v>
      </c>
      <c r="S38" s="32" t="s">
        <v>216</v>
      </c>
      <c r="T38" s="32" t="s">
        <v>216</v>
      </c>
      <c r="U38" s="32" t="s">
        <v>217</v>
      </c>
      <c r="V38" s="32"/>
      <c r="W38" s="32"/>
      <c r="X38" s="35"/>
      <c r="Y38" s="35" t="s">
        <v>152</v>
      </c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 t="s">
        <v>152</v>
      </c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 t="s">
        <v>782</v>
      </c>
      <c r="BG38" s="32"/>
      <c r="BH38" s="32"/>
      <c r="BI38" s="32" t="s">
        <v>918</v>
      </c>
      <c r="BJ38" s="32" t="s">
        <v>1116</v>
      </c>
      <c r="BK38" s="32" t="s">
        <v>1117</v>
      </c>
      <c r="BL38" s="32"/>
      <c r="BM38" s="32"/>
      <c r="BN38" s="32"/>
      <c r="BO38" s="32"/>
      <c r="BP38" s="32" t="s">
        <v>762</v>
      </c>
      <c r="BQ38" s="32" t="s">
        <v>828</v>
      </c>
      <c r="BR38" s="32" t="s">
        <v>1115</v>
      </c>
      <c r="BS38" s="32"/>
      <c r="BT38" s="32" t="s">
        <v>679</v>
      </c>
      <c r="BU38" s="32" t="s">
        <v>689</v>
      </c>
      <c r="BV38" s="38" t="s">
        <v>725</v>
      </c>
      <c r="BW38" s="32" t="s">
        <v>818</v>
      </c>
      <c r="BX38" s="38" t="s">
        <v>727</v>
      </c>
      <c r="BY38" s="32"/>
      <c r="BZ38" s="38" t="s">
        <v>728</v>
      </c>
      <c r="CA38" s="32"/>
      <c r="CB38" s="38" t="s">
        <v>729</v>
      </c>
      <c r="CC38" s="32"/>
      <c r="CD38" s="38" t="s">
        <v>743</v>
      </c>
      <c r="CE38" s="32"/>
      <c r="CF38" s="38" t="s">
        <v>726</v>
      </c>
      <c r="CG38" s="32"/>
      <c r="CH38" s="38" t="s">
        <v>733</v>
      </c>
      <c r="CI38" s="32"/>
      <c r="CJ38" s="38" t="s">
        <v>734</v>
      </c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6" t="s">
        <v>866</v>
      </c>
    </row>
    <row r="39" spans="1:146" s="39" customFormat="1">
      <c r="A39" s="31" t="s">
        <v>146</v>
      </c>
      <c r="B39" s="31" t="s">
        <v>147</v>
      </c>
      <c r="C39" s="32" t="s">
        <v>148</v>
      </c>
      <c r="D39" s="32" t="s">
        <v>803</v>
      </c>
      <c r="E39" s="33">
        <v>45215</v>
      </c>
      <c r="F39" s="33">
        <v>45218</v>
      </c>
      <c r="G39" s="32"/>
      <c r="H39" s="34" t="s">
        <v>218</v>
      </c>
      <c r="I39" s="34" t="s">
        <v>218</v>
      </c>
      <c r="J39" s="35"/>
      <c r="K39" s="35"/>
      <c r="L39" s="35" t="s">
        <v>152</v>
      </c>
      <c r="M39" s="35" t="s">
        <v>153</v>
      </c>
      <c r="N39" s="35" t="s">
        <v>154</v>
      </c>
      <c r="O39" s="35" t="s">
        <v>165</v>
      </c>
      <c r="P39" s="35" t="s">
        <v>219</v>
      </c>
      <c r="Q39" s="35" t="s">
        <v>157</v>
      </c>
      <c r="R39" s="35" t="s">
        <v>152</v>
      </c>
      <c r="S39" s="32" t="s">
        <v>220</v>
      </c>
      <c r="T39" s="32" t="s">
        <v>220</v>
      </c>
      <c r="U39" s="32" t="s">
        <v>221</v>
      </c>
      <c r="V39" s="32"/>
      <c r="W39" s="32"/>
      <c r="X39" s="35"/>
      <c r="Y39" s="35" t="s">
        <v>152</v>
      </c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 t="s">
        <v>152</v>
      </c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 t="s">
        <v>782</v>
      </c>
      <c r="BG39" s="32"/>
      <c r="BH39" s="32"/>
      <c r="BI39" s="32"/>
      <c r="BJ39" s="32"/>
      <c r="BK39" s="32"/>
      <c r="BL39" s="32"/>
      <c r="BM39" s="32"/>
      <c r="BN39" s="32"/>
      <c r="BO39" s="32"/>
      <c r="BP39" s="32" t="s">
        <v>762</v>
      </c>
      <c r="BQ39" s="32" t="s">
        <v>828</v>
      </c>
      <c r="BR39" s="32" t="s">
        <v>1119</v>
      </c>
      <c r="BS39" s="32"/>
      <c r="BT39" s="32" t="s">
        <v>679</v>
      </c>
      <c r="BU39" s="32" t="s">
        <v>689</v>
      </c>
      <c r="BV39" s="38" t="s">
        <v>725</v>
      </c>
      <c r="BW39" s="32" t="s">
        <v>857</v>
      </c>
      <c r="BX39" s="38" t="s">
        <v>727</v>
      </c>
      <c r="BY39" s="32" t="s">
        <v>815</v>
      </c>
      <c r="BZ39" s="38" t="s">
        <v>728</v>
      </c>
      <c r="CA39" s="32" t="s">
        <v>823</v>
      </c>
      <c r="CB39" s="38" t="s">
        <v>729</v>
      </c>
      <c r="CC39" s="32" t="s">
        <v>863</v>
      </c>
      <c r="CD39" s="38" t="s">
        <v>743</v>
      </c>
      <c r="CE39" s="32" t="s">
        <v>1118</v>
      </c>
      <c r="CF39" s="38" t="s">
        <v>726</v>
      </c>
      <c r="CG39" s="32" t="s">
        <v>769</v>
      </c>
      <c r="CH39" s="38" t="s">
        <v>733</v>
      </c>
      <c r="CI39" s="32"/>
      <c r="CJ39" s="38" t="s">
        <v>734</v>
      </c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6" t="s">
        <v>866</v>
      </c>
    </row>
    <row r="40" spans="1:146" s="39" customFormat="1">
      <c r="A40" s="31" t="s">
        <v>146</v>
      </c>
      <c r="B40" s="31" t="s">
        <v>147</v>
      </c>
      <c r="C40" s="32" t="s">
        <v>148</v>
      </c>
      <c r="D40" s="32" t="s">
        <v>803</v>
      </c>
      <c r="E40" s="33">
        <v>45215</v>
      </c>
      <c r="F40" s="33">
        <v>45218</v>
      </c>
      <c r="G40" s="32"/>
      <c r="H40" s="34" t="s">
        <v>222</v>
      </c>
      <c r="I40" s="34" t="s">
        <v>222</v>
      </c>
      <c r="J40" s="35"/>
      <c r="K40" s="35"/>
      <c r="L40" s="35" t="s">
        <v>152</v>
      </c>
      <c r="M40" s="35" t="s">
        <v>153</v>
      </c>
      <c r="N40" s="35" t="s">
        <v>154</v>
      </c>
      <c r="O40" s="35" t="s">
        <v>166</v>
      </c>
      <c r="P40" s="35" t="s">
        <v>223</v>
      </c>
      <c r="Q40" s="35" t="s">
        <v>157</v>
      </c>
      <c r="R40" s="35" t="s">
        <v>152</v>
      </c>
      <c r="S40" s="32" t="s">
        <v>224</v>
      </c>
      <c r="T40" s="32" t="s">
        <v>224</v>
      </c>
      <c r="U40" s="32" t="s">
        <v>225</v>
      </c>
      <c r="V40" s="32"/>
      <c r="W40" s="32"/>
      <c r="X40" s="35"/>
      <c r="Y40" s="35" t="s">
        <v>152</v>
      </c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 t="s">
        <v>152</v>
      </c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 t="s">
        <v>782</v>
      </c>
      <c r="BG40" s="32"/>
      <c r="BH40" s="32"/>
      <c r="BI40" s="32" t="s">
        <v>1121</v>
      </c>
      <c r="BJ40" s="32" t="s">
        <v>1122</v>
      </c>
      <c r="BK40" s="32" t="s">
        <v>1123</v>
      </c>
      <c r="BL40" s="32"/>
      <c r="BM40" s="32"/>
      <c r="BN40" s="32"/>
      <c r="BO40" s="32"/>
      <c r="BP40" s="32" t="s">
        <v>762</v>
      </c>
      <c r="BQ40" s="32" t="s">
        <v>828</v>
      </c>
      <c r="BR40" s="32" t="s">
        <v>1120</v>
      </c>
      <c r="BS40" s="32"/>
      <c r="BT40" s="32" t="s">
        <v>679</v>
      </c>
      <c r="BU40" s="32" t="s">
        <v>689</v>
      </c>
      <c r="BV40" s="38" t="s">
        <v>725</v>
      </c>
      <c r="BW40" s="32" t="s">
        <v>857</v>
      </c>
      <c r="BX40" s="38" t="s">
        <v>727</v>
      </c>
      <c r="BY40" s="32"/>
      <c r="BZ40" s="38" t="s">
        <v>728</v>
      </c>
      <c r="CA40" s="32"/>
      <c r="CB40" s="38" t="s">
        <v>729</v>
      </c>
      <c r="CC40" s="32"/>
      <c r="CD40" s="38" t="s">
        <v>743</v>
      </c>
      <c r="CE40" s="32"/>
      <c r="CF40" s="38" t="s">
        <v>726</v>
      </c>
      <c r="CG40" s="32"/>
      <c r="CH40" s="38" t="s">
        <v>733</v>
      </c>
      <c r="CI40" s="32"/>
      <c r="CJ40" s="38" t="s">
        <v>734</v>
      </c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6" t="s">
        <v>866</v>
      </c>
    </row>
    <row r="41" spans="1:146" s="39" customFormat="1">
      <c r="A41" s="31" t="s">
        <v>146</v>
      </c>
      <c r="B41" s="31" t="s">
        <v>147</v>
      </c>
      <c r="C41" s="32" t="s">
        <v>148</v>
      </c>
      <c r="D41" s="32" t="s">
        <v>803</v>
      </c>
      <c r="E41" s="33">
        <v>45215</v>
      </c>
      <c r="F41" s="33">
        <v>45218</v>
      </c>
      <c r="G41" s="32"/>
      <c r="H41" s="34" t="s">
        <v>226</v>
      </c>
      <c r="I41" s="34" t="s">
        <v>226</v>
      </c>
      <c r="J41" s="35"/>
      <c r="K41" s="35"/>
      <c r="L41" s="35" t="s">
        <v>152</v>
      </c>
      <c r="M41" s="35" t="s">
        <v>153</v>
      </c>
      <c r="N41" s="35" t="s">
        <v>154</v>
      </c>
      <c r="O41" s="35" t="s">
        <v>166</v>
      </c>
      <c r="P41" s="35" t="s">
        <v>227</v>
      </c>
      <c r="Q41" s="35" t="s">
        <v>157</v>
      </c>
      <c r="R41" s="35" t="s">
        <v>152</v>
      </c>
      <c r="S41" s="32" t="s">
        <v>228</v>
      </c>
      <c r="T41" s="32" t="s">
        <v>228</v>
      </c>
      <c r="U41" s="32" t="s">
        <v>229</v>
      </c>
      <c r="V41" s="32"/>
      <c r="W41" s="32"/>
      <c r="X41" s="35"/>
      <c r="Y41" s="35" t="s">
        <v>152</v>
      </c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 t="s">
        <v>152</v>
      </c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 t="s">
        <v>782</v>
      </c>
      <c r="BG41" s="32"/>
      <c r="BH41" s="32"/>
      <c r="BI41" s="32" t="s">
        <v>1056</v>
      </c>
      <c r="BJ41" s="32" t="s">
        <v>1057</v>
      </c>
      <c r="BK41" s="32" t="s">
        <v>1058</v>
      </c>
      <c r="BL41" s="32"/>
      <c r="BM41" s="32"/>
      <c r="BN41" s="32"/>
      <c r="BO41" s="32"/>
      <c r="BP41" s="32" t="s">
        <v>762</v>
      </c>
      <c r="BQ41" s="32" t="s">
        <v>828</v>
      </c>
      <c r="BR41" s="32" t="s">
        <v>1060</v>
      </c>
      <c r="BS41" s="32"/>
      <c r="BT41" s="32" t="s">
        <v>679</v>
      </c>
      <c r="BU41" s="32" t="s">
        <v>689</v>
      </c>
      <c r="BV41" s="38" t="s">
        <v>725</v>
      </c>
      <c r="BW41" s="32" t="s">
        <v>857</v>
      </c>
      <c r="BX41" s="38" t="s">
        <v>727</v>
      </c>
      <c r="BY41" s="32"/>
      <c r="BZ41" s="38" t="s">
        <v>728</v>
      </c>
      <c r="CA41" s="32"/>
      <c r="CB41" s="38" t="s">
        <v>729</v>
      </c>
      <c r="CC41" s="32"/>
      <c r="CD41" s="38" t="s">
        <v>743</v>
      </c>
      <c r="CE41" s="32"/>
      <c r="CF41" s="38" t="s">
        <v>726</v>
      </c>
      <c r="CG41" s="32"/>
      <c r="CH41" s="38" t="s">
        <v>733</v>
      </c>
      <c r="CI41" s="32"/>
      <c r="CJ41" s="38" t="s">
        <v>734</v>
      </c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6" t="s">
        <v>866</v>
      </c>
    </row>
    <row r="42" spans="1:146" s="39" customFormat="1">
      <c r="A42" s="31" t="s">
        <v>146</v>
      </c>
      <c r="B42" s="31" t="s">
        <v>147</v>
      </c>
      <c r="C42" s="32" t="s">
        <v>148</v>
      </c>
      <c r="D42" s="32" t="s">
        <v>803</v>
      </c>
      <c r="E42" s="33">
        <v>45215</v>
      </c>
      <c r="F42" s="33">
        <v>45218</v>
      </c>
      <c r="G42" s="32"/>
      <c r="H42" s="34" t="s">
        <v>230</v>
      </c>
      <c r="I42" s="34" t="s">
        <v>230</v>
      </c>
      <c r="J42" s="35"/>
      <c r="K42" s="35"/>
      <c r="L42" s="35" t="s">
        <v>152</v>
      </c>
      <c r="M42" s="35" t="s">
        <v>153</v>
      </c>
      <c r="N42" s="35" t="s">
        <v>154</v>
      </c>
      <c r="O42" s="35" t="s">
        <v>162</v>
      </c>
      <c r="P42" s="35" t="s">
        <v>231</v>
      </c>
      <c r="Q42" s="35" t="s">
        <v>157</v>
      </c>
      <c r="R42" s="35" t="s">
        <v>152</v>
      </c>
      <c r="S42" s="32" t="s">
        <v>232</v>
      </c>
      <c r="T42" s="32" t="s">
        <v>232</v>
      </c>
      <c r="U42" s="32" t="s">
        <v>233</v>
      </c>
      <c r="V42" s="32"/>
      <c r="W42" s="32"/>
      <c r="X42" s="35"/>
      <c r="Y42" s="35" t="s">
        <v>152</v>
      </c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 t="s">
        <v>152</v>
      </c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 t="s">
        <v>782</v>
      </c>
      <c r="BG42" s="32"/>
      <c r="BH42" s="32"/>
      <c r="BI42" s="32"/>
      <c r="BJ42" s="32"/>
      <c r="BK42" s="32"/>
      <c r="BL42" s="32"/>
      <c r="BM42" s="32"/>
      <c r="BN42" s="32"/>
      <c r="BO42" s="32"/>
      <c r="BP42" s="32" t="s">
        <v>762</v>
      </c>
      <c r="BQ42" s="32" t="s">
        <v>828</v>
      </c>
      <c r="BR42" s="32"/>
      <c r="BS42" s="32"/>
      <c r="BT42" s="32" t="s">
        <v>679</v>
      </c>
      <c r="BU42" s="32" t="s">
        <v>689</v>
      </c>
      <c r="BV42" s="38" t="s">
        <v>725</v>
      </c>
      <c r="BW42" s="32"/>
      <c r="BX42" s="38" t="s">
        <v>727</v>
      </c>
      <c r="BY42" s="32"/>
      <c r="BZ42" s="38" t="s">
        <v>728</v>
      </c>
      <c r="CA42" s="32"/>
      <c r="CB42" s="38" t="s">
        <v>729</v>
      </c>
      <c r="CC42" s="32"/>
      <c r="CD42" s="38" t="s">
        <v>743</v>
      </c>
      <c r="CE42" s="32" t="s">
        <v>1124</v>
      </c>
      <c r="CF42" s="38" t="s">
        <v>726</v>
      </c>
      <c r="CG42" s="32"/>
      <c r="CH42" s="38" t="s">
        <v>733</v>
      </c>
      <c r="CI42" s="32"/>
      <c r="CJ42" s="38" t="s">
        <v>734</v>
      </c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6" t="s">
        <v>866</v>
      </c>
    </row>
    <row r="43" spans="1:146" s="39" customFormat="1">
      <c r="A43" s="31" t="s">
        <v>146</v>
      </c>
      <c r="B43" s="31" t="s">
        <v>147</v>
      </c>
      <c r="C43" s="32" t="s">
        <v>148</v>
      </c>
      <c r="D43" s="36" t="s">
        <v>803</v>
      </c>
      <c r="E43" s="33">
        <v>45215</v>
      </c>
      <c r="F43" s="33">
        <v>45218</v>
      </c>
      <c r="G43" s="36"/>
      <c r="H43" s="34" t="s">
        <v>547</v>
      </c>
      <c r="I43" s="34" t="s">
        <v>547</v>
      </c>
      <c r="J43" s="35" t="s">
        <v>548</v>
      </c>
      <c r="K43" s="35" t="s">
        <v>549</v>
      </c>
      <c r="L43" s="35" t="s">
        <v>152</v>
      </c>
      <c r="M43" s="35" t="s">
        <v>153</v>
      </c>
      <c r="N43" s="35" t="s">
        <v>154</v>
      </c>
      <c r="O43" s="35" t="s">
        <v>169</v>
      </c>
      <c r="P43" s="35" t="s">
        <v>550</v>
      </c>
      <c r="Q43" s="35" t="s">
        <v>157</v>
      </c>
      <c r="R43" s="35" t="s">
        <v>506</v>
      </c>
      <c r="S43" s="36" t="s">
        <v>551</v>
      </c>
      <c r="T43" s="32" t="s">
        <v>551</v>
      </c>
      <c r="U43" s="36" t="s">
        <v>552</v>
      </c>
      <c r="V43" s="32"/>
      <c r="W43" s="36" t="s">
        <v>553</v>
      </c>
      <c r="X43" s="35" t="s">
        <v>507</v>
      </c>
      <c r="Y43" s="35" t="s">
        <v>554</v>
      </c>
      <c r="Z43" s="32" t="s">
        <v>475</v>
      </c>
      <c r="AA43" s="32" t="s">
        <v>554</v>
      </c>
      <c r="AB43" s="32" t="s">
        <v>469</v>
      </c>
      <c r="AC43" s="32" t="s">
        <v>555</v>
      </c>
      <c r="AD43" s="32"/>
      <c r="AE43" s="32"/>
      <c r="AF43" s="32"/>
      <c r="AG43" s="32"/>
      <c r="AH43" s="32"/>
      <c r="AI43" s="32"/>
      <c r="AJ43" s="32"/>
      <c r="AK43" s="32"/>
      <c r="AL43" s="36"/>
      <c r="AM43" s="36"/>
      <c r="AN43" s="36" t="s">
        <v>186</v>
      </c>
      <c r="AO43" s="36">
        <v>32211</v>
      </c>
      <c r="AP43" s="36" t="s">
        <v>507</v>
      </c>
      <c r="AQ43" s="36" t="s">
        <v>554</v>
      </c>
      <c r="AR43" s="36"/>
      <c r="AS43" s="36"/>
      <c r="AT43" s="32"/>
      <c r="AU43" s="32"/>
      <c r="AV43" s="32"/>
      <c r="AW43" s="32"/>
      <c r="AX43" s="32"/>
      <c r="AY43" s="32"/>
      <c r="AZ43" s="32"/>
      <c r="BA43" s="32"/>
      <c r="BB43" s="32" t="s">
        <v>623</v>
      </c>
      <c r="BC43" s="32"/>
      <c r="BD43" s="32"/>
      <c r="BE43" s="32"/>
      <c r="BF43" s="36" t="s">
        <v>887</v>
      </c>
      <c r="BG43" s="36"/>
      <c r="BH43" s="32"/>
      <c r="BI43" s="36"/>
      <c r="BJ43" s="36"/>
      <c r="BK43" s="36"/>
      <c r="BL43" s="32"/>
      <c r="BM43" s="32"/>
      <c r="BN43" s="32"/>
      <c r="BO43" s="32"/>
      <c r="BP43" s="36" t="s">
        <v>765</v>
      </c>
      <c r="BQ43" s="36" t="s">
        <v>820</v>
      </c>
      <c r="BR43" s="36"/>
      <c r="BS43" s="36"/>
      <c r="BT43" s="36" t="s">
        <v>679</v>
      </c>
      <c r="BU43" s="36" t="s">
        <v>688</v>
      </c>
      <c r="BV43" s="37" t="s">
        <v>725</v>
      </c>
      <c r="BW43" s="36" t="s">
        <v>819</v>
      </c>
      <c r="BX43" s="37" t="s">
        <v>727</v>
      </c>
      <c r="BY43" s="36" t="s">
        <v>835</v>
      </c>
      <c r="BZ43" s="37" t="s">
        <v>728</v>
      </c>
      <c r="CA43" s="36" t="s">
        <v>814</v>
      </c>
      <c r="CB43" s="37" t="s">
        <v>735</v>
      </c>
      <c r="CC43" s="36" t="s">
        <v>888</v>
      </c>
      <c r="CD43" s="37" t="s">
        <v>736</v>
      </c>
      <c r="CE43" s="36" t="s">
        <v>770</v>
      </c>
      <c r="CF43" s="37" t="s">
        <v>737</v>
      </c>
      <c r="CG43" s="36">
        <v>1</v>
      </c>
      <c r="CH43" s="37" t="s">
        <v>738</v>
      </c>
      <c r="CI43" s="36" t="s">
        <v>771</v>
      </c>
      <c r="CJ43" s="37" t="s">
        <v>739</v>
      </c>
      <c r="CK43" s="36"/>
      <c r="CL43" s="37" t="s">
        <v>731</v>
      </c>
      <c r="CM43" s="36" t="s">
        <v>889</v>
      </c>
      <c r="CN43" s="37" t="s">
        <v>732</v>
      </c>
      <c r="CO43" s="36" t="s">
        <v>890</v>
      </c>
      <c r="CP43" s="37" t="s">
        <v>740</v>
      </c>
      <c r="CQ43" s="36" t="s">
        <v>891</v>
      </c>
      <c r="CR43" s="37" t="s">
        <v>733</v>
      </c>
      <c r="CS43" s="36"/>
      <c r="CT43" s="37" t="s">
        <v>734</v>
      </c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 t="s">
        <v>866</v>
      </c>
    </row>
    <row r="44" spans="1:146" s="39" customFormat="1">
      <c r="A44" s="31" t="s">
        <v>146</v>
      </c>
      <c r="B44" s="31" t="s">
        <v>147</v>
      </c>
      <c r="C44" s="32" t="s">
        <v>148</v>
      </c>
      <c r="D44" s="36" t="s">
        <v>803</v>
      </c>
      <c r="E44" s="33">
        <v>45215</v>
      </c>
      <c r="F44" s="33">
        <v>45218</v>
      </c>
      <c r="G44" s="36"/>
      <c r="H44" s="34" t="s">
        <v>587</v>
      </c>
      <c r="I44" s="34" t="s">
        <v>587</v>
      </c>
      <c r="J44" s="35" t="s">
        <v>588</v>
      </c>
      <c r="K44" s="35" t="s">
        <v>589</v>
      </c>
      <c r="L44" s="35" t="s">
        <v>152</v>
      </c>
      <c r="M44" s="35" t="s">
        <v>153</v>
      </c>
      <c r="N44" s="35" t="s">
        <v>154</v>
      </c>
      <c r="O44" s="35" t="s">
        <v>155</v>
      </c>
      <c r="P44" s="35" t="s">
        <v>590</v>
      </c>
      <c r="Q44" s="35" t="s">
        <v>157</v>
      </c>
      <c r="R44" s="35" t="s">
        <v>152</v>
      </c>
      <c r="S44" s="36" t="s">
        <v>591</v>
      </c>
      <c r="T44" s="32" t="s">
        <v>591</v>
      </c>
      <c r="U44" s="36" t="s">
        <v>592</v>
      </c>
      <c r="V44" s="32"/>
      <c r="W44" s="36" t="s">
        <v>593</v>
      </c>
      <c r="X44" s="35"/>
      <c r="Y44" s="35" t="s">
        <v>152</v>
      </c>
      <c r="Z44" s="32" t="s">
        <v>474</v>
      </c>
      <c r="AA44" s="32" t="s">
        <v>594</v>
      </c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6"/>
      <c r="AM44" s="36"/>
      <c r="AN44" s="36" t="s">
        <v>633</v>
      </c>
      <c r="AO44" s="36" t="s">
        <v>594</v>
      </c>
      <c r="AP44" s="36"/>
      <c r="AQ44" s="36"/>
      <c r="AR44" s="36"/>
      <c r="AS44" s="36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6" t="s">
        <v>892</v>
      </c>
      <c r="BG44" s="36"/>
      <c r="BH44" s="32"/>
      <c r="BI44" s="36"/>
      <c r="BJ44" s="36"/>
      <c r="BK44" s="36"/>
      <c r="BL44" s="32"/>
      <c r="BM44" s="32"/>
      <c r="BN44" s="32"/>
      <c r="BO44" s="32"/>
      <c r="BP44" s="36" t="s">
        <v>762</v>
      </c>
      <c r="BQ44" s="36" t="s">
        <v>820</v>
      </c>
      <c r="BR44" s="36" t="s">
        <v>894</v>
      </c>
      <c r="BS44" s="36"/>
      <c r="BT44" s="36" t="s">
        <v>679</v>
      </c>
      <c r="BU44" s="36" t="s">
        <v>688</v>
      </c>
      <c r="BV44" s="37" t="s">
        <v>725</v>
      </c>
      <c r="BW44" s="36" t="s">
        <v>893</v>
      </c>
      <c r="BX44" s="37" t="s">
        <v>727</v>
      </c>
      <c r="BY44" s="36"/>
      <c r="BZ44" s="37" t="s">
        <v>728</v>
      </c>
      <c r="CA44" s="36"/>
      <c r="CB44" s="37" t="s">
        <v>735</v>
      </c>
      <c r="CC44" s="36"/>
      <c r="CD44" s="37" t="s">
        <v>736</v>
      </c>
      <c r="CE44" s="36"/>
      <c r="CF44" s="37" t="s">
        <v>737</v>
      </c>
      <c r="CG44" s="36"/>
      <c r="CH44" s="37" t="s">
        <v>738</v>
      </c>
      <c r="CI44" s="36"/>
      <c r="CJ44" s="37" t="s">
        <v>739</v>
      </c>
      <c r="CK44" s="36"/>
      <c r="CL44" s="37" t="s">
        <v>731</v>
      </c>
      <c r="CM44" s="36"/>
      <c r="CN44" s="37" t="s">
        <v>732</v>
      </c>
      <c r="CO44" s="36"/>
      <c r="CP44" s="37" t="s">
        <v>740</v>
      </c>
      <c r="CQ44" s="36"/>
      <c r="CR44" s="37" t="s">
        <v>733</v>
      </c>
      <c r="CS44" s="36"/>
      <c r="CT44" s="37" t="s">
        <v>734</v>
      </c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 t="s">
        <v>866</v>
      </c>
    </row>
    <row r="45" spans="1:146" s="39" customFormat="1">
      <c r="A45" s="31" t="s">
        <v>146</v>
      </c>
      <c r="B45" s="31" t="s">
        <v>147</v>
      </c>
      <c r="C45" s="32" t="s">
        <v>148</v>
      </c>
      <c r="D45" s="36" t="s">
        <v>803</v>
      </c>
      <c r="E45" s="33">
        <v>45215</v>
      </c>
      <c r="F45" s="33">
        <v>45218</v>
      </c>
      <c r="G45" s="36"/>
      <c r="H45" s="34" t="s">
        <v>532</v>
      </c>
      <c r="I45" s="34" t="s">
        <v>532</v>
      </c>
      <c r="J45" s="35"/>
      <c r="K45" s="35"/>
      <c r="L45" s="35" t="s">
        <v>152</v>
      </c>
      <c r="M45" s="35" t="s">
        <v>153</v>
      </c>
      <c r="N45" s="35" t="s">
        <v>154</v>
      </c>
      <c r="O45" s="35" t="s">
        <v>182</v>
      </c>
      <c r="P45" s="35" t="s">
        <v>533</v>
      </c>
      <c r="Q45" s="35" t="s">
        <v>157</v>
      </c>
      <c r="R45" s="35" t="s">
        <v>183</v>
      </c>
      <c r="S45" s="36" t="s">
        <v>534</v>
      </c>
      <c r="T45" s="32" t="s">
        <v>535</v>
      </c>
      <c r="U45" s="36" t="s">
        <v>536</v>
      </c>
      <c r="V45" s="32" t="s">
        <v>537</v>
      </c>
      <c r="W45" s="36"/>
      <c r="X45" s="35" t="s">
        <v>184</v>
      </c>
      <c r="Y45" s="35" t="s">
        <v>538</v>
      </c>
      <c r="Z45" s="32" t="s">
        <v>458</v>
      </c>
      <c r="AA45" s="32" t="s">
        <v>538</v>
      </c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6"/>
      <c r="AM45" s="36"/>
      <c r="AN45" s="36" t="s">
        <v>184</v>
      </c>
      <c r="AO45" s="36">
        <v>80323409</v>
      </c>
      <c r="AP45" s="36" t="s">
        <v>625</v>
      </c>
      <c r="AQ45" s="36" t="s">
        <v>538</v>
      </c>
      <c r="AR45" s="36"/>
      <c r="AS45" s="36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6" t="s">
        <v>899</v>
      </c>
      <c r="BG45" s="36"/>
      <c r="BH45" s="32"/>
      <c r="BI45" s="36"/>
      <c r="BJ45" s="36"/>
      <c r="BK45" s="36"/>
      <c r="BL45" s="32"/>
      <c r="BM45" s="32"/>
      <c r="BN45" s="32"/>
      <c r="BO45" s="32"/>
      <c r="BP45" s="36" t="s">
        <v>765</v>
      </c>
      <c r="BQ45" s="36" t="s">
        <v>820</v>
      </c>
      <c r="BR45" s="36"/>
      <c r="BS45" s="36"/>
      <c r="BT45" s="36" t="s">
        <v>679</v>
      </c>
      <c r="BU45" s="36" t="s">
        <v>688</v>
      </c>
      <c r="BV45" s="37" t="s">
        <v>725</v>
      </c>
      <c r="BW45" s="36" t="s">
        <v>819</v>
      </c>
      <c r="BX45" s="37" t="s">
        <v>727</v>
      </c>
      <c r="BY45" s="36"/>
      <c r="BZ45" s="37" t="s">
        <v>728</v>
      </c>
      <c r="CA45" s="36"/>
      <c r="CB45" s="37" t="s">
        <v>735</v>
      </c>
      <c r="CC45" s="36"/>
      <c r="CD45" s="37" t="s">
        <v>736</v>
      </c>
      <c r="CE45" s="36"/>
      <c r="CF45" s="37" t="s">
        <v>737</v>
      </c>
      <c r="CG45" s="36"/>
      <c r="CH45" s="37" t="s">
        <v>738</v>
      </c>
      <c r="CI45" s="36"/>
      <c r="CJ45" s="37" t="s">
        <v>739</v>
      </c>
      <c r="CK45" s="36"/>
      <c r="CL45" s="37" t="s">
        <v>731</v>
      </c>
      <c r="CM45" s="36"/>
      <c r="CN45" s="37" t="s">
        <v>732</v>
      </c>
      <c r="CO45" s="36"/>
      <c r="CP45" s="37" t="s">
        <v>740</v>
      </c>
      <c r="CQ45" s="36"/>
      <c r="CR45" s="37" t="s">
        <v>733</v>
      </c>
      <c r="CS45" s="36"/>
      <c r="CT45" s="37" t="s">
        <v>734</v>
      </c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 t="s">
        <v>866</v>
      </c>
    </row>
    <row r="46" spans="1:146" s="39" customFormat="1">
      <c r="A46" s="31" t="s">
        <v>146</v>
      </c>
      <c r="B46" s="31" t="s">
        <v>147</v>
      </c>
      <c r="C46" s="32" t="s">
        <v>148</v>
      </c>
      <c r="D46" s="36" t="s">
        <v>803</v>
      </c>
      <c r="E46" s="33">
        <v>45215</v>
      </c>
      <c r="F46" s="33">
        <v>45218</v>
      </c>
      <c r="G46" s="36"/>
      <c r="H46" s="34" t="s">
        <v>539</v>
      </c>
      <c r="I46" s="34" t="s">
        <v>539</v>
      </c>
      <c r="J46" s="35"/>
      <c r="K46" s="35"/>
      <c r="L46" s="35" t="s">
        <v>152</v>
      </c>
      <c r="M46" s="35" t="s">
        <v>153</v>
      </c>
      <c r="N46" s="35" t="s">
        <v>154</v>
      </c>
      <c r="O46" s="35" t="s">
        <v>182</v>
      </c>
      <c r="P46" s="35" t="s">
        <v>540</v>
      </c>
      <c r="Q46" s="35" t="s">
        <v>157</v>
      </c>
      <c r="R46" s="35" t="s">
        <v>183</v>
      </c>
      <c r="S46" s="36" t="s">
        <v>541</v>
      </c>
      <c r="T46" s="32" t="s">
        <v>542</v>
      </c>
      <c r="U46" s="36" t="s">
        <v>543</v>
      </c>
      <c r="V46" s="32" t="s">
        <v>544</v>
      </c>
      <c r="W46" s="36"/>
      <c r="X46" s="35" t="s">
        <v>184</v>
      </c>
      <c r="Y46" s="35" t="s">
        <v>545</v>
      </c>
      <c r="Z46" s="32" t="s">
        <v>471</v>
      </c>
      <c r="AA46" s="32" t="s">
        <v>545</v>
      </c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6"/>
      <c r="AM46" s="36"/>
      <c r="AN46" s="36" t="s">
        <v>184</v>
      </c>
      <c r="AO46" s="36" t="s">
        <v>545</v>
      </c>
      <c r="AP46" s="36" t="s">
        <v>625</v>
      </c>
      <c r="AQ46" s="36"/>
      <c r="AR46" s="36"/>
      <c r="AS46" s="36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6" t="s">
        <v>900</v>
      </c>
      <c r="BG46" s="36"/>
      <c r="BH46" s="32"/>
      <c r="BI46" s="36"/>
      <c r="BJ46" s="36"/>
      <c r="BK46" s="36"/>
      <c r="BL46" s="32"/>
      <c r="BM46" s="32"/>
      <c r="BN46" s="32"/>
      <c r="BO46" s="32"/>
      <c r="BP46" s="36" t="s">
        <v>762</v>
      </c>
      <c r="BQ46" s="36" t="s">
        <v>820</v>
      </c>
      <c r="BR46" s="36"/>
      <c r="BS46" s="36"/>
      <c r="BT46" s="36" t="s">
        <v>679</v>
      </c>
      <c r="BU46" s="36" t="s">
        <v>688</v>
      </c>
      <c r="BV46" s="37" t="s">
        <v>725</v>
      </c>
      <c r="BW46" s="36" t="s">
        <v>857</v>
      </c>
      <c r="BX46" s="37" t="s">
        <v>727</v>
      </c>
      <c r="BY46" s="36"/>
      <c r="BZ46" s="37" t="s">
        <v>728</v>
      </c>
      <c r="CA46" s="36"/>
      <c r="CB46" s="37" t="s">
        <v>735</v>
      </c>
      <c r="CC46" s="36"/>
      <c r="CD46" s="37" t="s">
        <v>736</v>
      </c>
      <c r="CE46" s="36"/>
      <c r="CF46" s="37" t="s">
        <v>737</v>
      </c>
      <c r="CG46" s="36"/>
      <c r="CH46" s="37" t="s">
        <v>738</v>
      </c>
      <c r="CI46" s="36"/>
      <c r="CJ46" s="37" t="s">
        <v>739</v>
      </c>
      <c r="CK46" s="36"/>
      <c r="CL46" s="37" t="s">
        <v>731</v>
      </c>
      <c r="CM46" s="36"/>
      <c r="CN46" s="37" t="s">
        <v>732</v>
      </c>
      <c r="CO46" s="36"/>
      <c r="CP46" s="37" t="s">
        <v>740</v>
      </c>
      <c r="CQ46" s="36"/>
      <c r="CR46" s="37" t="s">
        <v>733</v>
      </c>
      <c r="CS46" s="36"/>
      <c r="CT46" s="37" t="s">
        <v>734</v>
      </c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 t="s">
        <v>866</v>
      </c>
    </row>
    <row r="47" spans="1:146" s="39" customFormat="1">
      <c r="A47" s="31" t="s">
        <v>146</v>
      </c>
      <c r="B47" s="31" t="s">
        <v>147</v>
      </c>
      <c r="C47" s="32" t="s">
        <v>148</v>
      </c>
      <c r="D47" s="36" t="s">
        <v>803</v>
      </c>
      <c r="E47" s="33">
        <v>45215</v>
      </c>
      <c r="F47" s="33">
        <v>45218</v>
      </c>
      <c r="G47" s="36"/>
      <c r="H47" s="34" t="s">
        <v>488</v>
      </c>
      <c r="I47" s="34" t="s">
        <v>488</v>
      </c>
      <c r="J47" s="35"/>
      <c r="K47" s="35"/>
      <c r="L47" s="35" t="s">
        <v>152</v>
      </c>
      <c r="M47" s="35" t="s">
        <v>153</v>
      </c>
      <c r="N47" s="35" t="s">
        <v>154</v>
      </c>
      <c r="O47" s="35" t="s">
        <v>489</v>
      </c>
      <c r="P47" s="35" t="s">
        <v>490</v>
      </c>
      <c r="Q47" s="35" t="s">
        <v>157</v>
      </c>
      <c r="R47" s="35" t="s">
        <v>185</v>
      </c>
      <c r="S47" s="36" t="s">
        <v>491</v>
      </c>
      <c r="T47" s="32" t="s">
        <v>492</v>
      </c>
      <c r="U47" s="36" t="s">
        <v>493</v>
      </c>
      <c r="V47" s="32" t="s">
        <v>494</v>
      </c>
      <c r="W47" s="36"/>
      <c r="X47" s="35" t="s">
        <v>186</v>
      </c>
      <c r="Y47" s="35" t="s">
        <v>495</v>
      </c>
      <c r="Z47" s="32" t="s">
        <v>475</v>
      </c>
      <c r="AA47" s="32" t="s">
        <v>495</v>
      </c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6"/>
      <c r="AM47" s="36"/>
      <c r="AN47" s="36" t="s">
        <v>186</v>
      </c>
      <c r="AO47" s="36">
        <v>30308</v>
      </c>
      <c r="AP47" s="36"/>
      <c r="AQ47" s="36"/>
      <c r="AR47" s="36"/>
      <c r="AS47" s="36"/>
      <c r="AT47" s="32"/>
      <c r="AU47" s="32"/>
      <c r="AV47" s="32"/>
      <c r="AW47" s="32"/>
      <c r="AX47" s="32"/>
      <c r="AY47" s="32"/>
      <c r="AZ47" s="32"/>
      <c r="BA47" s="32"/>
      <c r="BB47" s="32" t="s">
        <v>623</v>
      </c>
      <c r="BC47" s="32"/>
      <c r="BD47" s="32"/>
      <c r="BE47" s="32"/>
      <c r="BF47" s="36" t="s">
        <v>901</v>
      </c>
      <c r="BG47" s="36"/>
      <c r="BH47" s="32"/>
      <c r="BI47" s="36"/>
      <c r="BJ47" s="36"/>
      <c r="BK47" s="36"/>
      <c r="BL47" s="32"/>
      <c r="BM47" s="32"/>
      <c r="BN47" s="32"/>
      <c r="BO47" s="32"/>
      <c r="BP47" s="36" t="s">
        <v>765</v>
      </c>
      <c r="BQ47" s="36" t="s">
        <v>820</v>
      </c>
      <c r="BR47" s="36"/>
      <c r="BS47" s="36"/>
      <c r="BT47" s="36" t="s">
        <v>679</v>
      </c>
      <c r="BU47" s="36" t="s">
        <v>688</v>
      </c>
      <c r="BV47" s="37" t="s">
        <v>725</v>
      </c>
      <c r="BW47" s="36" t="s">
        <v>819</v>
      </c>
      <c r="BX47" s="37" t="s">
        <v>727</v>
      </c>
      <c r="BY47" s="36" t="s">
        <v>812</v>
      </c>
      <c r="BZ47" s="37" t="s">
        <v>728</v>
      </c>
      <c r="CA47" s="36" t="s">
        <v>810</v>
      </c>
      <c r="CB47" s="37" t="s">
        <v>735</v>
      </c>
      <c r="CC47" s="36" t="s">
        <v>886</v>
      </c>
      <c r="CD47" s="37" t="s">
        <v>736</v>
      </c>
      <c r="CE47" s="36" t="s">
        <v>770</v>
      </c>
      <c r="CF47" s="37" t="s">
        <v>737</v>
      </c>
      <c r="CG47" s="36">
        <v>1</v>
      </c>
      <c r="CH47" s="37" t="s">
        <v>738</v>
      </c>
      <c r="CI47" s="36" t="s">
        <v>771</v>
      </c>
      <c r="CJ47" s="37" t="s">
        <v>739</v>
      </c>
      <c r="CK47" s="36">
        <v>30300</v>
      </c>
      <c r="CL47" s="37" t="s">
        <v>731</v>
      </c>
      <c r="CM47" s="36" t="s">
        <v>902</v>
      </c>
      <c r="CN47" s="37" t="s">
        <v>732</v>
      </c>
      <c r="CO47" s="36" t="s">
        <v>903</v>
      </c>
      <c r="CP47" s="37" t="s">
        <v>740</v>
      </c>
      <c r="CQ47" s="36" t="s">
        <v>872</v>
      </c>
      <c r="CR47" s="37" t="s">
        <v>733</v>
      </c>
      <c r="CS47" s="36"/>
      <c r="CT47" s="37" t="s">
        <v>734</v>
      </c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 t="s">
        <v>866</v>
      </c>
    </row>
    <row r="48" spans="1:146" s="39" customFormat="1">
      <c r="A48" s="31" t="s">
        <v>146</v>
      </c>
      <c r="B48" s="31" t="s">
        <v>147</v>
      </c>
      <c r="C48" s="32" t="s">
        <v>148</v>
      </c>
      <c r="D48" s="36" t="s">
        <v>803</v>
      </c>
      <c r="E48" s="33">
        <v>45215</v>
      </c>
      <c r="F48" s="33">
        <v>45218</v>
      </c>
      <c r="G48" s="36"/>
      <c r="H48" s="34" t="s">
        <v>235</v>
      </c>
      <c r="I48" s="34" t="s">
        <v>235</v>
      </c>
      <c r="J48" s="35"/>
      <c r="K48" s="35"/>
      <c r="L48" s="35" t="s">
        <v>152</v>
      </c>
      <c r="M48" s="35" t="s">
        <v>153</v>
      </c>
      <c r="N48" s="35" t="s">
        <v>154</v>
      </c>
      <c r="O48" s="35" t="s">
        <v>155</v>
      </c>
      <c r="P48" s="35" t="s">
        <v>236</v>
      </c>
      <c r="Q48" s="35" t="s">
        <v>157</v>
      </c>
      <c r="R48" s="35" t="s">
        <v>185</v>
      </c>
      <c r="S48" s="36" t="s">
        <v>237</v>
      </c>
      <c r="T48" s="32" t="s">
        <v>238</v>
      </c>
      <c r="U48" s="36" t="s">
        <v>239</v>
      </c>
      <c r="V48" s="32" t="s">
        <v>240</v>
      </c>
      <c r="W48" s="36"/>
      <c r="X48" s="35" t="s">
        <v>186</v>
      </c>
      <c r="Y48" s="35" t="s">
        <v>241</v>
      </c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6"/>
      <c r="AM48" s="36"/>
      <c r="AN48" s="36" t="s">
        <v>186</v>
      </c>
      <c r="AO48" s="36" t="s">
        <v>908</v>
      </c>
      <c r="AP48" s="36"/>
      <c r="AQ48" s="36"/>
      <c r="AR48" s="36"/>
      <c r="AS48" s="36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6" t="s">
        <v>909</v>
      </c>
      <c r="BG48" s="36"/>
      <c r="BH48" s="32"/>
      <c r="BI48" s="36"/>
      <c r="BJ48" s="36"/>
      <c r="BK48" s="36"/>
      <c r="BL48" s="32"/>
      <c r="BM48" s="32"/>
      <c r="BN48" s="32"/>
      <c r="BO48" s="32"/>
      <c r="BP48" s="36" t="s">
        <v>765</v>
      </c>
      <c r="BQ48" s="36" t="s">
        <v>820</v>
      </c>
      <c r="BR48" s="36" t="s">
        <v>827</v>
      </c>
      <c r="BS48" s="36"/>
      <c r="BT48" s="36" t="s">
        <v>679</v>
      </c>
      <c r="BU48" s="36" t="s">
        <v>688</v>
      </c>
      <c r="BV48" s="37" t="s">
        <v>725</v>
      </c>
      <c r="BW48" s="36"/>
      <c r="BX48" s="37" t="s">
        <v>727</v>
      </c>
      <c r="BY48" s="36" t="s">
        <v>839</v>
      </c>
      <c r="BZ48" s="37" t="s">
        <v>728</v>
      </c>
      <c r="CA48" s="36" t="s">
        <v>910</v>
      </c>
      <c r="CB48" s="37" t="s">
        <v>735</v>
      </c>
      <c r="CC48" s="36" t="s">
        <v>862</v>
      </c>
      <c r="CD48" s="37" t="s">
        <v>736</v>
      </c>
      <c r="CE48" s="36" t="s">
        <v>770</v>
      </c>
      <c r="CF48" s="37" t="s">
        <v>737</v>
      </c>
      <c r="CG48" s="36">
        <v>1</v>
      </c>
      <c r="CH48" s="37" t="s">
        <v>738</v>
      </c>
      <c r="CI48" s="36" t="s">
        <v>911</v>
      </c>
      <c r="CJ48" s="37" t="s">
        <v>739</v>
      </c>
      <c r="CK48" s="36" t="s">
        <v>915</v>
      </c>
      <c r="CL48" s="37" t="s">
        <v>731</v>
      </c>
      <c r="CM48" s="36" t="s">
        <v>912</v>
      </c>
      <c r="CN48" s="37" t="s">
        <v>732</v>
      </c>
      <c r="CO48" s="36" t="s">
        <v>913</v>
      </c>
      <c r="CP48" s="37" t="s">
        <v>740</v>
      </c>
      <c r="CQ48" s="36" t="s">
        <v>914</v>
      </c>
      <c r="CR48" s="37" t="s">
        <v>733</v>
      </c>
      <c r="CS48" s="36"/>
      <c r="CT48" s="37" t="s">
        <v>734</v>
      </c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 t="s">
        <v>866</v>
      </c>
    </row>
    <row r="49" spans="1:146" s="36" customFormat="1" ht="12.75">
      <c r="A49" s="31" t="s">
        <v>146</v>
      </c>
      <c r="B49" s="31" t="s">
        <v>147</v>
      </c>
      <c r="C49" s="32" t="s">
        <v>148</v>
      </c>
      <c r="D49" s="36" t="s">
        <v>803</v>
      </c>
      <c r="E49" s="33">
        <v>45215</v>
      </c>
      <c r="F49" s="33">
        <v>45218</v>
      </c>
      <c r="H49" s="34" t="s">
        <v>572</v>
      </c>
      <c r="I49" s="34" t="s">
        <v>572</v>
      </c>
      <c r="J49" s="35"/>
      <c r="K49" s="35"/>
      <c r="L49" s="35" t="s">
        <v>152</v>
      </c>
      <c r="M49" s="35" t="s">
        <v>153</v>
      </c>
      <c r="N49" s="35" t="s">
        <v>154</v>
      </c>
      <c r="O49" s="35" t="s">
        <v>182</v>
      </c>
      <c r="P49" s="35" t="s">
        <v>573</v>
      </c>
      <c r="Q49" s="35" t="s">
        <v>157</v>
      </c>
      <c r="R49" s="35" t="s">
        <v>152</v>
      </c>
      <c r="S49" s="36" t="s">
        <v>574</v>
      </c>
      <c r="T49" s="32" t="s">
        <v>574</v>
      </c>
      <c r="U49" s="36" t="s">
        <v>575</v>
      </c>
      <c r="V49" s="32"/>
      <c r="X49" s="35"/>
      <c r="Y49" s="35" t="s">
        <v>152</v>
      </c>
      <c r="Z49" s="32" t="s">
        <v>571</v>
      </c>
      <c r="AA49" s="32" t="s">
        <v>576</v>
      </c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6" t="s">
        <v>631</v>
      </c>
      <c r="AM49" s="36" t="s">
        <v>576</v>
      </c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6" t="s">
        <v>782</v>
      </c>
      <c r="BH49" s="32"/>
      <c r="BI49" s="36" t="s">
        <v>916</v>
      </c>
      <c r="BK49" s="36" t="s">
        <v>917</v>
      </c>
      <c r="BL49" s="32"/>
      <c r="BM49" s="32"/>
      <c r="BN49" s="32"/>
      <c r="BO49" s="32"/>
      <c r="BP49" s="36" t="s">
        <v>762</v>
      </c>
      <c r="BQ49" s="36" t="s">
        <v>820</v>
      </c>
      <c r="BT49" s="36" t="s">
        <v>679</v>
      </c>
      <c r="BU49" s="36" t="s">
        <v>688</v>
      </c>
      <c r="BV49" s="37" t="s">
        <v>725</v>
      </c>
      <c r="BX49" s="37" t="s">
        <v>727</v>
      </c>
      <c r="BZ49" s="37" t="s">
        <v>728</v>
      </c>
      <c r="CB49" s="37" t="s">
        <v>735</v>
      </c>
      <c r="CD49" s="37" t="s">
        <v>736</v>
      </c>
      <c r="CF49" s="37" t="s">
        <v>737</v>
      </c>
      <c r="CH49" s="37" t="s">
        <v>738</v>
      </c>
      <c r="CJ49" s="37" t="s">
        <v>739</v>
      </c>
      <c r="CL49" s="37" t="s">
        <v>731</v>
      </c>
      <c r="CN49" s="37" t="s">
        <v>732</v>
      </c>
      <c r="CP49" s="37" t="s">
        <v>740</v>
      </c>
      <c r="CR49" s="37" t="s">
        <v>733</v>
      </c>
      <c r="CT49" s="37" t="s">
        <v>734</v>
      </c>
      <c r="EP49" s="36" t="s">
        <v>866</v>
      </c>
    </row>
    <row r="50" spans="1:146" s="36" customFormat="1" ht="12.75">
      <c r="A50" s="31" t="s">
        <v>146</v>
      </c>
      <c r="B50" s="31" t="s">
        <v>147</v>
      </c>
      <c r="C50" s="32" t="s">
        <v>148</v>
      </c>
      <c r="D50" s="36" t="s">
        <v>803</v>
      </c>
      <c r="E50" s="33">
        <v>45215</v>
      </c>
      <c r="F50" s="33">
        <v>45218</v>
      </c>
      <c r="H50" s="34" t="s">
        <v>476</v>
      </c>
      <c r="I50" s="34" t="s">
        <v>476</v>
      </c>
      <c r="J50" s="35"/>
      <c r="K50" s="35"/>
      <c r="L50" s="35" t="s">
        <v>152</v>
      </c>
      <c r="M50" s="35" t="s">
        <v>153</v>
      </c>
      <c r="N50" s="35" t="s">
        <v>154</v>
      </c>
      <c r="O50" s="35" t="s">
        <v>155</v>
      </c>
      <c r="P50" s="35" t="s">
        <v>477</v>
      </c>
      <c r="Q50" s="35" t="s">
        <v>157</v>
      </c>
      <c r="R50" s="35" t="s">
        <v>478</v>
      </c>
      <c r="S50" s="36" t="s">
        <v>479</v>
      </c>
      <c r="T50" s="32" t="s">
        <v>480</v>
      </c>
      <c r="U50" s="36" t="s">
        <v>481</v>
      </c>
      <c r="V50" s="32" t="s">
        <v>482</v>
      </c>
      <c r="X50" s="35" t="s">
        <v>483</v>
      </c>
      <c r="Y50" s="35" t="s">
        <v>484</v>
      </c>
      <c r="Z50" s="32" t="s">
        <v>469</v>
      </c>
      <c r="AA50" s="32" t="s">
        <v>485</v>
      </c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N50" s="36" t="s">
        <v>483</v>
      </c>
      <c r="AO50" s="36" t="s">
        <v>484</v>
      </c>
      <c r="AP50" s="36" t="s">
        <v>624</v>
      </c>
      <c r="AQ50" s="36" t="s">
        <v>485</v>
      </c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6" t="s">
        <v>923</v>
      </c>
      <c r="BG50" s="36" t="s">
        <v>924</v>
      </c>
      <c r="BH50" s="32"/>
      <c r="BL50" s="32"/>
      <c r="BM50" s="32"/>
      <c r="BN50" s="32"/>
      <c r="BO50" s="32"/>
      <c r="BP50" s="36" t="s">
        <v>765</v>
      </c>
      <c r="BQ50" s="36" t="s">
        <v>820</v>
      </c>
      <c r="BS50" s="36" t="s">
        <v>930</v>
      </c>
      <c r="BT50" s="36" t="s">
        <v>679</v>
      </c>
      <c r="BU50" s="36" t="s">
        <v>688</v>
      </c>
      <c r="BV50" s="37" t="s">
        <v>725</v>
      </c>
      <c r="BW50" s="36" t="s">
        <v>932</v>
      </c>
      <c r="BX50" s="37" t="s">
        <v>727</v>
      </c>
      <c r="BY50" s="36" t="s">
        <v>925</v>
      </c>
      <c r="BZ50" s="37" t="s">
        <v>728</v>
      </c>
      <c r="CA50" s="36" t="s">
        <v>926</v>
      </c>
      <c r="CB50" s="37" t="s">
        <v>735</v>
      </c>
      <c r="CD50" s="37" t="s">
        <v>736</v>
      </c>
      <c r="CE50" s="36" t="s">
        <v>819</v>
      </c>
      <c r="CF50" s="37" t="s">
        <v>737</v>
      </c>
      <c r="CG50" s="36">
        <v>2</v>
      </c>
      <c r="CH50" s="37" t="s">
        <v>738</v>
      </c>
      <c r="CJ50" s="37" t="s">
        <v>739</v>
      </c>
      <c r="CK50" s="36" t="s">
        <v>929</v>
      </c>
      <c r="CL50" s="37" t="s">
        <v>731</v>
      </c>
      <c r="CM50" s="36" t="s">
        <v>927</v>
      </c>
      <c r="CN50" s="37" t="s">
        <v>732</v>
      </c>
      <c r="CO50" s="36" t="s">
        <v>928</v>
      </c>
      <c r="CP50" s="37" t="s">
        <v>740</v>
      </c>
      <c r="CR50" s="37" t="s">
        <v>733</v>
      </c>
      <c r="CT50" s="37" t="s">
        <v>734</v>
      </c>
      <c r="EP50" s="36" t="s">
        <v>866</v>
      </c>
    </row>
    <row r="51" spans="1:146" s="36" customFormat="1" ht="12.75">
      <c r="A51" s="31" t="s">
        <v>146</v>
      </c>
      <c r="B51" s="31" t="s">
        <v>147</v>
      </c>
      <c r="C51" s="32" t="s">
        <v>148</v>
      </c>
      <c r="D51" s="36" t="s">
        <v>803</v>
      </c>
      <c r="E51" s="33">
        <v>45215</v>
      </c>
      <c r="F51" s="33">
        <v>45218</v>
      </c>
      <c r="H51" s="34" t="s">
        <v>242</v>
      </c>
      <c r="I51" s="34" t="s">
        <v>242</v>
      </c>
      <c r="J51" s="35"/>
      <c r="K51" s="35"/>
      <c r="L51" s="35" t="s">
        <v>152</v>
      </c>
      <c r="M51" s="35" t="s">
        <v>153</v>
      </c>
      <c r="N51" s="35" t="s">
        <v>154</v>
      </c>
      <c r="O51" s="35" t="s">
        <v>155</v>
      </c>
      <c r="P51" s="35" t="s">
        <v>243</v>
      </c>
      <c r="Q51" s="35" t="s">
        <v>157</v>
      </c>
      <c r="R51" s="35" t="s">
        <v>244</v>
      </c>
      <c r="S51" s="36" t="s">
        <v>245</v>
      </c>
      <c r="T51" s="32" t="s">
        <v>245</v>
      </c>
      <c r="U51" s="36" t="s">
        <v>246</v>
      </c>
      <c r="V51" s="32"/>
      <c r="X51" s="35" t="s">
        <v>247</v>
      </c>
      <c r="Y51" s="35" t="s">
        <v>248</v>
      </c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N51" s="36" t="s">
        <v>483</v>
      </c>
      <c r="AO51" s="36" t="s">
        <v>934</v>
      </c>
      <c r="AP51" s="36" t="s">
        <v>247</v>
      </c>
      <c r="AQ51" s="36" t="s">
        <v>248</v>
      </c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6" t="s">
        <v>931</v>
      </c>
      <c r="BG51" s="36" t="s">
        <v>933</v>
      </c>
      <c r="BH51" s="32"/>
      <c r="BL51" s="32"/>
      <c r="BM51" s="32"/>
      <c r="BN51" s="32"/>
      <c r="BO51" s="32"/>
      <c r="BP51" s="36" t="s">
        <v>765</v>
      </c>
      <c r="BQ51" s="36" t="s">
        <v>820</v>
      </c>
      <c r="BT51" s="36" t="s">
        <v>679</v>
      </c>
      <c r="BU51" s="36" t="s">
        <v>688</v>
      </c>
      <c r="BV51" s="37" t="s">
        <v>725</v>
      </c>
      <c r="BW51" s="36" t="s">
        <v>819</v>
      </c>
      <c r="BX51" s="37" t="s">
        <v>727</v>
      </c>
      <c r="BY51" s="36" t="s">
        <v>935</v>
      </c>
      <c r="BZ51" s="37" t="s">
        <v>728</v>
      </c>
      <c r="CA51" s="36" t="s">
        <v>936</v>
      </c>
      <c r="CB51" s="37" t="s">
        <v>735</v>
      </c>
      <c r="CC51" s="36" t="s">
        <v>937</v>
      </c>
      <c r="CD51" s="37" t="s">
        <v>736</v>
      </c>
      <c r="CF51" s="37" t="s">
        <v>737</v>
      </c>
      <c r="CG51" s="36">
        <v>1</v>
      </c>
      <c r="CH51" s="37" t="s">
        <v>738</v>
      </c>
      <c r="CI51" s="36" t="s">
        <v>938</v>
      </c>
      <c r="CJ51" s="37" t="s">
        <v>739</v>
      </c>
      <c r="CL51" s="37" t="s">
        <v>731</v>
      </c>
      <c r="CM51" s="36" t="s">
        <v>940</v>
      </c>
      <c r="CN51" s="37" t="s">
        <v>732</v>
      </c>
      <c r="CO51" s="36" t="s">
        <v>939</v>
      </c>
      <c r="CP51" s="37" t="s">
        <v>740</v>
      </c>
      <c r="CR51" s="37" t="s">
        <v>733</v>
      </c>
      <c r="CT51" s="37" t="s">
        <v>734</v>
      </c>
      <c r="EP51" s="36" t="s">
        <v>866</v>
      </c>
    </row>
    <row r="52" spans="1:146" s="36" customFormat="1" ht="12.75">
      <c r="A52" s="31" t="s">
        <v>146</v>
      </c>
      <c r="B52" s="31" t="s">
        <v>147</v>
      </c>
      <c r="C52" s="32" t="s">
        <v>148</v>
      </c>
      <c r="D52" s="36" t="s">
        <v>803</v>
      </c>
      <c r="E52" s="33">
        <v>45215</v>
      </c>
      <c r="F52" s="33">
        <v>45218</v>
      </c>
      <c r="H52" s="34" t="s">
        <v>597</v>
      </c>
      <c r="I52" s="34" t="s">
        <v>597</v>
      </c>
      <c r="J52" s="35"/>
      <c r="K52" s="35"/>
      <c r="L52" s="35" t="s">
        <v>152</v>
      </c>
      <c r="M52" s="35" t="s">
        <v>153</v>
      </c>
      <c r="N52" s="35" t="s">
        <v>154</v>
      </c>
      <c r="O52" s="35" t="s">
        <v>169</v>
      </c>
      <c r="P52" s="35" t="s">
        <v>598</v>
      </c>
      <c r="Q52" s="35" t="s">
        <v>157</v>
      </c>
      <c r="R52" s="35" t="s">
        <v>152</v>
      </c>
      <c r="S52" s="36" t="s">
        <v>599</v>
      </c>
      <c r="T52" s="32" t="s">
        <v>599</v>
      </c>
      <c r="U52" s="36" t="s">
        <v>600</v>
      </c>
      <c r="V52" s="32"/>
      <c r="X52" s="35"/>
      <c r="Y52" s="35" t="s">
        <v>152</v>
      </c>
      <c r="Z52" s="32" t="s">
        <v>467</v>
      </c>
      <c r="AA52" s="32" t="s">
        <v>601</v>
      </c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N52" s="36" t="s">
        <v>247</v>
      </c>
      <c r="AO52" s="36" t="s">
        <v>601</v>
      </c>
      <c r="AP52" s="36" t="s">
        <v>636</v>
      </c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6" t="s">
        <v>941</v>
      </c>
      <c r="BH52" s="32"/>
      <c r="BL52" s="32"/>
      <c r="BM52" s="32"/>
      <c r="BN52" s="32"/>
      <c r="BO52" s="32"/>
      <c r="BP52" s="36" t="s">
        <v>762</v>
      </c>
      <c r="BQ52" s="36" t="s">
        <v>820</v>
      </c>
      <c r="BR52" s="36" t="s">
        <v>945</v>
      </c>
      <c r="BT52" s="36" t="s">
        <v>679</v>
      </c>
      <c r="BU52" s="36" t="s">
        <v>688</v>
      </c>
      <c r="BV52" s="37" t="s">
        <v>725</v>
      </c>
      <c r="BW52" s="36" t="s">
        <v>819</v>
      </c>
      <c r="BX52" s="37" t="s">
        <v>727</v>
      </c>
      <c r="BY52" s="36" t="s">
        <v>942</v>
      </c>
      <c r="BZ52" s="37" t="s">
        <v>728</v>
      </c>
      <c r="CA52" s="36" t="s">
        <v>943</v>
      </c>
      <c r="CB52" s="37" t="s">
        <v>735</v>
      </c>
      <c r="CC52" s="36" t="s">
        <v>944</v>
      </c>
      <c r="CD52" s="37" t="s">
        <v>736</v>
      </c>
      <c r="CF52" s="37" t="s">
        <v>737</v>
      </c>
      <c r="CH52" s="37" t="s">
        <v>738</v>
      </c>
      <c r="CJ52" s="37" t="s">
        <v>739</v>
      </c>
      <c r="CL52" s="37" t="s">
        <v>731</v>
      </c>
      <c r="CN52" s="37" t="s">
        <v>732</v>
      </c>
      <c r="CP52" s="37" t="s">
        <v>740</v>
      </c>
      <c r="CR52" s="37" t="s">
        <v>733</v>
      </c>
      <c r="CT52" s="37" t="s">
        <v>734</v>
      </c>
      <c r="EP52" s="36" t="s">
        <v>866</v>
      </c>
    </row>
    <row r="53" spans="1:146" s="36" customFormat="1" ht="12.75">
      <c r="A53" s="31" t="s">
        <v>146</v>
      </c>
      <c r="B53" s="31" t="s">
        <v>147</v>
      </c>
      <c r="C53" s="32" t="s">
        <v>148</v>
      </c>
      <c r="D53" s="36" t="s">
        <v>803</v>
      </c>
      <c r="E53" s="33">
        <v>45215</v>
      </c>
      <c r="F53" s="33">
        <v>45218</v>
      </c>
      <c r="H53" s="34" t="s">
        <v>617</v>
      </c>
      <c r="I53" s="34" t="s">
        <v>617</v>
      </c>
      <c r="J53" s="35"/>
      <c r="K53" s="35"/>
      <c r="L53" s="35" t="s">
        <v>152</v>
      </c>
      <c r="M53" s="35" t="s">
        <v>153</v>
      </c>
      <c r="N53" s="35" t="s">
        <v>154</v>
      </c>
      <c r="O53" s="35" t="s">
        <v>155</v>
      </c>
      <c r="P53" s="35" t="s">
        <v>618</v>
      </c>
      <c r="Q53" s="35" t="s">
        <v>157</v>
      </c>
      <c r="R53" s="35" t="s">
        <v>152</v>
      </c>
      <c r="S53" s="36" t="s">
        <v>619</v>
      </c>
      <c r="T53" s="32" t="s">
        <v>619</v>
      </c>
      <c r="U53" s="36" t="s">
        <v>620</v>
      </c>
      <c r="V53" s="32"/>
      <c r="X53" s="35"/>
      <c r="Y53" s="35" t="s">
        <v>152</v>
      </c>
      <c r="Z53" s="32" t="s">
        <v>467</v>
      </c>
      <c r="AA53" s="32" t="s">
        <v>621</v>
      </c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N53" s="36" t="s">
        <v>247</v>
      </c>
      <c r="AO53" s="36" t="s">
        <v>621</v>
      </c>
      <c r="AP53" s="36" t="s">
        <v>636</v>
      </c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6" t="s">
        <v>941</v>
      </c>
      <c r="BH53" s="32"/>
      <c r="BI53" s="36" t="s">
        <v>849</v>
      </c>
      <c r="BK53" s="36" t="s">
        <v>946</v>
      </c>
      <c r="BL53" s="32"/>
      <c r="BM53" s="32"/>
      <c r="BN53" s="32"/>
      <c r="BO53" s="32"/>
      <c r="BP53" s="36" t="s">
        <v>762</v>
      </c>
      <c r="BQ53" s="36" t="s">
        <v>820</v>
      </c>
      <c r="BR53" s="36" t="s">
        <v>949</v>
      </c>
      <c r="BT53" s="36" t="s">
        <v>679</v>
      </c>
      <c r="BU53" s="36" t="s">
        <v>688</v>
      </c>
      <c r="BV53" s="37" t="s">
        <v>725</v>
      </c>
      <c r="BW53" s="36" t="s">
        <v>819</v>
      </c>
      <c r="BX53" s="37" t="s">
        <v>727</v>
      </c>
      <c r="BY53" s="36" t="s">
        <v>947</v>
      </c>
      <c r="BZ53" s="37" t="s">
        <v>728</v>
      </c>
      <c r="CA53" s="36" t="s">
        <v>948</v>
      </c>
      <c r="CB53" s="37" t="s">
        <v>735</v>
      </c>
      <c r="CD53" s="37" t="s">
        <v>736</v>
      </c>
      <c r="CE53" s="36" t="s">
        <v>770</v>
      </c>
      <c r="CF53" s="37" t="s">
        <v>737</v>
      </c>
      <c r="CH53" s="37" t="s">
        <v>738</v>
      </c>
      <c r="CJ53" s="37" t="s">
        <v>739</v>
      </c>
      <c r="CL53" s="37" t="s">
        <v>731</v>
      </c>
      <c r="CN53" s="37" t="s">
        <v>732</v>
      </c>
      <c r="CP53" s="37" t="s">
        <v>740</v>
      </c>
      <c r="CR53" s="37" t="s">
        <v>733</v>
      </c>
      <c r="CT53" s="37" t="s">
        <v>734</v>
      </c>
      <c r="EP53" s="36" t="s">
        <v>866</v>
      </c>
    </row>
    <row r="54" spans="1:146" s="36" customFormat="1" ht="12.75">
      <c r="A54" s="31" t="s">
        <v>146</v>
      </c>
      <c r="B54" s="31" t="s">
        <v>147</v>
      </c>
      <c r="C54" s="32" t="s">
        <v>148</v>
      </c>
      <c r="D54" s="36" t="s">
        <v>803</v>
      </c>
      <c r="E54" s="33">
        <v>45215</v>
      </c>
      <c r="F54" s="33">
        <v>45218</v>
      </c>
      <c r="H54" s="34" t="s">
        <v>292</v>
      </c>
      <c r="I54" s="34" t="s">
        <v>292</v>
      </c>
      <c r="J54" s="35"/>
      <c r="K54" s="35"/>
      <c r="L54" s="35" t="s">
        <v>152</v>
      </c>
      <c r="M54" s="35" t="s">
        <v>153</v>
      </c>
      <c r="N54" s="35" t="s">
        <v>154</v>
      </c>
      <c r="O54" s="35" t="s">
        <v>165</v>
      </c>
      <c r="P54" s="35" t="s">
        <v>293</v>
      </c>
      <c r="Q54" s="35" t="s">
        <v>157</v>
      </c>
      <c r="R54" s="35" t="s">
        <v>152</v>
      </c>
      <c r="S54" s="36" t="s">
        <v>294</v>
      </c>
      <c r="T54" s="32" t="s">
        <v>294</v>
      </c>
      <c r="U54" s="36" t="s">
        <v>295</v>
      </c>
      <c r="V54" s="32"/>
      <c r="X54" s="35"/>
      <c r="Y54" s="35" t="s">
        <v>152</v>
      </c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O54" s="36" t="s">
        <v>152</v>
      </c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6" t="s">
        <v>782</v>
      </c>
      <c r="BH54" s="32"/>
      <c r="BK54" s="36" t="s">
        <v>950</v>
      </c>
      <c r="BL54" s="32"/>
      <c r="BM54" s="32"/>
      <c r="BN54" s="32"/>
      <c r="BO54" s="32"/>
      <c r="BP54" s="36" t="s">
        <v>762</v>
      </c>
      <c r="BQ54" s="36" t="s">
        <v>820</v>
      </c>
      <c r="BT54" s="36" t="s">
        <v>679</v>
      </c>
      <c r="BU54" s="36" t="s">
        <v>688</v>
      </c>
      <c r="BV54" s="37" t="s">
        <v>725</v>
      </c>
      <c r="BW54" s="36" t="s">
        <v>819</v>
      </c>
      <c r="BX54" s="37" t="s">
        <v>727</v>
      </c>
      <c r="BZ54" s="37" t="s">
        <v>728</v>
      </c>
      <c r="CB54" s="37" t="s">
        <v>735</v>
      </c>
      <c r="CD54" s="37" t="s">
        <v>736</v>
      </c>
      <c r="CF54" s="37" t="s">
        <v>737</v>
      </c>
      <c r="CH54" s="37" t="s">
        <v>738</v>
      </c>
      <c r="CJ54" s="37" t="s">
        <v>739</v>
      </c>
      <c r="CL54" s="37" t="s">
        <v>731</v>
      </c>
      <c r="CN54" s="37" t="s">
        <v>732</v>
      </c>
      <c r="CP54" s="37" t="s">
        <v>740</v>
      </c>
      <c r="CR54" s="37" t="s">
        <v>733</v>
      </c>
      <c r="CT54" s="37" t="s">
        <v>734</v>
      </c>
      <c r="EP54" s="36" t="s">
        <v>866</v>
      </c>
    </row>
    <row r="55" spans="1:146" s="36" customFormat="1" ht="12.75">
      <c r="A55" s="31" t="s">
        <v>146</v>
      </c>
      <c r="B55" s="31" t="s">
        <v>147</v>
      </c>
      <c r="C55" s="32" t="s">
        <v>148</v>
      </c>
      <c r="D55" s="36" t="s">
        <v>803</v>
      </c>
      <c r="E55" s="33">
        <v>45215</v>
      </c>
      <c r="F55" s="33">
        <v>45218</v>
      </c>
      <c r="H55" s="34" t="s">
        <v>300</v>
      </c>
      <c r="I55" s="34" t="s">
        <v>300</v>
      </c>
      <c r="J55" s="35"/>
      <c r="K55" s="35"/>
      <c r="L55" s="35" t="s">
        <v>152</v>
      </c>
      <c r="M55" s="35" t="s">
        <v>153</v>
      </c>
      <c r="N55" s="35" t="s">
        <v>154</v>
      </c>
      <c r="O55" s="35" t="s">
        <v>165</v>
      </c>
      <c r="P55" s="35" t="s">
        <v>301</v>
      </c>
      <c r="Q55" s="35" t="s">
        <v>157</v>
      </c>
      <c r="R55" s="35" t="s">
        <v>152</v>
      </c>
      <c r="S55" s="36" t="s">
        <v>302</v>
      </c>
      <c r="T55" s="32" t="s">
        <v>302</v>
      </c>
      <c r="U55" s="36" t="s">
        <v>303</v>
      </c>
      <c r="V55" s="32"/>
      <c r="X55" s="35"/>
      <c r="Y55" s="35" t="s">
        <v>152</v>
      </c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O55" s="36" t="s">
        <v>152</v>
      </c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6" t="s">
        <v>782</v>
      </c>
      <c r="BH55" s="32"/>
      <c r="BK55" s="36" t="s">
        <v>676</v>
      </c>
      <c r="BL55" s="32"/>
      <c r="BM55" s="32"/>
      <c r="BN55" s="32"/>
      <c r="BO55" s="32"/>
      <c r="BP55" s="36" t="s">
        <v>762</v>
      </c>
      <c r="BQ55" s="36" t="s">
        <v>820</v>
      </c>
      <c r="BR55" s="36" t="s">
        <v>955</v>
      </c>
      <c r="BT55" s="36" t="s">
        <v>679</v>
      </c>
      <c r="BU55" s="36" t="s">
        <v>688</v>
      </c>
      <c r="BV55" s="37" t="s">
        <v>725</v>
      </c>
      <c r="BW55" s="36" t="s">
        <v>819</v>
      </c>
      <c r="BX55" s="37" t="s">
        <v>727</v>
      </c>
      <c r="BZ55" s="37" t="s">
        <v>728</v>
      </c>
      <c r="CB55" s="37" t="s">
        <v>735</v>
      </c>
      <c r="CD55" s="37" t="s">
        <v>736</v>
      </c>
      <c r="CF55" s="37" t="s">
        <v>737</v>
      </c>
      <c r="CH55" s="37" t="s">
        <v>738</v>
      </c>
      <c r="CJ55" s="37" t="s">
        <v>739</v>
      </c>
      <c r="CL55" s="37" t="s">
        <v>731</v>
      </c>
      <c r="CN55" s="37" t="s">
        <v>732</v>
      </c>
      <c r="CP55" s="37" t="s">
        <v>740</v>
      </c>
      <c r="CR55" s="37" t="s">
        <v>733</v>
      </c>
      <c r="CT55" s="37" t="s">
        <v>734</v>
      </c>
      <c r="EP55" s="36" t="s">
        <v>866</v>
      </c>
    </row>
    <row r="56" spans="1:146" s="36" customFormat="1" ht="12.75">
      <c r="A56" s="31" t="s">
        <v>146</v>
      </c>
      <c r="B56" s="31" t="s">
        <v>147</v>
      </c>
      <c r="C56" s="32" t="s">
        <v>148</v>
      </c>
      <c r="D56" s="36" t="s">
        <v>803</v>
      </c>
      <c r="E56" s="33">
        <v>45215</v>
      </c>
      <c r="F56" s="33">
        <v>45218</v>
      </c>
      <c r="H56" s="34" t="s">
        <v>304</v>
      </c>
      <c r="I56" s="34" t="s">
        <v>304</v>
      </c>
      <c r="J56" s="35"/>
      <c r="K56" s="35"/>
      <c r="L56" s="35" t="s">
        <v>152</v>
      </c>
      <c r="M56" s="35" t="s">
        <v>153</v>
      </c>
      <c r="N56" s="35" t="s">
        <v>154</v>
      </c>
      <c r="O56" s="35" t="s">
        <v>165</v>
      </c>
      <c r="P56" s="35" t="s">
        <v>305</v>
      </c>
      <c r="Q56" s="35" t="s">
        <v>157</v>
      </c>
      <c r="R56" s="35" t="s">
        <v>152</v>
      </c>
      <c r="S56" s="36" t="s">
        <v>306</v>
      </c>
      <c r="T56" s="32" t="s">
        <v>306</v>
      </c>
      <c r="U56" s="36" t="s">
        <v>307</v>
      </c>
      <c r="V56" s="32"/>
      <c r="X56" s="35"/>
      <c r="Y56" s="35" t="s">
        <v>152</v>
      </c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O56" s="36" t="s">
        <v>152</v>
      </c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6" t="s">
        <v>782</v>
      </c>
      <c r="BH56" s="32"/>
      <c r="BK56" s="36" t="s">
        <v>676</v>
      </c>
      <c r="BL56" s="32"/>
      <c r="BM56" s="32"/>
      <c r="BN56" s="32"/>
      <c r="BO56" s="32"/>
      <c r="BP56" s="36" t="s">
        <v>762</v>
      </c>
      <c r="BQ56" s="36" t="s">
        <v>820</v>
      </c>
      <c r="BR56" s="36" t="s">
        <v>956</v>
      </c>
      <c r="BT56" s="36" t="s">
        <v>679</v>
      </c>
      <c r="BU56" s="36" t="s">
        <v>688</v>
      </c>
      <c r="BV56" s="37" t="s">
        <v>725</v>
      </c>
      <c r="BW56" s="36" t="s">
        <v>819</v>
      </c>
      <c r="BX56" s="37" t="s">
        <v>727</v>
      </c>
      <c r="BZ56" s="37" t="s">
        <v>728</v>
      </c>
      <c r="CB56" s="37" t="s">
        <v>735</v>
      </c>
      <c r="CD56" s="37" t="s">
        <v>736</v>
      </c>
      <c r="CF56" s="37" t="s">
        <v>737</v>
      </c>
      <c r="CH56" s="37" t="s">
        <v>738</v>
      </c>
      <c r="CJ56" s="37" t="s">
        <v>739</v>
      </c>
      <c r="CL56" s="37" t="s">
        <v>731</v>
      </c>
      <c r="CN56" s="37" t="s">
        <v>732</v>
      </c>
      <c r="CP56" s="37" t="s">
        <v>740</v>
      </c>
      <c r="CR56" s="37" t="s">
        <v>733</v>
      </c>
      <c r="CT56" s="37" t="s">
        <v>734</v>
      </c>
      <c r="EP56" s="36" t="s">
        <v>866</v>
      </c>
    </row>
    <row r="57" spans="1:146" s="39" customFormat="1">
      <c r="A57" s="31" t="s">
        <v>146</v>
      </c>
      <c r="B57" s="31" t="s">
        <v>147</v>
      </c>
      <c r="C57" s="32" t="s">
        <v>148</v>
      </c>
      <c r="D57" s="36" t="s">
        <v>803</v>
      </c>
      <c r="E57" s="33">
        <v>45215</v>
      </c>
      <c r="F57" s="33">
        <v>45218</v>
      </c>
      <c r="G57" s="36"/>
      <c r="H57" s="34" t="s">
        <v>308</v>
      </c>
      <c r="I57" s="34" t="s">
        <v>308</v>
      </c>
      <c r="J57" s="35"/>
      <c r="K57" s="35"/>
      <c r="L57" s="35" t="s">
        <v>152</v>
      </c>
      <c r="M57" s="35" t="s">
        <v>153</v>
      </c>
      <c r="N57" s="35" t="s">
        <v>154</v>
      </c>
      <c r="O57" s="35" t="s">
        <v>165</v>
      </c>
      <c r="P57" s="35" t="s">
        <v>309</v>
      </c>
      <c r="Q57" s="35" t="s">
        <v>157</v>
      </c>
      <c r="R57" s="35" t="s">
        <v>152</v>
      </c>
      <c r="S57" s="36" t="s">
        <v>310</v>
      </c>
      <c r="T57" s="32" t="s">
        <v>310</v>
      </c>
      <c r="U57" s="36" t="s">
        <v>311</v>
      </c>
      <c r="V57" s="32"/>
      <c r="W57" s="36"/>
      <c r="X57" s="35"/>
      <c r="Y57" s="35" t="s">
        <v>152</v>
      </c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6"/>
      <c r="AM57" s="36"/>
      <c r="AN57" s="36"/>
      <c r="AO57" s="36" t="s">
        <v>152</v>
      </c>
      <c r="AP57" s="36"/>
      <c r="AQ57" s="36"/>
      <c r="AR57" s="36"/>
      <c r="AS57" s="36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6" t="s">
        <v>782</v>
      </c>
      <c r="BG57" s="36"/>
      <c r="BH57" s="32"/>
      <c r="BI57" s="36" t="s">
        <v>957</v>
      </c>
      <c r="BJ57" s="36"/>
      <c r="BK57" s="36"/>
      <c r="BL57" s="32"/>
      <c r="BM57" s="32"/>
      <c r="BN57" s="32"/>
      <c r="BO57" s="32"/>
      <c r="BP57" s="36" t="s">
        <v>762</v>
      </c>
      <c r="BQ57" s="36" t="s">
        <v>820</v>
      </c>
      <c r="BR57" s="36"/>
      <c r="BS57" s="36"/>
      <c r="BT57" s="36" t="s">
        <v>679</v>
      </c>
      <c r="BU57" s="36" t="s">
        <v>688</v>
      </c>
      <c r="BV57" s="37" t="s">
        <v>725</v>
      </c>
      <c r="BW57" s="36" t="s">
        <v>819</v>
      </c>
      <c r="BX57" s="37" t="s">
        <v>727</v>
      </c>
      <c r="BY57" s="36"/>
      <c r="BZ57" s="37" t="s">
        <v>728</v>
      </c>
      <c r="CA57" s="36"/>
      <c r="CB57" s="37" t="s">
        <v>735</v>
      </c>
      <c r="CC57" s="36"/>
      <c r="CD57" s="37" t="s">
        <v>736</v>
      </c>
      <c r="CE57" s="36"/>
      <c r="CF57" s="37" t="s">
        <v>737</v>
      </c>
      <c r="CG57" s="36"/>
      <c r="CH57" s="37" t="s">
        <v>738</v>
      </c>
      <c r="CI57" s="36"/>
      <c r="CJ57" s="37" t="s">
        <v>739</v>
      </c>
      <c r="CK57" s="36"/>
      <c r="CL57" s="37" t="s">
        <v>731</v>
      </c>
      <c r="CM57" s="36"/>
      <c r="CN57" s="37" t="s">
        <v>732</v>
      </c>
      <c r="CO57" s="36"/>
      <c r="CP57" s="37" t="s">
        <v>740</v>
      </c>
      <c r="CQ57" s="36"/>
      <c r="CR57" s="37" t="s">
        <v>733</v>
      </c>
      <c r="CS57" s="36"/>
      <c r="CT57" s="37" t="s">
        <v>734</v>
      </c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 t="s">
        <v>866</v>
      </c>
    </row>
    <row r="58" spans="1:146" s="39" customFormat="1">
      <c r="A58" s="31" t="s">
        <v>146</v>
      </c>
      <c r="B58" s="31" t="s">
        <v>147</v>
      </c>
      <c r="C58" s="32" t="s">
        <v>148</v>
      </c>
      <c r="D58" s="36" t="s">
        <v>803</v>
      </c>
      <c r="E58" s="33">
        <v>45215</v>
      </c>
      <c r="F58" s="33">
        <v>45218</v>
      </c>
      <c r="G58" s="36"/>
      <c r="H58" s="34" t="s">
        <v>312</v>
      </c>
      <c r="I58" s="34" t="s">
        <v>312</v>
      </c>
      <c r="J58" s="35"/>
      <c r="K58" s="35"/>
      <c r="L58" s="35" t="s">
        <v>152</v>
      </c>
      <c r="M58" s="35" t="s">
        <v>153</v>
      </c>
      <c r="N58" s="35" t="s">
        <v>154</v>
      </c>
      <c r="O58" s="35" t="s">
        <v>165</v>
      </c>
      <c r="P58" s="35" t="s">
        <v>313</v>
      </c>
      <c r="Q58" s="35" t="s">
        <v>157</v>
      </c>
      <c r="R58" s="35" t="s">
        <v>152</v>
      </c>
      <c r="S58" s="36" t="s">
        <v>310</v>
      </c>
      <c r="T58" s="32" t="s">
        <v>310</v>
      </c>
      <c r="U58" s="36" t="s">
        <v>311</v>
      </c>
      <c r="V58" s="32"/>
      <c r="W58" s="36"/>
      <c r="X58" s="35"/>
      <c r="Y58" s="35" t="s">
        <v>152</v>
      </c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6"/>
      <c r="AM58" s="36"/>
      <c r="AN58" s="36"/>
      <c r="AO58" s="36" t="s">
        <v>152</v>
      </c>
      <c r="AP58" s="36"/>
      <c r="AQ58" s="36"/>
      <c r="AR58" s="36"/>
      <c r="AS58" s="36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6" t="s">
        <v>782</v>
      </c>
      <c r="BG58" s="36"/>
      <c r="BH58" s="32"/>
      <c r="BI58" s="36" t="s">
        <v>957</v>
      </c>
      <c r="BJ58" s="36"/>
      <c r="BK58" s="36"/>
      <c r="BL58" s="32"/>
      <c r="BM58" s="32"/>
      <c r="BN58" s="32"/>
      <c r="BO58" s="32"/>
      <c r="BP58" s="36" t="s">
        <v>762</v>
      </c>
      <c r="BQ58" s="36" t="s">
        <v>820</v>
      </c>
      <c r="BR58" s="36"/>
      <c r="BS58" s="36"/>
      <c r="BT58" s="36" t="s">
        <v>679</v>
      </c>
      <c r="BU58" s="36" t="s">
        <v>688</v>
      </c>
      <c r="BV58" s="37" t="s">
        <v>725</v>
      </c>
      <c r="BW58" s="36" t="s">
        <v>819</v>
      </c>
      <c r="BX58" s="37" t="s">
        <v>727</v>
      </c>
      <c r="BY58" s="36"/>
      <c r="BZ58" s="37" t="s">
        <v>728</v>
      </c>
      <c r="CA58" s="36"/>
      <c r="CB58" s="37" t="s">
        <v>735</v>
      </c>
      <c r="CC58" s="36"/>
      <c r="CD58" s="37" t="s">
        <v>736</v>
      </c>
      <c r="CE58" s="36"/>
      <c r="CF58" s="37" t="s">
        <v>737</v>
      </c>
      <c r="CG58" s="36"/>
      <c r="CH58" s="37" t="s">
        <v>738</v>
      </c>
      <c r="CI58" s="36"/>
      <c r="CJ58" s="37" t="s">
        <v>739</v>
      </c>
      <c r="CK58" s="36"/>
      <c r="CL58" s="37" t="s">
        <v>731</v>
      </c>
      <c r="CM58" s="36"/>
      <c r="CN58" s="37" t="s">
        <v>732</v>
      </c>
      <c r="CO58" s="36"/>
      <c r="CP58" s="37" t="s">
        <v>740</v>
      </c>
      <c r="CQ58" s="36"/>
      <c r="CR58" s="37" t="s">
        <v>733</v>
      </c>
      <c r="CS58" s="36"/>
      <c r="CT58" s="37" t="s">
        <v>734</v>
      </c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 t="s">
        <v>866</v>
      </c>
    </row>
    <row r="59" spans="1:146" s="39" customFormat="1">
      <c r="A59" s="31" t="s">
        <v>146</v>
      </c>
      <c r="B59" s="31" t="s">
        <v>147</v>
      </c>
      <c r="C59" s="32" t="s">
        <v>148</v>
      </c>
      <c r="D59" s="36" t="s">
        <v>803</v>
      </c>
      <c r="E59" s="33">
        <v>45215</v>
      </c>
      <c r="F59" s="33">
        <v>45218</v>
      </c>
      <c r="G59" s="36"/>
      <c r="H59" s="34" t="s">
        <v>318</v>
      </c>
      <c r="I59" s="34" t="s">
        <v>318</v>
      </c>
      <c r="J59" s="35"/>
      <c r="K59" s="35"/>
      <c r="L59" s="35" t="s">
        <v>152</v>
      </c>
      <c r="M59" s="35" t="s">
        <v>153</v>
      </c>
      <c r="N59" s="35" t="s">
        <v>154</v>
      </c>
      <c r="O59" s="35" t="s">
        <v>165</v>
      </c>
      <c r="P59" s="35" t="s">
        <v>319</v>
      </c>
      <c r="Q59" s="35" t="s">
        <v>157</v>
      </c>
      <c r="R59" s="35" t="s">
        <v>152</v>
      </c>
      <c r="S59" s="36" t="s">
        <v>320</v>
      </c>
      <c r="T59" s="32" t="s">
        <v>320</v>
      </c>
      <c r="U59" s="36" t="s">
        <v>321</v>
      </c>
      <c r="V59" s="32"/>
      <c r="W59" s="36"/>
      <c r="X59" s="35"/>
      <c r="Y59" s="35" t="s">
        <v>152</v>
      </c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6"/>
      <c r="AM59" s="36"/>
      <c r="AN59" s="36"/>
      <c r="AO59" s="36" t="s">
        <v>152</v>
      </c>
      <c r="AP59" s="36"/>
      <c r="AQ59" s="36"/>
      <c r="AR59" s="36"/>
      <c r="AS59" s="36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6" t="s">
        <v>782</v>
      </c>
      <c r="BG59" s="36"/>
      <c r="BH59" s="32"/>
      <c r="BI59" s="36" t="s">
        <v>960</v>
      </c>
      <c r="BJ59" s="36" t="s">
        <v>247</v>
      </c>
      <c r="BK59" s="36" t="s">
        <v>959</v>
      </c>
      <c r="BL59" s="32"/>
      <c r="BM59" s="32"/>
      <c r="BN59" s="32"/>
      <c r="BO59" s="32"/>
      <c r="BP59" s="36" t="s">
        <v>762</v>
      </c>
      <c r="BQ59" s="36" t="s">
        <v>820</v>
      </c>
      <c r="BR59" s="36" t="s">
        <v>691</v>
      </c>
      <c r="BS59" s="36"/>
      <c r="BT59" s="36" t="s">
        <v>679</v>
      </c>
      <c r="BU59" s="36" t="s">
        <v>688</v>
      </c>
      <c r="BV59" s="37" t="s">
        <v>725</v>
      </c>
      <c r="BW59" s="36" t="s">
        <v>819</v>
      </c>
      <c r="BX59" s="37" t="s">
        <v>727</v>
      </c>
      <c r="BY59" s="36"/>
      <c r="BZ59" s="37" t="s">
        <v>728</v>
      </c>
      <c r="CA59" s="36"/>
      <c r="CB59" s="37" t="s">
        <v>735</v>
      </c>
      <c r="CC59" s="36"/>
      <c r="CD59" s="37" t="s">
        <v>736</v>
      </c>
      <c r="CE59" s="36"/>
      <c r="CF59" s="37" t="s">
        <v>737</v>
      </c>
      <c r="CG59" s="36"/>
      <c r="CH59" s="37" t="s">
        <v>738</v>
      </c>
      <c r="CI59" s="36"/>
      <c r="CJ59" s="37" t="s">
        <v>739</v>
      </c>
      <c r="CK59" s="36"/>
      <c r="CL59" s="37" t="s">
        <v>731</v>
      </c>
      <c r="CM59" s="36"/>
      <c r="CN59" s="37" t="s">
        <v>732</v>
      </c>
      <c r="CO59" s="36"/>
      <c r="CP59" s="37" t="s">
        <v>740</v>
      </c>
      <c r="CQ59" s="36"/>
      <c r="CR59" s="37" t="s">
        <v>733</v>
      </c>
      <c r="CS59" s="36"/>
      <c r="CT59" s="37" t="s">
        <v>734</v>
      </c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/>
      <c r="EI59" s="36"/>
      <c r="EJ59" s="36"/>
      <c r="EK59" s="36"/>
      <c r="EL59" s="36"/>
      <c r="EM59" s="36"/>
      <c r="EN59" s="36"/>
      <c r="EO59" s="36"/>
      <c r="EP59" s="36" t="s">
        <v>866</v>
      </c>
    </row>
    <row r="60" spans="1:146" s="39" customFormat="1">
      <c r="A60" s="31" t="s">
        <v>146</v>
      </c>
      <c r="B60" s="31" t="s">
        <v>147</v>
      </c>
      <c r="C60" s="32" t="s">
        <v>148</v>
      </c>
      <c r="D60" s="36" t="s">
        <v>803</v>
      </c>
      <c r="E60" s="33">
        <v>45215</v>
      </c>
      <c r="F60" s="33">
        <v>45218</v>
      </c>
      <c r="G60" s="36"/>
      <c r="H60" s="34" t="s">
        <v>566</v>
      </c>
      <c r="I60" s="34" t="s">
        <v>566</v>
      </c>
      <c r="J60" s="35"/>
      <c r="K60" s="35"/>
      <c r="L60" s="35" t="s">
        <v>152</v>
      </c>
      <c r="M60" s="35" t="s">
        <v>153</v>
      </c>
      <c r="N60" s="35" t="s">
        <v>154</v>
      </c>
      <c r="O60" s="35" t="s">
        <v>155</v>
      </c>
      <c r="P60" s="35" t="s">
        <v>567</v>
      </c>
      <c r="Q60" s="35" t="s">
        <v>157</v>
      </c>
      <c r="R60" s="35" t="s">
        <v>152</v>
      </c>
      <c r="S60" s="36" t="s">
        <v>568</v>
      </c>
      <c r="T60" s="32" t="s">
        <v>568</v>
      </c>
      <c r="U60" s="36" t="s">
        <v>569</v>
      </c>
      <c r="V60" s="32"/>
      <c r="W60" s="36"/>
      <c r="X60" s="35"/>
      <c r="Y60" s="35" t="s">
        <v>152</v>
      </c>
      <c r="Z60" s="32" t="s">
        <v>475</v>
      </c>
      <c r="AA60" s="32" t="s">
        <v>570</v>
      </c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6"/>
      <c r="AM60" s="36"/>
      <c r="AN60" s="36" t="s">
        <v>186</v>
      </c>
      <c r="AO60" s="36" t="s">
        <v>963</v>
      </c>
      <c r="AP60" s="36"/>
      <c r="AQ60" s="36" t="s">
        <v>570</v>
      </c>
      <c r="AR60" s="36"/>
      <c r="AS60" s="36"/>
      <c r="AT60" s="32"/>
      <c r="AU60" s="32"/>
      <c r="AV60" s="32"/>
      <c r="AW60" s="32"/>
      <c r="AX60" s="32"/>
      <c r="AY60" s="32"/>
      <c r="AZ60" s="32"/>
      <c r="BA60" s="32"/>
      <c r="BB60" s="32" t="s">
        <v>623</v>
      </c>
      <c r="BC60" s="32"/>
      <c r="BD60" s="32"/>
      <c r="BE60" s="32"/>
      <c r="BF60" s="36" t="s">
        <v>961</v>
      </c>
      <c r="BG60" s="36" t="s">
        <v>962</v>
      </c>
      <c r="BH60" s="32"/>
      <c r="BI60" s="36"/>
      <c r="BJ60" s="36"/>
      <c r="BK60" s="36"/>
      <c r="BL60" s="32"/>
      <c r="BM60" s="32"/>
      <c r="BN60" s="32"/>
      <c r="BO60" s="32"/>
      <c r="BP60" s="36" t="s">
        <v>765</v>
      </c>
      <c r="BQ60" s="36" t="s">
        <v>820</v>
      </c>
      <c r="BR60" s="36"/>
      <c r="BS60" s="36"/>
      <c r="BT60" s="36" t="s">
        <v>679</v>
      </c>
      <c r="BU60" s="36" t="s">
        <v>688</v>
      </c>
      <c r="BV60" s="37" t="s">
        <v>725</v>
      </c>
      <c r="BW60" s="36" t="s">
        <v>857</v>
      </c>
      <c r="BX60" s="37" t="s">
        <v>727</v>
      </c>
      <c r="BY60" s="36" t="s">
        <v>839</v>
      </c>
      <c r="BZ60" s="37" t="s">
        <v>728</v>
      </c>
      <c r="CA60" s="36" t="s">
        <v>910</v>
      </c>
      <c r="CB60" s="37" t="s">
        <v>735</v>
      </c>
      <c r="CC60" s="36" t="s">
        <v>856</v>
      </c>
      <c r="CD60" s="37" t="s">
        <v>736</v>
      </c>
      <c r="CE60" s="36" t="s">
        <v>819</v>
      </c>
      <c r="CF60" s="37" t="s">
        <v>737</v>
      </c>
      <c r="CG60" s="36">
        <v>2</v>
      </c>
      <c r="CH60" s="37" t="s">
        <v>738</v>
      </c>
      <c r="CI60" s="36" t="s">
        <v>771</v>
      </c>
      <c r="CJ60" s="37" t="s">
        <v>739</v>
      </c>
      <c r="CK60" s="36"/>
      <c r="CL60" s="37" t="s">
        <v>731</v>
      </c>
      <c r="CM60" s="36" t="s">
        <v>913</v>
      </c>
      <c r="CN60" s="37" t="s">
        <v>732</v>
      </c>
      <c r="CO60" s="36" t="s">
        <v>964</v>
      </c>
      <c r="CP60" s="37" t="s">
        <v>740</v>
      </c>
      <c r="CQ60" s="36" t="s">
        <v>965</v>
      </c>
      <c r="CR60" s="37" t="s">
        <v>733</v>
      </c>
      <c r="CS60" s="36"/>
      <c r="CT60" s="37" t="s">
        <v>734</v>
      </c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 t="s">
        <v>866</v>
      </c>
    </row>
    <row r="61" spans="1:146" s="39" customFormat="1">
      <c r="A61" s="31" t="s">
        <v>146</v>
      </c>
      <c r="B61" s="31" t="s">
        <v>147</v>
      </c>
      <c r="C61" s="32" t="s">
        <v>148</v>
      </c>
      <c r="D61" s="36" t="s">
        <v>803</v>
      </c>
      <c r="E61" s="33">
        <v>45215</v>
      </c>
      <c r="F61" s="33">
        <v>45218</v>
      </c>
      <c r="G61" s="36"/>
      <c r="H61" s="34" t="s">
        <v>561</v>
      </c>
      <c r="I61" s="34" t="s">
        <v>561</v>
      </c>
      <c r="J61" s="35"/>
      <c r="K61" s="35"/>
      <c r="L61" s="35" t="s">
        <v>152</v>
      </c>
      <c r="M61" s="35" t="s">
        <v>153</v>
      </c>
      <c r="N61" s="35" t="s">
        <v>154</v>
      </c>
      <c r="O61" s="35" t="s">
        <v>155</v>
      </c>
      <c r="P61" s="35" t="s">
        <v>562</v>
      </c>
      <c r="Q61" s="35" t="s">
        <v>157</v>
      </c>
      <c r="R61" s="35" t="s">
        <v>152</v>
      </c>
      <c r="S61" s="36" t="s">
        <v>563</v>
      </c>
      <c r="T61" s="32" t="s">
        <v>563</v>
      </c>
      <c r="U61" s="36" t="s">
        <v>564</v>
      </c>
      <c r="V61" s="32"/>
      <c r="W61" s="36"/>
      <c r="X61" s="35"/>
      <c r="Y61" s="35" t="s">
        <v>152</v>
      </c>
      <c r="Z61" s="32" t="s">
        <v>475</v>
      </c>
      <c r="AA61" s="32" t="s">
        <v>565</v>
      </c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6"/>
      <c r="AM61" s="36"/>
      <c r="AN61" s="36"/>
      <c r="AO61" s="36" t="s">
        <v>966</v>
      </c>
      <c r="AP61" s="36"/>
      <c r="AQ61" s="36" t="s">
        <v>565</v>
      </c>
      <c r="AR61" s="36"/>
      <c r="AS61" s="36"/>
      <c r="AT61" s="32"/>
      <c r="AU61" s="32"/>
      <c r="AV61" s="32"/>
      <c r="AW61" s="32"/>
      <c r="AX61" s="32"/>
      <c r="AY61" s="32"/>
      <c r="AZ61" s="32"/>
      <c r="BA61" s="32"/>
      <c r="BB61" s="32" t="s">
        <v>623</v>
      </c>
      <c r="BC61" s="32"/>
      <c r="BD61" s="32"/>
      <c r="BE61" s="32"/>
      <c r="BF61" s="36" t="s">
        <v>967</v>
      </c>
      <c r="BG61" s="36" t="s">
        <v>968</v>
      </c>
      <c r="BH61" s="32"/>
      <c r="BI61" s="36"/>
      <c r="BJ61" s="36"/>
      <c r="BK61" s="36"/>
      <c r="BL61" s="32"/>
      <c r="BM61" s="32"/>
      <c r="BN61" s="32"/>
      <c r="BO61" s="32"/>
      <c r="BP61" s="36" t="s">
        <v>765</v>
      </c>
      <c r="BQ61" s="36" t="s">
        <v>820</v>
      </c>
      <c r="BR61" s="36"/>
      <c r="BS61" s="36"/>
      <c r="BT61" s="36" t="s">
        <v>679</v>
      </c>
      <c r="BU61" s="36" t="s">
        <v>688</v>
      </c>
      <c r="BV61" s="37" t="s">
        <v>725</v>
      </c>
      <c r="BW61" s="36" t="s">
        <v>857</v>
      </c>
      <c r="BX61" s="37" t="s">
        <v>727</v>
      </c>
      <c r="BY61" s="36" t="s">
        <v>816</v>
      </c>
      <c r="BZ61" s="37" t="s">
        <v>728</v>
      </c>
      <c r="CA61" s="36" t="s">
        <v>837</v>
      </c>
      <c r="CB61" s="37" t="s">
        <v>735</v>
      </c>
      <c r="CC61" s="36" t="s">
        <v>834</v>
      </c>
      <c r="CD61" s="37" t="s">
        <v>736</v>
      </c>
      <c r="CE61" s="36" t="s">
        <v>819</v>
      </c>
      <c r="CF61" s="37" t="s">
        <v>737</v>
      </c>
      <c r="CG61" s="36">
        <v>2</v>
      </c>
      <c r="CH61" s="37" t="s">
        <v>738</v>
      </c>
      <c r="CI61" s="36" t="s">
        <v>771</v>
      </c>
      <c r="CJ61" s="37" t="s">
        <v>739</v>
      </c>
      <c r="CK61" s="36"/>
      <c r="CL61" s="37" t="s">
        <v>731</v>
      </c>
      <c r="CM61" s="36" t="s">
        <v>969</v>
      </c>
      <c r="CN61" s="37" t="s">
        <v>732</v>
      </c>
      <c r="CO61" s="36" t="s">
        <v>970</v>
      </c>
      <c r="CP61" s="37" t="s">
        <v>740</v>
      </c>
      <c r="CQ61" s="36" t="s">
        <v>971</v>
      </c>
      <c r="CR61" s="37" t="s">
        <v>733</v>
      </c>
      <c r="CS61" s="36"/>
      <c r="CT61" s="37" t="s">
        <v>734</v>
      </c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 t="s">
        <v>866</v>
      </c>
    </row>
    <row r="62" spans="1:146" s="39" customFormat="1">
      <c r="A62" s="31" t="s">
        <v>146</v>
      </c>
      <c r="B62" s="31" t="s">
        <v>147</v>
      </c>
      <c r="C62" s="32" t="s">
        <v>148</v>
      </c>
      <c r="D62" s="36" t="s">
        <v>803</v>
      </c>
      <c r="E62" s="33">
        <v>45215</v>
      </c>
      <c r="F62" s="33">
        <v>45218</v>
      </c>
      <c r="G62" s="36"/>
      <c r="H62" s="34" t="s">
        <v>508</v>
      </c>
      <c r="I62" s="34" t="s">
        <v>508</v>
      </c>
      <c r="J62" s="35"/>
      <c r="K62" s="35"/>
      <c r="L62" s="35" t="s">
        <v>152</v>
      </c>
      <c r="M62" s="35" t="s">
        <v>153</v>
      </c>
      <c r="N62" s="35" t="s">
        <v>154</v>
      </c>
      <c r="O62" s="35" t="s">
        <v>155</v>
      </c>
      <c r="P62" s="35" t="s">
        <v>509</v>
      </c>
      <c r="Q62" s="35" t="s">
        <v>157</v>
      </c>
      <c r="R62" s="35" t="s">
        <v>152</v>
      </c>
      <c r="S62" s="36" t="s">
        <v>510</v>
      </c>
      <c r="T62" s="32" t="s">
        <v>511</v>
      </c>
      <c r="U62" s="36" t="s">
        <v>512</v>
      </c>
      <c r="V62" s="32" t="s">
        <v>513</v>
      </c>
      <c r="W62" s="36"/>
      <c r="X62" s="35"/>
      <c r="Y62" s="35" t="s">
        <v>152</v>
      </c>
      <c r="Z62" s="32" t="s">
        <v>504</v>
      </c>
      <c r="AA62" s="32" t="s">
        <v>514</v>
      </c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6"/>
      <c r="AM62" s="36"/>
      <c r="AN62" s="36"/>
      <c r="AO62" s="36" t="s">
        <v>514</v>
      </c>
      <c r="AP62" s="36"/>
      <c r="AQ62" s="36"/>
      <c r="AR62" s="36"/>
      <c r="AS62" s="36"/>
      <c r="AT62" s="32"/>
      <c r="AU62" s="32"/>
      <c r="AV62" s="32"/>
      <c r="AW62" s="32"/>
      <c r="AX62" s="32"/>
      <c r="AY62" s="32"/>
      <c r="AZ62" s="32"/>
      <c r="BA62" s="32"/>
      <c r="BB62" s="32" t="s">
        <v>623</v>
      </c>
      <c r="BC62" s="32"/>
      <c r="BD62" s="32"/>
      <c r="BE62" s="32"/>
      <c r="BF62" s="36" t="s">
        <v>782</v>
      </c>
      <c r="BG62" s="36"/>
      <c r="BH62" s="32"/>
      <c r="BI62" s="36"/>
      <c r="BJ62" s="36"/>
      <c r="BK62" s="36"/>
      <c r="BL62" s="32"/>
      <c r="BM62" s="32"/>
      <c r="BN62" s="32"/>
      <c r="BO62" s="32"/>
      <c r="BP62" s="36" t="s">
        <v>762</v>
      </c>
      <c r="BQ62" s="36" t="s">
        <v>820</v>
      </c>
      <c r="BR62" s="36"/>
      <c r="BS62" s="36"/>
      <c r="BT62" s="36" t="s">
        <v>679</v>
      </c>
      <c r="BU62" s="36" t="s">
        <v>688</v>
      </c>
      <c r="BV62" s="37" t="s">
        <v>725</v>
      </c>
      <c r="BW62" s="36" t="s">
        <v>857</v>
      </c>
      <c r="BX62" s="37" t="s">
        <v>727</v>
      </c>
      <c r="BY62" s="36"/>
      <c r="BZ62" s="37" t="s">
        <v>728</v>
      </c>
      <c r="CA62" s="36"/>
      <c r="CB62" s="37" t="s">
        <v>735</v>
      </c>
      <c r="CC62" s="36"/>
      <c r="CD62" s="37" t="s">
        <v>736</v>
      </c>
      <c r="CE62" s="36"/>
      <c r="CF62" s="37" t="s">
        <v>737</v>
      </c>
      <c r="CG62" s="36"/>
      <c r="CH62" s="37" t="s">
        <v>738</v>
      </c>
      <c r="CI62" s="36"/>
      <c r="CJ62" s="37" t="s">
        <v>739</v>
      </c>
      <c r="CK62" s="36"/>
      <c r="CL62" s="37" t="s">
        <v>731</v>
      </c>
      <c r="CM62" s="36"/>
      <c r="CN62" s="37" t="s">
        <v>732</v>
      </c>
      <c r="CO62" s="36"/>
      <c r="CP62" s="37" t="s">
        <v>740</v>
      </c>
      <c r="CQ62" s="36"/>
      <c r="CR62" s="37" t="s">
        <v>733</v>
      </c>
      <c r="CS62" s="36"/>
      <c r="CT62" s="37" t="s">
        <v>734</v>
      </c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 t="s">
        <v>866</v>
      </c>
    </row>
    <row r="63" spans="1:146" s="39" customFormat="1">
      <c r="A63" s="31" t="s">
        <v>146</v>
      </c>
      <c r="B63" s="31" t="s">
        <v>147</v>
      </c>
      <c r="C63" s="32" t="s">
        <v>148</v>
      </c>
      <c r="D63" s="36" t="s">
        <v>803</v>
      </c>
      <c r="E63" s="33">
        <v>45215</v>
      </c>
      <c r="F63" s="33">
        <v>45218</v>
      </c>
      <c r="G63" s="36"/>
      <c r="H63" s="34" t="s">
        <v>612</v>
      </c>
      <c r="I63" s="34" t="s">
        <v>612</v>
      </c>
      <c r="J63" s="35"/>
      <c r="K63" s="35"/>
      <c r="L63" s="35" t="s">
        <v>152</v>
      </c>
      <c r="M63" s="35" t="s">
        <v>153</v>
      </c>
      <c r="N63" s="35" t="s">
        <v>154</v>
      </c>
      <c r="O63" s="35" t="s">
        <v>165</v>
      </c>
      <c r="P63" s="35" t="s">
        <v>613</v>
      </c>
      <c r="Q63" s="35" t="s">
        <v>157</v>
      </c>
      <c r="R63" s="35" t="s">
        <v>152</v>
      </c>
      <c r="S63" s="36" t="s">
        <v>614</v>
      </c>
      <c r="T63" s="32" t="s">
        <v>614</v>
      </c>
      <c r="U63" s="36" t="s">
        <v>615</v>
      </c>
      <c r="V63" s="32"/>
      <c r="W63" s="36"/>
      <c r="X63" s="35"/>
      <c r="Y63" s="35" t="s">
        <v>152</v>
      </c>
      <c r="Z63" s="32" t="s">
        <v>470</v>
      </c>
      <c r="AA63" s="32" t="s">
        <v>616</v>
      </c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6"/>
      <c r="AM63" s="36"/>
      <c r="AN63" s="36" t="s">
        <v>186</v>
      </c>
      <c r="AO63" s="36" t="s">
        <v>973</v>
      </c>
      <c r="AP63" s="36"/>
      <c r="AQ63" s="36"/>
      <c r="AR63" s="36"/>
      <c r="AS63" s="36"/>
      <c r="AT63" s="32"/>
      <c r="AU63" s="32"/>
      <c r="AV63" s="32"/>
      <c r="AW63" s="32"/>
      <c r="AX63" s="32"/>
      <c r="AY63" s="32"/>
      <c r="AZ63" s="32"/>
      <c r="BA63" s="32"/>
      <c r="BB63" s="32" t="s">
        <v>623</v>
      </c>
      <c r="BC63" s="32"/>
      <c r="BD63" s="32"/>
      <c r="BE63" s="32"/>
      <c r="BF63" s="36" t="s">
        <v>972</v>
      </c>
      <c r="BG63" s="36" t="s">
        <v>974</v>
      </c>
      <c r="BH63" s="32"/>
      <c r="BI63" s="36"/>
      <c r="BJ63" s="36"/>
      <c r="BK63" s="36"/>
      <c r="BL63" s="32"/>
      <c r="BM63" s="32"/>
      <c r="BN63" s="32"/>
      <c r="BO63" s="32"/>
      <c r="BP63" s="36" t="s">
        <v>765</v>
      </c>
      <c r="BQ63" s="36" t="s">
        <v>820</v>
      </c>
      <c r="BR63" s="36"/>
      <c r="BS63" s="36"/>
      <c r="BT63" s="36" t="s">
        <v>679</v>
      </c>
      <c r="BU63" s="36" t="s">
        <v>688</v>
      </c>
      <c r="BV63" s="37" t="s">
        <v>725</v>
      </c>
      <c r="BW63" s="36" t="s">
        <v>874</v>
      </c>
      <c r="BX63" s="37" t="s">
        <v>727</v>
      </c>
      <c r="BY63" s="36" t="s">
        <v>835</v>
      </c>
      <c r="BZ63" s="37" t="s">
        <v>728</v>
      </c>
      <c r="CA63" s="36" t="s">
        <v>814</v>
      </c>
      <c r="CB63" s="37" t="s">
        <v>735</v>
      </c>
      <c r="CC63" s="36" t="s">
        <v>768</v>
      </c>
      <c r="CD63" s="37" t="s">
        <v>736</v>
      </c>
      <c r="CE63" s="36" t="s">
        <v>819</v>
      </c>
      <c r="CF63" s="37" t="s">
        <v>737</v>
      </c>
      <c r="CG63" s="36">
        <v>2</v>
      </c>
      <c r="CH63" s="37" t="s">
        <v>738</v>
      </c>
      <c r="CI63" s="36" t="s">
        <v>771</v>
      </c>
      <c r="CJ63" s="37" t="s">
        <v>739</v>
      </c>
      <c r="CK63" s="36">
        <v>22200</v>
      </c>
      <c r="CL63" s="37" t="s">
        <v>731</v>
      </c>
      <c r="CM63" s="36" t="s">
        <v>890</v>
      </c>
      <c r="CN63" s="37" t="s">
        <v>732</v>
      </c>
      <c r="CO63" s="36" t="s">
        <v>975</v>
      </c>
      <c r="CP63" s="37" t="s">
        <v>740</v>
      </c>
      <c r="CQ63" s="36" t="s">
        <v>976</v>
      </c>
      <c r="CR63" s="37" t="s">
        <v>733</v>
      </c>
      <c r="CS63" s="36"/>
      <c r="CT63" s="37" t="s">
        <v>734</v>
      </c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 t="s">
        <v>866</v>
      </c>
    </row>
    <row r="64" spans="1:146" s="39" customFormat="1">
      <c r="A64" s="31" t="s">
        <v>146</v>
      </c>
      <c r="B64" s="31" t="s">
        <v>147</v>
      </c>
      <c r="C64" s="32" t="s">
        <v>148</v>
      </c>
      <c r="D64" s="36" t="s">
        <v>803</v>
      </c>
      <c r="E64" s="33">
        <v>45215</v>
      </c>
      <c r="F64" s="33">
        <v>45218</v>
      </c>
      <c r="G64" s="36"/>
      <c r="H64" s="34" t="s">
        <v>523</v>
      </c>
      <c r="I64" s="34" t="s">
        <v>523</v>
      </c>
      <c r="J64" s="35" t="s">
        <v>524</v>
      </c>
      <c r="K64" s="35" t="s">
        <v>525</v>
      </c>
      <c r="L64" s="35" t="s">
        <v>152</v>
      </c>
      <c r="M64" s="35" t="s">
        <v>153</v>
      </c>
      <c r="N64" s="35" t="s">
        <v>154</v>
      </c>
      <c r="O64" s="35" t="s">
        <v>155</v>
      </c>
      <c r="P64" s="35" t="s">
        <v>526</v>
      </c>
      <c r="Q64" s="35" t="s">
        <v>157</v>
      </c>
      <c r="R64" s="35" t="s">
        <v>152</v>
      </c>
      <c r="S64" s="36" t="s">
        <v>527</v>
      </c>
      <c r="T64" s="32" t="s">
        <v>527</v>
      </c>
      <c r="U64" s="36" t="s">
        <v>528</v>
      </c>
      <c r="V64" s="32"/>
      <c r="W64" s="36" t="s">
        <v>529</v>
      </c>
      <c r="X64" s="35"/>
      <c r="Y64" s="35" t="s">
        <v>152</v>
      </c>
      <c r="Z64" s="32" t="s">
        <v>504</v>
      </c>
      <c r="AA64" s="32" t="s">
        <v>530</v>
      </c>
      <c r="AB64" s="32" t="s">
        <v>531</v>
      </c>
      <c r="AC64" s="32" t="s">
        <v>524</v>
      </c>
      <c r="AD64" s="32"/>
      <c r="AE64" s="32"/>
      <c r="AF64" s="32"/>
      <c r="AG64" s="32"/>
      <c r="AH64" s="32"/>
      <c r="AI64" s="32"/>
      <c r="AJ64" s="32"/>
      <c r="AK64" s="32"/>
      <c r="AL64" s="36"/>
      <c r="AM64" s="36"/>
      <c r="AN64" s="36" t="s">
        <v>186</v>
      </c>
      <c r="AO64" s="36" t="s">
        <v>978</v>
      </c>
      <c r="AP64" s="36" t="s">
        <v>984</v>
      </c>
      <c r="AQ64" s="36"/>
      <c r="AR64" s="36"/>
      <c r="AS64" s="36"/>
      <c r="AT64" s="32"/>
      <c r="AU64" s="32"/>
      <c r="AV64" s="32"/>
      <c r="AW64" s="32"/>
      <c r="AX64" s="32"/>
      <c r="AY64" s="32"/>
      <c r="AZ64" s="32"/>
      <c r="BA64" s="32"/>
      <c r="BB64" s="32" t="s">
        <v>623</v>
      </c>
      <c r="BC64" s="32"/>
      <c r="BD64" s="32"/>
      <c r="BE64" s="32"/>
      <c r="BF64" s="36" t="s">
        <v>977</v>
      </c>
      <c r="BG64" s="36" t="s">
        <v>979</v>
      </c>
      <c r="BH64" s="32"/>
      <c r="BI64" s="36"/>
      <c r="BJ64" s="36"/>
      <c r="BK64" s="36"/>
      <c r="BL64" s="32"/>
      <c r="BM64" s="32"/>
      <c r="BN64" s="32"/>
      <c r="BO64" s="32"/>
      <c r="BP64" s="36" t="s">
        <v>765</v>
      </c>
      <c r="BQ64" s="36" t="s">
        <v>820</v>
      </c>
      <c r="BR64" s="36" t="s">
        <v>983</v>
      </c>
      <c r="BS64" s="36"/>
      <c r="BT64" s="36" t="s">
        <v>679</v>
      </c>
      <c r="BU64" s="36" t="s">
        <v>688</v>
      </c>
      <c r="BV64" s="37" t="s">
        <v>725</v>
      </c>
      <c r="BW64" s="36" t="s">
        <v>874</v>
      </c>
      <c r="BX64" s="37" t="s">
        <v>727</v>
      </c>
      <c r="BY64" s="36" t="s">
        <v>844</v>
      </c>
      <c r="BZ64" s="37" t="s">
        <v>728</v>
      </c>
      <c r="CA64" s="36" t="s">
        <v>808</v>
      </c>
      <c r="CB64" s="37" t="s">
        <v>735</v>
      </c>
      <c r="CC64" s="36" t="s">
        <v>817</v>
      </c>
      <c r="CD64" s="37" t="s">
        <v>736</v>
      </c>
      <c r="CE64" s="36" t="s">
        <v>819</v>
      </c>
      <c r="CF64" s="37" t="s">
        <v>737</v>
      </c>
      <c r="CG64" s="36">
        <v>2</v>
      </c>
      <c r="CH64" s="37" t="s">
        <v>738</v>
      </c>
      <c r="CI64" s="36" t="s">
        <v>771</v>
      </c>
      <c r="CJ64" s="37" t="s">
        <v>739</v>
      </c>
      <c r="CK64" s="36" t="s">
        <v>809</v>
      </c>
      <c r="CL64" s="37" t="s">
        <v>731</v>
      </c>
      <c r="CM64" s="36" t="s">
        <v>980</v>
      </c>
      <c r="CN64" s="37" t="s">
        <v>732</v>
      </c>
      <c r="CO64" s="36" t="s">
        <v>981</v>
      </c>
      <c r="CP64" s="37" t="s">
        <v>740</v>
      </c>
      <c r="CQ64" s="36" t="s">
        <v>982</v>
      </c>
      <c r="CR64" s="37" t="s">
        <v>733</v>
      </c>
      <c r="CS64" s="36"/>
      <c r="CT64" s="37" t="s">
        <v>734</v>
      </c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 t="s">
        <v>866</v>
      </c>
    </row>
    <row r="65" spans="1:146" s="39" customFormat="1">
      <c r="A65" s="31" t="s">
        <v>146</v>
      </c>
      <c r="B65" s="31" t="s">
        <v>147</v>
      </c>
      <c r="C65" s="32" t="s">
        <v>148</v>
      </c>
      <c r="D65" s="36" t="s">
        <v>803</v>
      </c>
      <c r="E65" s="33">
        <v>45215</v>
      </c>
      <c r="F65" s="33">
        <v>45218</v>
      </c>
      <c r="G65" s="36"/>
      <c r="H65" s="34" t="s">
        <v>515</v>
      </c>
      <c r="I65" s="34" t="s">
        <v>515</v>
      </c>
      <c r="J65" s="35" t="s">
        <v>516</v>
      </c>
      <c r="K65" s="35" t="s">
        <v>517</v>
      </c>
      <c r="L65" s="35" t="s">
        <v>152</v>
      </c>
      <c r="M65" s="35" t="s">
        <v>153</v>
      </c>
      <c r="N65" s="35" t="s">
        <v>154</v>
      </c>
      <c r="O65" s="35" t="s">
        <v>155</v>
      </c>
      <c r="P65" s="35" t="s">
        <v>518</v>
      </c>
      <c r="Q65" s="35" t="s">
        <v>157</v>
      </c>
      <c r="R65" s="35" t="s">
        <v>152</v>
      </c>
      <c r="S65" s="36" t="s">
        <v>519</v>
      </c>
      <c r="T65" s="32" t="s">
        <v>519</v>
      </c>
      <c r="U65" s="36" t="s">
        <v>520</v>
      </c>
      <c r="V65" s="32"/>
      <c r="W65" s="36" t="s">
        <v>520</v>
      </c>
      <c r="X65" s="35"/>
      <c r="Y65" s="35" t="s">
        <v>152</v>
      </c>
      <c r="Z65" s="32" t="s">
        <v>475</v>
      </c>
      <c r="AA65" s="32" t="s">
        <v>521</v>
      </c>
      <c r="AB65" s="32" t="s">
        <v>469</v>
      </c>
      <c r="AC65" s="32" t="s">
        <v>522</v>
      </c>
      <c r="AD65" s="32"/>
      <c r="AE65" s="32"/>
      <c r="AF65" s="32"/>
      <c r="AG65" s="32"/>
      <c r="AH65" s="32"/>
      <c r="AI65" s="32"/>
      <c r="AJ65" s="32"/>
      <c r="AK65" s="32"/>
      <c r="AL65" s="36"/>
      <c r="AM65" s="36"/>
      <c r="AN65" s="36" t="s">
        <v>186</v>
      </c>
      <c r="AO65" s="36" t="s">
        <v>996</v>
      </c>
      <c r="AP65" s="36"/>
      <c r="AQ65" s="36"/>
      <c r="AR65" s="36"/>
      <c r="AS65" s="36"/>
      <c r="AT65" s="32"/>
      <c r="AU65" s="32"/>
      <c r="AV65" s="32"/>
      <c r="AW65" s="32"/>
      <c r="AX65" s="32"/>
      <c r="AY65" s="32"/>
      <c r="AZ65" s="32"/>
      <c r="BA65" s="32"/>
      <c r="BB65" s="32" t="s">
        <v>623</v>
      </c>
      <c r="BC65" s="32"/>
      <c r="BD65" s="32"/>
      <c r="BE65" s="32"/>
      <c r="BF65" s="36" t="s">
        <v>997</v>
      </c>
      <c r="BG65" s="36" t="s">
        <v>998</v>
      </c>
      <c r="BH65" s="32"/>
      <c r="BI65" s="36" t="s">
        <v>985</v>
      </c>
      <c r="BJ65" s="36"/>
      <c r="BK65" s="36" t="s">
        <v>986</v>
      </c>
      <c r="BL65" s="32"/>
      <c r="BM65" s="32"/>
      <c r="BN65" s="32"/>
      <c r="BO65" s="32"/>
      <c r="BP65" s="36" t="s">
        <v>765</v>
      </c>
      <c r="BQ65" s="36" t="s">
        <v>820</v>
      </c>
      <c r="BR65" s="36"/>
      <c r="BS65" s="36"/>
      <c r="BT65" s="36" t="s">
        <v>679</v>
      </c>
      <c r="BU65" s="36" t="s">
        <v>688</v>
      </c>
      <c r="BV65" s="37" t="s">
        <v>725</v>
      </c>
      <c r="BW65" s="36" t="s">
        <v>874</v>
      </c>
      <c r="BX65" s="37" t="s">
        <v>727</v>
      </c>
      <c r="BY65" s="36" t="s">
        <v>846</v>
      </c>
      <c r="BZ65" s="37" t="s">
        <v>728</v>
      </c>
      <c r="CA65" s="36" t="s">
        <v>847</v>
      </c>
      <c r="CB65" s="37" t="s">
        <v>735</v>
      </c>
      <c r="CC65" s="36" t="s">
        <v>810</v>
      </c>
      <c r="CD65" s="37" t="s">
        <v>736</v>
      </c>
      <c r="CE65" s="36" t="s">
        <v>819</v>
      </c>
      <c r="CF65" s="37" t="s">
        <v>737</v>
      </c>
      <c r="CG65" s="36">
        <v>2</v>
      </c>
      <c r="CH65" s="37" t="s">
        <v>738</v>
      </c>
      <c r="CI65" s="36" t="s">
        <v>771</v>
      </c>
      <c r="CJ65" s="37" t="s">
        <v>739</v>
      </c>
      <c r="CK65" s="36"/>
      <c r="CL65" s="37" t="s">
        <v>731</v>
      </c>
      <c r="CM65" s="36" t="s">
        <v>999</v>
      </c>
      <c r="CN65" s="37" t="s">
        <v>732</v>
      </c>
      <c r="CO65" s="36" t="s">
        <v>1000</v>
      </c>
      <c r="CP65" s="37" t="s">
        <v>740</v>
      </c>
      <c r="CQ65" s="36" t="s">
        <v>1001</v>
      </c>
      <c r="CR65" s="37" t="s">
        <v>733</v>
      </c>
      <c r="CS65" s="36"/>
      <c r="CT65" s="37" t="s">
        <v>734</v>
      </c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 t="s">
        <v>866</v>
      </c>
    </row>
    <row r="66" spans="1:146" s="39" customFormat="1">
      <c r="A66" s="31" t="s">
        <v>146</v>
      </c>
      <c r="B66" s="31" t="s">
        <v>147</v>
      </c>
      <c r="C66" s="32" t="s">
        <v>148</v>
      </c>
      <c r="D66" s="36" t="s">
        <v>803</v>
      </c>
      <c r="E66" s="33">
        <v>45215</v>
      </c>
      <c r="F66" s="33">
        <v>45218</v>
      </c>
      <c r="G66" s="36"/>
      <c r="H66" s="34" t="s">
        <v>602</v>
      </c>
      <c r="I66" s="34" t="s">
        <v>602</v>
      </c>
      <c r="J66" s="35"/>
      <c r="K66" s="35"/>
      <c r="L66" s="35" t="s">
        <v>152</v>
      </c>
      <c r="M66" s="35" t="s">
        <v>153</v>
      </c>
      <c r="N66" s="35" t="s">
        <v>154</v>
      </c>
      <c r="O66" s="35" t="s">
        <v>165</v>
      </c>
      <c r="P66" s="35" t="s">
        <v>603</v>
      </c>
      <c r="Q66" s="35" t="s">
        <v>157</v>
      </c>
      <c r="R66" s="35" t="s">
        <v>152</v>
      </c>
      <c r="S66" s="36" t="s">
        <v>604</v>
      </c>
      <c r="T66" s="32" t="s">
        <v>604</v>
      </c>
      <c r="U66" s="36" t="s">
        <v>605</v>
      </c>
      <c r="V66" s="32"/>
      <c r="W66" s="36"/>
      <c r="X66" s="35"/>
      <c r="Y66" s="35" t="s">
        <v>152</v>
      </c>
      <c r="Z66" s="32" t="s">
        <v>470</v>
      </c>
      <c r="AA66" s="32" t="s">
        <v>606</v>
      </c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6"/>
      <c r="AM66" s="36"/>
      <c r="AN66" s="36" t="s">
        <v>186</v>
      </c>
      <c r="AO66" s="36" t="s">
        <v>1002</v>
      </c>
      <c r="AP66" s="36"/>
      <c r="AQ66" s="36"/>
      <c r="AR66" s="36"/>
      <c r="AS66" s="36"/>
      <c r="AT66" s="32"/>
      <c r="AU66" s="32"/>
      <c r="AV66" s="32"/>
      <c r="AW66" s="32"/>
      <c r="AX66" s="32"/>
      <c r="AY66" s="32"/>
      <c r="AZ66" s="32"/>
      <c r="BA66" s="32"/>
      <c r="BB66" s="32" t="s">
        <v>623</v>
      </c>
      <c r="BC66" s="32"/>
      <c r="BD66" s="32"/>
      <c r="BE66" s="32"/>
      <c r="BF66" s="36" t="s">
        <v>1003</v>
      </c>
      <c r="BG66" s="36" t="s">
        <v>1004</v>
      </c>
      <c r="BH66" s="32"/>
      <c r="BI66" s="36"/>
      <c r="BJ66" s="36"/>
      <c r="BK66" s="36"/>
      <c r="BL66" s="32"/>
      <c r="BM66" s="32"/>
      <c r="BN66" s="32"/>
      <c r="BO66" s="32"/>
      <c r="BP66" s="36" t="s">
        <v>765</v>
      </c>
      <c r="BQ66" s="36" t="s">
        <v>820</v>
      </c>
      <c r="BR66" s="36" t="s">
        <v>990</v>
      </c>
      <c r="BS66" s="36"/>
      <c r="BT66" s="36" t="s">
        <v>679</v>
      </c>
      <c r="BU66" s="36" t="s">
        <v>688</v>
      </c>
      <c r="BV66" s="37" t="s">
        <v>725</v>
      </c>
      <c r="BW66" s="36" t="s">
        <v>874</v>
      </c>
      <c r="BX66" s="37" t="s">
        <v>727</v>
      </c>
      <c r="BY66" s="36" t="s">
        <v>987</v>
      </c>
      <c r="BZ66" s="37" t="s">
        <v>728</v>
      </c>
      <c r="CA66" s="36" t="s">
        <v>988</v>
      </c>
      <c r="CB66" s="37" t="s">
        <v>735</v>
      </c>
      <c r="CC66" s="36" t="s">
        <v>989</v>
      </c>
      <c r="CD66" s="37" t="s">
        <v>736</v>
      </c>
      <c r="CE66" s="36" t="s">
        <v>770</v>
      </c>
      <c r="CF66" s="37" t="s">
        <v>737</v>
      </c>
      <c r="CG66" s="36">
        <v>2</v>
      </c>
      <c r="CH66" s="37" t="s">
        <v>738</v>
      </c>
      <c r="CI66" s="36" t="s">
        <v>911</v>
      </c>
      <c r="CJ66" s="37" t="s">
        <v>739</v>
      </c>
      <c r="CK66" s="36"/>
      <c r="CL66" s="37" t="s">
        <v>731</v>
      </c>
      <c r="CM66" s="36" t="s">
        <v>1005</v>
      </c>
      <c r="CN66" s="37" t="s">
        <v>732</v>
      </c>
      <c r="CO66" s="36" t="s">
        <v>1006</v>
      </c>
      <c r="CP66" s="37" t="s">
        <v>740</v>
      </c>
      <c r="CQ66" s="36" t="s">
        <v>1007</v>
      </c>
      <c r="CR66" s="37" t="s">
        <v>733</v>
      </c>
      <c r="CS66" s="36"/>
      <c r="CT66" s="37" t="s">
        <v>734</v>
      </c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 t="s">
        <v>866</v>
      </c>
    </row>
    <row r="67" spans="1:146" s="39" customFormat="1">
      <c r="A67" s="31" t="s">
        <v>146</v>
      </c>
      <c r="B67" s="31" t="s">
        <v>147</v>
      </c>
      <c r="C67" s="32" t="s">
        <v>148</v>
      </c>
      <c r="D67" s="36" t="s">
        <v>803</v>
      </c>
      <c r="E67" s="33">
        <v>45215</v>
      </c>
      <c r="F67" s="33">
        <v>45218</v>
      </c>
      <c r="G67" s="36"/>
      <c r="H67" s="34" t="s">
        <v>556</v>
      </c>
      <c r="I67" s="34" t="s">
        <v>556</v>
      </c>
      <c r="J67" s="35"/>
      <c r="K67" s="35"/>
      <c r="L67" s="35" t="s">
        <v>152</v>
      </c>
      <c r="M67" s="35" t="s">
        <v>153</v>
      </c>
      <c r="N67" s="35" t="s">
        <v>154</v>
      </c>
      <c r="O67" s="35" t="s">
        <v>155</v>
      </c>
      <c r="P67" s="35" t="s">
        <v>557</v>
      </c>
      <c r="Q67" s="35" t="s">
        <v>157</v>
      </c>
      <c r="R67" s="35" t="s">
        <v>152</v>
      </c>
      <c r="S67" s="36" t="s">
        <v>558</v>
      </c>
      <c r="T67" s="32" t="s">
        <v>558</v>
      </c>
      <c r="U67" s="36" t="s">
        <v>559</v>
      </c>
      <c r="V67" s="32"/>
      <c r="W67" s="36"/>
      <c r="X67" s="35"/>
      <c r="Y67" s="35" t="s">
        <v>152</v>
      </c>
      <c r="Z67" s="32" t="s">
        <v>475</v>
      </c>
      <c r="AA67" s="32" t="s">
        <v>560</v>
      </c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6"/>
      <c r="AM67" s="36"/>
      <c r="AN67" s="36" t="s">
        <v>1011</v>
      </c>
      <c r="AO67" s="36" t="s">
        <v>1012</v>
      </c>
      <c r="AP67" s="36"/>
      <c r="AQ67" s="36"/>
      <c r="AR67" s="36"/>
      <c r="AS67" s="36"/>
      <c r="AT67" s="32"/>
      <c r="AU67" s="32"/>
      <c r="AV67" s="32"/>
      <c r="AW67" s="32"/>
      <c r="AX67" s="32"/>
      <c r="AY67" s="32"/>
      <c r="AZ67" s="32"/>
      <c r="BA67" s="32"/>
      <c r="BB67" s="32" t="s">
        <v>623</v>
      </c>
      <c r="BC67" s="32"/>
      <c r="BD67" s="32"/>
      <c r="BE67" s="32"/>
      <c r="BF67" s="36" t="s">
        <v>1013</v>
      </c>
      <c r="BG67" s="36" t="s">
        <v>995</v>
      </c>
      <c r="BH67" s="32"/>
      <c r="BI67" s="36"/>
      <c r="BJ67" s="36"/>
      <c r="BK67" s="36"/>
      <c r="BL67" s="32"/>
      <c r="BM67" s="32"/>
      <c r="BN67" s="32"/>
      <c r="BO67" s="32"/>
      <c r="BP67" s="36" t="s">
        <v>765</v>
      </c>
      <c r="BQ67" s="36" t="s">
        <v>858</v>
      </c>
      <c r="BR67" s="36"/>
      <c r="BS67" s="36"/>
      <c r="BT67" s="36" t="s">
        <v>679</v>
      </c>
      <c r="BU67" s="36" t="s">
        <v>688</v>
      </c>
      <c r="BV67" s="36" t="s">
        <v>725</v>
      </c>
      <c r="BW67" s="36" t="s">
        <v>860</v>
      </c>
      <c r="BX67" s="36" t="s">
        <v>727</v>
      </c>
      <c r="BY67" s="36" t="s">
        <v>937</v>
      </c>
      <c r="BZ67" s="36" t="s">
        <v>728</v>
      </c>
      <c r="CA67" s="36" t="s">
        <v>873</v>
      </c>
      <c r="CB67" s="36" t="s">
        <v>735</v>
      </c>
      <c r="CC67" s="36" t="s">
        <v>1014</v>
      </c>
      <c r="CD67" s="36" t="s">
        <v>736</v>
      </c>
      <c r="CE67" s="36" t="s">
        <v>770</v>
      </c>
      <c r="CF67" s="36" t="s">
        <v>737</v>
      </c>
      <c r="CG67" s="36">
        <v>1</v>
      </c>
      <c r="CH67" s="36" t="s">
        <v>738</v>
      </c>
      <c r="CI67" s="36"/>
      <c r="CJ67" s="36" t="s">
        <v>739</v>
      </c>
      <c r="CK67" s="36" t="s">
        <v>1017</v>
      </c>
      <c r="CL67" s="36" t="s">
        <v>731</v>
      </c>
      <c r="CM67" s="36" t="s">
        <v>1018</v>
      </c>
      <c r="CN67" s="36" t="s">
        <v>732</v>
      </c>
      <c r="CO67" s="36" t="s">
        <v>1019</v>
      </c>
      <c r="CP67" s="36" t="s">
        <v>740</v>
      </c>
      <c r="CQ67" s="36" t="s">
        <v>1020</v>
      </c>
      <c r="CR67" s="36" t="s">
        <v>733</v>
      </c>
      <c r="CS67" s="36"/>
      <c r="CT67" s="36" t="s">
        <v>734</v>
      </c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 t="s">
        <v>866</v>
      </c>
    </row>
    <row r="68" spans="1:146" s="39" customFormat="1">
      <c r="A68" s="31" t="s">
        <v>146</v>
      </c>
      <c r="B68" s="31" t="s">
        <v>147</v>
      </c>
      <c r="C68" s="32" t="s">
        <v>148</v>
      </c>
      <c r="D68" s="36" t="s">
        <v>803</v>
      </c>
      <c r="E68" s="33">
        <v>45215</v>
      </c>
      <c r="F68" s="33">
        <v>45218</v>
      </c>
      <c r="G68" s="36"/>
      <c r="H68" s="34" t="s">
        <v>199</v>
      </c>
      <c r="I68" s="34" t="s">
        <v>199</v>
      </c>
      <c r="J68" s="35"/>
      <c r="K68" s="35"/>
      <c r="L68" s="35" t="s">
        <v>152</v>
      </c>
      <c r="M68" s="35" t="s">
        <v>153</v>
      </c>
      <c r="N68" s="35" t="s">
        <v>154</v>
      </c>
      <c r="O68" s="35" t="s">
        <v>165</v>
      </c>
      <c r="P68" s="35" t="s">
        <v>200</v>
      </c>
      <c r="Q68" s="35" t="s">
        <v>157</v>
      </c>
      <c r="R68" s="35" t="s">
        <v>152</v>
      </c>
      <c r="S68" s="36" t="s">
        <v>201</v>
      </c>
      <c r="T68" s="32" t="s">
        <v>201</v>
      </c>
      <c r="U68" s="36" t="s">
        <v>202</v>
      </c>
      <c r="V68" s="32"/>
      <c r="W68" s="36"/>
      <c r="X68" s="35"/>
      <c r="Y68" s="35" t="s">
        <v>152</v>
      </c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6"/>
      <c r="AM68" s="36"/>
      <c r="AN68" s="36" t="s">
        <v>186</v>
      </c>
      <c r="AO68" s="36" t="s">
        <v>1015</v>
      </c>
      <c r="AP68" s="36"/>
      <c r="AQ68" s="36"/>
      <c r="AR68" s="36"/>
      <c r="AS68" s="36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6" t="s">
        <v>1016</v>
      </c>
      <c r="BG68" s="36"/>
      <c r="BH68" s="32"/>
      <c r="BI68" s="36" t="s">
        <v>1023</v>
      </c>
      <c r="BJ68" s="36" t="s">
        <v>1025</v>
      </c>
      <c r="BK68" s="36" t="s">
        <v>1024</v>
      </c>
      <c r="BL68" s="32"/>
      <c r="BM68" s="32"/>
      <c r="BN68" s="32"/>
      <c r="BO68" s="32"/>
      <c r="BP68" s="36" t="s">
        <v>765</v>
      </c>
      <c r="BQ68" s="36" t="s">
        <v>858</v>
      </c>
      <c r="BR68" s="36"/>
      <c r="BS68" s="36"/>
      <c r="BT68" s="36" t="s">
        <v>679</v>
      </c>
      <c r="BU68" s="36" t="s">
        <v>688</v>
      </c>
      <c r="BV68" s="37" t="s">
        <v>725</v>
      </c>
      <c r="BW68" s="36" t="s">
        <v>860</v>
      </c>
      <c r="BX68" s="37" t="s">
        <v>727</v>
      </c>
      <c r="BY68" s="36" t="s">
        <v>768</v>
      </c>
      <c r="BZ68" s="37" t="s">
        <v>728</v>
      </c>
      <c r="CA68" s="36" t="s">
        <v>845</v>
      </c>
      <c r="CB68" s="37" t="s">
        <v>735</v>
      </c>
      <c r="CC68" s="36" t="s">
        <v>806</v>
      </c>
      <c r="CD68" s="37" t="s">
        <v>736</v>
      </c>
      <c r="CE68" s="36"/>
      <c r="CF68" s="37" t="s">
        <v>737</v>
      </c>
      <c r="CG68" s="36">
        <v>1</v>
      </c>
      <c r="CH68" s="37" t="s">
        <v>738</v>
      </c>
      <c r="CI68" s="36" t="s">
        <v>1021</v>
      </c>
      <c r="CJ68" s="37" t="s">
        <v>739</v>
      </c>
      <c r="CK68" s="36"/>
      <c r="CL68" s="37" t="s">
        <v>731</v>
      </c>
      <c r="CM68" s="36" t="s">
        <v>833</v>
      </c>
      <c r="CN68" s="37" t="s">
        <v>732</v>
      </c>
      <c r="CO68" s="36" t="s">
        <v>832</v>
      </c>
      <c r="CP68" s="37" t="s">
        <v>740</v>
      </c>
      <c r="CQ68" s="36" t="s">
        <v>1022</v>
      </c>
      <c r="CR68" s="37" t="s">
        <v>733</v>
      </c>
      <c r="CS68" s="36"/>
      <c r="CT68" s="37" t="s">
        <v>734</v>
      </c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 t="s">
        <v>866</v>
      </c>
    </row>
    <row r="69" spans="1:146" s="39" customFormat="1">
      <c r="A69" s="31" t="s">
        <v>146</v>
      </c>
      <c r="B69" s="31" t="s">
        <v>147</v>
      </c>
      <c r="C69" s="32" t="s">
        <v>148</v>
      </c>
      <c r="D69" s="32" t="s">
        <v>803</v>
      </c>
      <c r="E69" s="33">
        <v>45215</v>
      </c>
      <c r="F69" s="33">
        <v>45218</v>
      </c>
      <c r="G69" s="32"/>
      <c r="H69" s="34" t="s">
        <v>149</v>
      </c>
      <c r="I69" s="34" t="s">
        <v>149</v>
      </c>
      <c r="J69" s="35" t="s">
        <v>150</v>
      </c>
      <c r="K69" s="35" t="s">
        <v>151</v>
      </c>
      <c r="L69" s="35" t="s">
        <v>152</v>
      </c>
      <c r="M69" s="35" t="s">
        <v>153</v>
      </c>
      <c r="N69" s="35" t="s">
        <v>154</v>
      </c>
      <c r="O69" s="35" t="s">
        <v>155</v>
      </c>
      <c r="P69" s="35" t="s">
        <v>156</v>
      </c>
      <c r="Q69" s="35" t="s">
        <v>157</v>
      </c>
      <c r="R69" s="35" t="s">
        <v>152</v>
      </c>
      <c r="S69" s="32" t="s">
        <v>158</v>
      </c>
      <c r="T69" s="32" t="s">
        <v>158</v>
      </c>
      <c r="U69" s="32" t="s">
        <v>159</v>
      </c>
      <c r="V69" s="32"/>
      <c r="W69" s="32" t="s">
        <v>160</v>
      </c>
      <c r="X69" s="35"/>
      <c r="Y69" s="35" t="s">
        <v>152</v>
      </c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 t="s">
        <v>152</v>
      </c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 t="s">
        <v>782</v>
      </c>
      <c r="BG69" s="32"/>
      <c r="BH69" s="32"/>
      <c r="BI69" s="32" t="s">
        <v>1037</v>
      </c>
      <c r="BJ69" s="32" t="s">
        <v>1038</v>
      </c>
      <c r="BK69" s="32" t="s">
        <v>1039</v>
      </c>
      <c r="BL69" s="32"/>
      <c r="BM69" s="32"/>
      <c r="BN69" s="32"/>
      <c r="BO69" s="32"/>
      <c r="BP69" s="32" t="s">
        <v>762</v>
      </c>
      <c r="BQ69" s="32" t="s">
        <v>821</v>
      </c>
      <c r="BR69" s="32" t="s">
        <v>1040</v>
      </c>
      <c r="BS69" s="32"/>
      <c r="BT69" s="32" t="s">
        <v>679</v>
      </c>
      <c r="BU69" s="32" t="s">
        <v>684</v>
      </c>
      <c r="BV69" s="36" t="s">
        <v>725</v>
      </c>
      <c r="BW69" s="36"/>
      <c r="BX69" s="36" t="s">
        <v>727</v>
      </c>
      <c r="BY69" s="36"/>
      <c r="BZ69" s="36" t="s">
        <v>728</v>
      </c>
      <c r="CA69" s="36"/>
      <c r="CB69" s="36" t="s">
        <v>744</v>
      </c>
      <c r="CC69" s="36"/>
      <c r="CD69" s="36" t="s">
        <v>743</v>
      </c>
      <c r="CE69" s="36"/>
      <c r="CF69" s="36" t="s">
        <v>733</v>
      </c>
      <c r="CG69" s="36"/>
      <c r="CH69" s="36" t="s">
        <v>734</v>
      </c>
      <c r="CI69" s="32"/>
      <c r="CJ69" s="38"/>
      <c r="CK69" s="32"/>
      <c r="CL69" s="38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6" t="s">
        <v>866</v>
      </c>
    </row>
    <row r="70" spans="1:146" s="39" customFormat="1">
      <c r="A70" s="31" t="s">
        <v>146</v>
      </c>
      <c r="B70" s="31" t="s">
        <v>147</v>
      </c>
      <c r="C70" s="32" t="s">
        <v>148</v>
      </c>
      <c r="D70" s="32" t="s">
        <v>803</v>
      </c>
      <c r="E70" s="33">
        <v>45215</v>
      </c>
      <c r="F70" s="33">
        <v>45218</v>
      </c>
      <c r="G70" s="32"/>
      <c r="H70" s="34" t="s">
        <v>249</v>
      </c>
      <c r="I70" s="34" t="s">
        <v>249</v>
      </c>
      <c r="J70" s="35"/>
      <c r="K70" s="35"/>
      <c r="L70" s="35" t="s">
        <v>152</v>
      </c>
      <c r="M70" s="35" t="s">
        <v>153</v>
      </c>
      <c r="N70" s="35" t="s">
        <v>154</v>
      </c>
      <c r="O70" s="35" t="s">
        <v>166</v>
      </c>
      <c r="P70" s="35" t="s">
        <v>250</v>
      </c>
      <c r="Q70" s="35" t="s">
        <v>157</v>
      </c>
      <c r="R70" s="35" t="s">
        <v>152</v>
      </c>
      <c r="S70" s="32" t="s">
        <v>251</v>
      </c>
      <c r="T70" s="32" t="s">
        <v>251</v>
      </c>
      <c r="U70" s="32" t="s">
        <v>252</v>
      </c>
      <c r="V70" s="32"/>
      <c r="W70" s="32"/>
      <c r="X70" s="35"/>
      <c r="Y70" s="35" t="s">
        <v>152</v>
      </c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 t="s">
        <v>152</v>
      </c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 t="s">
        <v>782</v>
      </c>
      <c r="BG70" s="32"/>
      <c r="BH70" s="32"/>
      <c r="BI70" s="32" t="s">
        <v>1041</v>
      </c>
      <c r="BJ70" s="32" t="s">
        <v>1042</v>
      </c>
      <c r="BK70" s="32" t="s">
        <v>1043</v>
      </c>
      <c r="BL70" s="32"/>
      <c r="BM70" s="32"/>
      <c r="BN70" s="32"/>
      <c r="BO70" s="32"/>
      <c r="BP70" s="32" t="s">
        <v>762</v>
      </c>
      <c r="BQ70" s="32" t="s">
        <v>821</v>
      </c>
      <c r="BR70" s="32" t="s">
        <v>1044</v>
      </c>
      <c r="BS70" s="32"/>
      <c r="BT70" s="32" t="s">
        <v>679</v>
      </c>
      <c r="BU70" s="32" t="s">
        <v>684</v>
      </c>
      <c r="BV70" s="36" t="s">
        <v>725</v>
      </c>
      <c r="BW70" s="36" t="s">
        <v>1045</v>
      </c>
      <c r="BX70" s="36" t="s">
        <v>727</v>
      </c>
      <c r="BY70" s="36"/>
      <c r="BZ70" s="36" t="s">
        <v>728</v>
      </c>
      <c r="CA70" s="36"/>
      <c r="CB70" s="36" t="s">
        <v>744</v>
      </c>
      <c r="CC70" s="36"/>
      <c r="CD70" s="36" t="s">
        <v>743</v>
      </c>
      <c r="CE70" s="36"/>
      <c r="CF70" s="36" t="s">
        <v>733</v>
      </c>
      <c r="CG70" s="36"/>
      <c r="CH70" s="36" t="s">
        <v>734</v>
      </c>
      <c r="CI70" s="32"/>
      <c r="CJ70" s="38"/>
      <c r="CK70" s="32"/>
      <c r="CL70" s="38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6" t="s">
        <v>866</v>
      </c>
    </row>
    <row r="71" spans="1:146" s="39" customFormat="1">
      <c r="A71" s="31" t="s">
        <v>146</v>
      </c>
      <c r="B71" s="31" t="s">
        <v>147</v>
      </c>
      <c r="C71" s="32" t="s">
        <v>148</v>
      </c>
      <c r="D71" s="32" t="s">
        <v>803</v>
      </c>
      <c r="E71" s="33">
        <v>45215</v>
      </c>
      <c r="F71" s="33">
        <v>45218</v>
      </c>
      <c r="G71" s="32"/>
      <c r="H71" s="34" t="s">
        <v>253</v>
      </c>
      <c r="I71" s="34" t="s">
        <v>253</v>
      </c>
      <c r="J71" s="35"/>
      <c r="K71" s="35"/>
      <c r="L71" s="35" t="s">
        <v>152</v>
      </c>
      <c r="M71" s="35" t="s">
        <v>153</v>
      </c>
      <c r="N71" s="35" t="s">
        <v>154</v>
      </c>
      <c r="O71" s="35" t="s">
        <v>166</v>
      </c>
      <c r="P71" s="35" t="s">
        <v>254</v>
      </c>
      <c r="Q71" s="35" t="s">
        <v>157</v>
      </c>
      <c r="R71" s="35" t="s">
        <v>152</v>
      </c>
      <c r="S71" s="32" t="s">
        <v>255</v>
      </c>
      <c r="T71" s="32" t="s">
        <v>255</v>
      </c>
      <c r="U71" s="32" t="s">
        <v>256</v>
      </c>
      <c r="V71" s="32"/>
      <c r="W71" s="32"/>
      <c r="X71" s="35"/>
      <c r="Y71" s="35" t="s">
        <v>152</v>
      </c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 t="s">
        <v>152</v>
      </c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 t="s">
        <v>782</v>
      </c>
      <c r="BG71" s="32"/>
      <c r="BH71" s="32"/>
      <c r="BI71" s="32" t="s">
        <v>1046</v>
      </c>
      <c r="BK71" s="32" t="s">
        <v>883</v>
      </c>
      <c r="BL71" s="32"/>
      <c r="BM71" s="32"/>
      <c r="BN71" s="32"/>
      <c r="BO71" s="32"/>
      <c r="BP71" s="32" t="s">
        <v>762</v>
      </c>
      <c r="BQ71" s="32" t="s">
        <v>821</v>
      </c>
      <c r="BR71" s="32" t="s">
        <v>1047</v>
      </c>
      <c r="BS71" s="32"/>
      <c r="BT71" s="32" t="s">
        <v>679</v>
      </c>
      <c r="BU71" s="32" t="s">
        <v>684</v>
      </c>
      <c r="BV71" s="36" t="s">
        <v>725</v>
      </c>
      <c r="BW71" s="36" t="s">
        <v>859</v>
      </c>
      <c r="BX71" s="36" t="s">
        <v>727</v>
      </c>
      <c r="BY71" s="36"/>
      <c r="BZ71" s="36" t="s">
        <v>728</v>
      </c>
      <c r="CA71" s="36"/>
      <c r="CB71" s="36" t="s">
        <v>744</v>
      </c>
      <c r="CC71" s="36"/>
      <c r="CD71" s="36" t="s">
        <v>743</v>
      </c>
      <c r="CE71" s="36"/>
      <c r="CF71" s="36" t="s">
        <v>733</v>
      </c>
      <c r="CG71" s="36"/>
      <c r="CH71" s="36" t="s">
        <v>734</v>
      </c>
      <c r="CI71" s="32"/>
      <c r="CJ71" s="38"/>
      <c r="CK71" s="32"/>
      <c r="CL71" s="38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6" t="s">
        <v>866</v>
      </c>
    </row>
    <row r="72" spans="1:146" s="39" customFormat="1">
      <c r="A72" s="31" t="s">
        <v>146</v>
      </c>
      <c r="B72" s="31" t="s">
        <v>147</v>
      </c>
      <c r="C72" s="32" t="s">
        <v>148</v>
      </c>
      <c r="D72" s="32" t="s">
        <v>803</v>
      </c>
      <c r="E72" s="33">
        <v>45215</v>
      </c>
      <c r="F72" s="33">
        <v>45218</v>
      </c>
      <c r="G72" s="32"/>
      <c r="H72" s="34" t="s">
        <v>257</v>
      </c>
      <c r="I72" s="34" t="s">
        <v>257</v>
      </c>
      <c r="J72" s="35"/>
      <c r="K72" s="35"/>
      <c r="L72" s="35" t="s">
        <v>152</v>
      </c>
      <c r="M72" s="35" t="s">
        <v>153</v>
      </c>
      <c r="N72" s="35" t="s">
        <v>154</v>
      </c>
      <c r="O72" s="35" t="s">
        <v>166</v>
      </c>
      <c r="P72" s="35" t="s">
        <v>258</v>
      </c>
      <c r="Q72" s="35" t="s">
        <v>157</v>
      </c>
      <c r="R72" s="35" t="s">
        <v>152</v>
      </c>
      <c r="S72" s="32" t="s">
        <v>259</v>
      </c>
      <c r="T72" s="32" t="s">
        <v>259</v>
      </c>
      <c r="U72" s="32" t="s">
        <v>260</v>
      </c>
      <c r="V72" s="32"/>
      <c r="W72" s="32"/>
      <c r="X72" s="35"/>
      <c r="Y72" s="35" t="s">
        <v>152</v>
      </c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 t="s">
        <v>152</v>
      </c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 t="s">
        <v>782</v>
      </c>
      <c r="BG72" s="32"/>
      <c r="BH72" s="32"/>
      <c r="BI72" s="32" t="s">
        <v>1051</v>
      </c>
      <c r="BK72" s="32" t="s">
        <v>1050</v>
      </c>
      <c r="BL72" s="32"/>
      <c r="BM72" s="32"/>
      <c r="BN72" s="32"/>
      <c r="BO72" s="32" t="s">
        <v>1048</v>
      </c>
      <c r="BP72" s="32" t="s">
        <v>762</v>
      </c>
      <c r="BQ72" s="32" t="s">
        <v>821</v>
      </c>
      <c r="BR72" s="32" t="s">
        <v>1052</v>
      </c>
      <c r="BS72" s="32"/>
      <c r="BT72" s="32" t="s">
        <v>679</v>
      </c>
      <c r="BU72" s="32" t="s">
        <v>684</v>
      </c>
      <c r="BV72" s="36" t="s">
        <v>725</v>
      </c>
      <c r="BW72" s="36" t="s">
        <v>1049</v>
      </c>
      <c r="BX72" s="36" t="s">
        <v>727</v>
      </c>
      <c r="BY72" s="36"/>
      <c r="BZ72" s="36" t="s">
        <v>728</v>
      </c>
      <c r="CA72" s="36"/>
      <c r="CB72" s="36" t="s">
        <v>744</v>
      </c>
      <c r="CC72" s="36"/>
      <c r="CD72" s="36" t="s">
        <v>743</v>
      </c>
      <c r="CE72" s="36"/>
      <c r="CF72" s="36" t="s">
        <v>733</v>
      </c>
      <c r="CG72" s="36"/>
      <c r="CH72" s="36" t="s">
        <v>734</v>
      </c>
      <c r="CI72" s="32"/>
      <c r="CJ72" s="38"/>
      <c r="CK72" s="32"/>
      <c r="CL72" s="38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6" t="s">
        <v>866</v>
      </c>
    </row>
    <row r="73" spans="1:146" s="39" customFormat="1">
      <c r="A73" s="31" t="s">
        <v>146</v>
      </c>
      <c r="B73" s="31" t="s">
        <v>147</v>
      </c>
      <c r="C73" s="32" t="s">
        <v>148</v>
      </c>
      <c r="D73" s="32" t="s">
        <v>803</v>
      </c>
      <c r="E73" s="33">
        <v>45215</v>
      </c>
      <c r="F73" s="33">
        <v>45218</v>
      </c>
      <c r="G73" s="32"/>
      <c r="H73" s="34" t="s">
        <v>261</v>
      </c>
      <c r="I73" s="34" t="s">
        <v>261</v>
      </c>
      <c r="J73" s="35"/>
      <c r="K73" s="35"/>
      <c r="L73" s="35" t="s">
        <v>152</v>
      </c>
      <c r="M73" s="35" t="s">
        <v>153</v>
      </c>
      <c r="N73" s="35" t="s">
        <v>154</v>
      </c>
      <c r="O73" s="35" t="s">
        <v>166</v>
      </c>
      <c r="P73" s="35" t="s">
        <v>262</v>
      </c>
      <c r="Q73" s="35" t="s">
        <v>157</v>
      </c>
      <c r="R73" s="35" t="s">
        <v>152</v>
      </c>
      <c r="S73" s="32" t="s">
        <v>263</v>
      </c>
      <c r="T73" s="32" t="s">
        <v>263</v>
      </c>
      <c r="U73" s="32" t="s">
        <v>264</v>
      </c>
      <c r="V73" s="32"/>
      <c r="W73" s="32"/>
      <c r="X73" s="35"/>
      <c r="Y73" s="35" t="s">
        <v>152</v>
      </c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 t="s">
        <v>152</v>
      </c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 t="s">
        <v>782</v>
      </c>
      <c r="BG73" s="32"/>
      <c r="BH73" s="32"/>
      <c r="BI73" s="32" t="s">
        <v>1051</v>
      </c>
      <c r="BJ73" s="32"/>
      <c r="BK73" s="32" t="s">
        <v>1050</v>
      </c>
      <c r="BL73" s="32"/>
      <c r="BM73" s="32"/>
      <c r="BN73" s="32"/>
      <c r="BO73" s="32" t="s">
        <v>1053</v>
      </c>
      <c r="BP73" s="32" t="s">
        <v>762</v>
      </c>
      <c r="BQ73" s="32" t="s">
        <v>821</v>
      </c>
      <c r="BR73" s="32" t="s">
        <v>1054</v>
      </c>
      <c r="BS73" s="32"/>
      <c r="BT73" s="32" t="s">
        <v>679</v>
      </c>
      <c r="BU73" s="32" t="s">
        <v>684</v>
      </c>
      <c r="BV73" s="38" t="s">
        <v>725</v>
      </c>
      <c r="BW73" s="36" t="s">
        <v>1055</v>
      </c>
      <c r="BX73" s="36" t="s">
        <v>727</v>
      </c>
      <c r="BY73" s="36"/>
      <c r="BZ73" s="36" t="s">
        <v>728</v>
      </c>
      <c r="CA73" s="36"/>
      <c r="CB73" s="36" t="s">
        <v>744</v>
      </c>
      <c r="CC73" s="36"/>
      <c r="CD73" s="36" t="s">
        <v>743</v>
      </c>
      <c r="CE73" s="36"/>
      <c r="CF73" s="36" t="s">
        <v>733</v>
      </c>
      <c r="CG73" s="36"/>
      <c r="CH73" s="36" t="s">
        <v>734</v>
      </c>
      <c r="CI73" s="32"/>
      <c r="CJ73" s="38"/>
      <c r="CK73" s="32"/>
      <c r="CL73" s="38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6" t="s">
        <v>866</v>
      </c>
    </row>
    <row r="74" spans="1:146" s="39" customFormat="1">
      <c r="A74" s="31" t="s">
        <v>146</v>
      </c>
      <c r="B74" s="31" t="s">
        <v>147</v>
      </c>
      <c r="C74" s="32" t="s">
        <v>148</v>
      </c>
      <c r="D74" s="32" t="s">
        <v>803</v>
      </c>
      <c r="E74" s="33">
        <v>45215</v>
      </c>
      <c r="F74" s="33">
        <v>45218</v>
      </c>
      <c r="G74" s="32"/>
      <c r="H74" s="34" t="s">
        <v>265</v>
      </c>
      <c r="I74" s="34" t="s">
        <v>265</v>
      </c>
      <c r="J74" s="35"/>
      <c r="K74" s="35"/>
      <c r="L74" s="35" t="s">
        <v>152</v>
      </c>
      <c r="M74" s="35" t="s">
        <v>153</v>
      </c>
      <c r="N74" s="35" t="s">
        <v>154</v>
      </c>
      <c r="O74" s="35" t="s">
        <v>166</v>
      </c>
      <c r="P74" s="35" t="s">
        <v>266</v>
      </c>
      <c r="Q74" s="35" t="s">
        <v>157</v>
      </c>
      <c r="R74" s="35" t="s">
        <v>152</v>
      </c>
      <c r="S74" s="32" t="s">
        <v>267</v>
      </c>
      <c r="T74" s="32" t="s">
        <v>267</v>
      </c>
      <c r="U74" s="32" t="s">
        <v>268</v>
      </c>
      <c r="V74" s="32"/>
      <c r="W74" s="32"/>
      <c r="X74" s="35"/>
      <c r="Y74" s="35" t="s">
        <v>152</v>
      </c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 t="s">
        <v>152</v>
      </c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 t="s">
        <v>782</v>
      </c>
      <c r="BG74" s="32"/>
      <c r="BH74" s="32"/>
      <c r="BI74" s="32" t="s">
        <v>1056</v>
      </c>
      <c r="BJ74" s="32" t="s">
        <v>1057</v>
      </c>
      <c r="BK74" s="32" t="s">
        <v>1058</v>
      </c>
      <c r="BL74" s="32"/>
      <c r="BM74" s="32"/>
      <c r="BN74" s="32"/>
      <c r="BO74" s="32"/>
      <c r="BP74" s="32" t="s">
        <v>762</v>
      </c>
      <c r="BQ74" s="32" t="s">
        <v>821</v>
      </c>
      <c r="BR74" s="32" t="s">
        <v>1059</v>
      </c>
      <c r="BS74" s="32"/>
      <c r="BT74" s="32" t="s">
        <v>679</v>
      </c>
      <c r="BU74" s="32" t="s">
        <v>684</v>
      </c>
      <c r="BV74" s="38" t="s">
        <v>725</v>
      </c>
      <c r="BW74" s="36" t="s">
        <v>690</v>
      </c>
      <c r="BX74" s="36" t="s">
        <v>727</v>
      </c>
      <c r="BY74" s="36"/>
      <c r="BZ74" s="36" t="s">
        <v>728</v>
      </c>
      <c r="CA74" s="36"/>
      <c r="CB74" s="36" t="s">
        <v>744</v>
      </c>
      <c r="CC74" s="36"/>
      <c r="CD74" s="36" t="s">
        <v>743</v>
      </c>
      <c r="CE74" s="36"/>
      <c r="CF74" s="36" t="s">
        <v>733</v>
      </c>
      <c r="CG74" s="36"/>
      <c r="CH74" s="36" t="s">
        <v>734</v>
      </c>
      <c r="CI74" s="32"/>
      <c r="CJ74" s="38"/>
      <c r="CK74" s="32"/>
      <c r="CL74" s="38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6" t="s">
        <v>866</v>
      </c>
    </row>
    <row r="75" spans="1:146" s="39" customFormat="1">
      <c r="A75" s="31" t="s">
        <v>146</v>
      </c>
      <c r="B75" s="31" t="s">
        <v>147</v>
      </c>
      <c r="C75" s="32" t="s">
        <v>148</v>
      </c>
      <c r="D75" s="32" t="s">
        <v>803</v>
      </c>
      <c r="E75" s="33">
        <v>45215</v>
      </c>
      <c r="F75" s="33">
        <v>45218</v>
      </c>
      <c r="G75" s="32"/>
      <c r="H75" s="34" t="s">
        <v>269</v>
      </c>
      <c r="I75" s="34" t="s">
        <v>269</v>
      </c>
      <c r="J75" s="35"/>
      <c r="K75" s="35"/>
      <c r="L75" s="35" t="s">
        <v>152</v>
      </c>
      <c r="M75" s="35" t="s">
        <v>153</v>
      </c>
      <c r="N75" s="35" t="s">
        <v>154</v>
      </c>
      <c r="O75" s="35" t="s">
        <v>166</v>
      </c>
      <c r="P75" s="35" t="s">
        <v>270</v>
      </c>
      <c r="Q75" s="35" t="s">
        <v>157</v>
      </c>
      <c r="R75" s="35" t="s">
        <v>152</v>
      </c>
      <c r="S75" s="32" t="s">
        <v>271</v>
      </c>
      <c r="T75" s="32" t="s">
        <v>271</v>
      </c>
      <c r="U75" s="32" t="s">
        <v>272</v>
      </c>
      <c r="V75" s="32"/>
      <c r="W75" s="32"/>
      <c r="X75" s="35"/>
      <c r="Y75" s="35" t="s">
        <v>152</v>
      </c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 t="s">
        <v>152</v>
      </c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 t="s">
        <v>782</v>
      </c>
      <c r="BG75" s="32"/>
      <c r="BH75" s="32"/>
      <c r="BI75" s="32" t="s">
        <v>1056</v>
      </c>
      <c r="BJ75" s="32" t="s">
        <v>1057</v>
      </c>
      <c r="BK75" s="32" t="s">
        <v>1058</v>
      </c>
      <c r="BL75" s="32"/>
      <c r="BM75" s="32"/>
      <c r="BN75" s="32"/>
      <c r="BO75" s="32"/>
      <c r="BP75" s="32" t="s">
        <v>762</v>
      </c>
      <c r="BQ75" s="32" t="s">
        <v>821</v>
      </c>
      <c r="BR75" s="32"/>
      <c r="BS75" s="32"/>
      <c r="BT75" s="32" t="s">
        <v>679</v>
      </c>
      <c r="BU75" s="32" t="s">
        <v>684</v>
      </c>
      <c r="BV75" s="38" t="s">
        <v>725</v>
      </c>
      <c r="BW75" s="36" t="s">
        <v>1060</v>
      </c>
      <c r="BX75" s="36" t="s">
        <v>727</v>
      </c>
      <c r="BY75" s="36"/>
      <c r="BZ75" s="36" t="s">
        <v>728</v>
      </c>
      <c r="CA75" s="36"/>
      <c r="CB75" s="36" t="s">
        <v>744</v>
      </c>
      <c r="CC75" s="36"/>
      <c r="CD75" s="36" t="s">
        <v>743</v>
      </c>
      <c r="CE75" s="36"/>
      <c r="CF75" s="36" t="s">
        <v>733</v>
      </c>
      <c r="CG75" s="36"/>
      <c r="CH75" s="36" t="s">
        <v>734</v>
      </c>
      <c r="CI75" s="32"/>
      <c r="CJ75" s="38"/>
      <c r="CK75" s="32"/>
      <c r="CL75" s="38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6" t="s">
        <v>866</v>
      </c>
    </row>
    <row r="76" spans="1:146" s="39" customFormat="1">
      <c r="A76" s="31" t="s">
        <v>146</v>
      </c>
      <c r="B76" s="31" t="s">
        <v>147</v>
      </c>
      <c r="C76" s="32" t="s">
        <v>148</v>
      </c>
      <c r="D76" s="32" t="s">
        <v>803</v>
      </c>
      <c r="E76" s="33">
        <v>45215</v>
      </c>
      <c r="F76" s="33">
        <v>45218</v>
      </c>
      <c r="G76" s="32"/>
      <c r="H76" s="34" t="s">
        <v>273</v>
      </c>
      <c r="I76" s="34" t="s">
        <v>273</v>
      </c>
      <c r="J76" s="35"/>
      <c r="K76" s="35"/>
      <c r="L76" s="35" t="s">
        <v>152</v>
      </c>
      <c r="M76" s="35" t="s">
        <v>153</v>
      </c>
      <c r="N76" s="35" t="s">
        <v>154</v>
      </c>
      <c r="O76" s="35" t="s">
        <v>166</v>
      </c>
      <c r="P76" s="35" t="s">
        <v>274</v>
      </c>
      <c r="Q76" s="35" t="s">
        <v>157</v>
      </c>
      <c r="R76" s="35" t="s">
        <v>152</v>
      </c>
      <c r="S76" s="32" t="s">
        <v>275</v>
      </c>
      <c r="T76" s="32" t="s">
        <v>275</v>
      </c>
      <c r="U76" s="32" t="s">
        <v>276</v>
      </c>
      <c r="V76" s="32"/>
      <c r="W76" s="32"/>
      <c r="X76" s="35"/>
      <c r="Y76" s="35" t="s">
        <v>152</v>
      </c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 t="s">
        <v>152</v>
      </c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 t="s">
        <v>782</v>
      </c>
      <c r="BG76" s="32"/>
      <c r="BH76" s="32"/>
      <c r="BI76" s="32" t="s">
        <v>1062</v>
      </c>
      <c r="BJ76" s="32" t="s">
        <v>853</v>
      </c>
      <c r="BK76" s="32" t="s">
        <v>1063</v>
      </c>
      <c r="BL76" s="32"/>
      <c r="BM76" s="32"/>
      <c r="BN76" s="32"/>
      <c r="BO76" s="32"/>
      <c r="BP76" s="32" t="s">
        <v>762</v>
      </c>
      <c r="BQ76" s="32" t="s">
        <v>821</v>
      </c>
      <c r="BR76" s="32"/>
      <c r="BS76" s="32"/>
      <c r="BT76" s="32" t="s">
        <v>679</v>
      </c>
      <c r="BU76" s="32" t="s">
        <v>684</v>
      </c>
      <c r="BV76" s="38" t="s">
        <v>725</v>
      </c>
      <c r="BW76" s="36" t="s">
        <v>1061</v>
      </c>
      <c r="BX76" s="36" t="s">
        <v>727</v>
      </c>
      <c r="BY76" s="36"/>
      <c r="BZ76" s="36" t="s">
        <v>728</v>
      </c>
      <c r="CA76" s="36"/>
      <c r="CB76" s="36" t="s">
        <v>744</v>
      </c>
      <c r="CC76" s="36"/>
      <c r="CD76" s="36" t="s">
        <v>743</v>
      </c>
      <c r="CE76" s="36"/>
      <c r="CF76" s="36" t="s">
        <v>733</v>
      </c>
      <c r="CG76" s="36"/>
      <c r="CH76" s="36" t="s">
        <v>734</v>
      </c>
      <c r="CI76" s="32"/>
      <c r="CJ76" s="38"/>
      <c r="CK76" s="32"/>
      <c r="CL76" s="38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6" t="s">
        <v>866</v>
      </c>
    </row>
    <row r="77" spans="1:146" s="39" customFormat="1">
      <c r="A77" s="31" t="s">
        <v>146</v>
      </c>
      <c r="B77" s="31" t="s">
        <v>147</v>
      </c>
      <c r="C77" s="32" t="s">
        <v>148</v>
      </c>
      <c r="D77" s="32" t="s">
        <v>803</v>
      </c>
      <c r="E77" s="33">
        <v>45215</v>
      </c>
      <c r="F77" s="33">
        <v>45218</v>
      </c>
      <c r="G77" s="32"/>
      <c r="H77" s="34" t="s">
        <v>277</v>
      </c>
      <c r="I77" s="34" t="s">
        <v>277</v>
      </c>
      <c r="J77" s="35"/>
      <c r="K77" s="35"/>
      <c r="L77" s="35" t="s">
        <v>152</v>
      </c>
      <c r="M77" s="35" t="s">
        <v>153</v>
      </c>
      <c r="N77" s="35" t="s">
        <v>154</v>
      </c>
      <c r="O77" s="35" t="s">
        <v>162</v>
      </c>
      <c r="P77" s="35" t="s">
        <v>278</v>
      </c>
      <c r="Q77" s="35" t="s">
        <v>157</v>
      </c>
      <c r="R77" s="35" t="s">
        <v>152</v>
      </c>
      <c r="S77" s="32" t="s">
        <v>279</v>
      </c>
      <c r="T77" s="32" t="s">
        <v>279</v>
      </c>
      <c r="U77" s="32" t="s">
        <v>279</v>
      </c>
      <c r="V77" s="32"/>
      <c r="W77" s="32"/>
      <c r="X77" s="35"/>
      <c r="Y77" s="35" t="s">
        <v>152</v>
      </c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 t="s">
        <v>152</v>
      </c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 t="s">
        <v>782</v>
      </c>
      <c r="BG77" s="32"/>
      <c r="BH77" s="32"/>
      <c r="BI77" s="32"/>
      <c r="BJ77" s="32"/>
      <c r="BK77" s="32"/>
      <c r="BL77" s="32"/>
      <c r="BM77" s="32"/>
      <c r="BN77" s="32"/>
      <c r="BO77" s="32"/>
      <c r="BP77" s="32" t="s">
        <v>762</v>
      </c>
      <c r="BQ77" s="32" t="s">
        <v>821</v>
      </c>
      <c r="BR77" s="32"/>
      <c r="BS77" s="32"/>
      <c r="BT77" s="32" t="s">
        <v>679</v>
      </c>
      <c r="BU77" s="32" t="s">
        <v>684</v>
      </c>
      <c r="BV77" s="38" t="s">
        <v>725</v>
      </c>
      <c r="BW77" s="36" t="s">
        <v>1045</v>
      </c>
      <c r="BX77" s="36" t="s">
        <v>727</v>
      </c>
      <c r="BY77" s="36"/>
      <c r="BZ77" s="36" t="s">
        <v>728</v>
      </c>
      <c r="CA77" s="36"/>
      <c r="CB77" s="36" t="s">
        <v>744</v>
      </c>
      <c r="CC77" s="36"/>
      <c r="CD77" s="36" t="s">
        <v>743</v>
      </c>
      <c r="CE77" s="36"/>
      <c r="CF77" s="36" t="s">
        <v>733</v>
      </c>
      <c r="CG77" s="36"/>
      <c r="CH77" s="36" t="s">
        <v>734</v>
      </c>
      <c r="CI77" s="32"/>
      <c r="CJ77" s="38"/>
      <c r="CK77" s="32"/>
      <c r="CL77" s="38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6" t="s">
        <v>866</v>
      </c>
    </row>
    <row r="78" spans="1:146" s="39" customFormat="1">
      <c r="A78" s="31" t="s">
        <v>146</v>
      </c>
      <c r="B78" s="31" t="s">
        <v>147</v>
      </c>
      <c r="C78" s="32" t="s">
        <v>148</v>
      </c>
      <c r="D78" s="32" t="s">
        <v>803</v>
      </c>
      <c r="E78" s="33">
        <v>45215</v>
      </c>
      <c r="F78" s="33">
        <v>45218</v>
      </c>
      <c r="G78" s="32"/>
      <c r="H78" s="34" t="s">
        <v>282</v>
      </c>
      <c r="I78" s="34" t="s">
        <v>282</v>
      </c>
      <c r="J78" s="35"/>
      <c r="K78" s="35"/>
      <c r="L78" s="35" t="s">
        <v>152</v>
      </c>
      <c r="M78" s="35" t="s">
        <v>153</v>
      </c>
      <c r="N78" s="35" t="s">
        <v>154</v>
      </c>
      <c r="O78" s="35" t="s">
        <v>166</v>
      </c>
      <c r="P78" s="35" t="s">
        <v>283</v>
      </c>
      <c r="Q78" s="35" t="s">
        <v>157</v>
      </c>
      <c r="R78" s="35" t="s">
        <v>152</v>
      </c>
      <c r="S78" s="32" t="s">
        <v>280</v>
      </c>
      <c r="T78" s="32" t="s">
        <v>280</v>
      </c>
      <c r="U78" s="32" t="s">
        <v>281</v>
      </c>
      <c r="V78" s="32"/>
      <c r="W78" s="32"/>
      <c r="X78" s="35"/>
      <c r="Y78" s="35" t="s">
        <v>152</v>
      </c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 t="s">
        <v>152</v>
      </c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 t="s">
        <v>782</v>
      </c>
      <c r="BG78" s="32"/>
      <c r="BH78" s="32"/>
      <c r="BI78" s="32" t="s">
        <v>852</v>
      </c>
      <c r="BJ78" s="32" t="s">
        <v>879</v>
      </c>
      <c r="BK78" s="32" t="s">
        <v>882</v>
      </c>
      <c r="BL78" s="32"/>
      <c r="BM78" s="32"/>
      <c r="BN78" s="32"/>
      <c r="BO78" s="32"/>
      <c r="BP78" s="32" t="s">
        <v>762</v>
      </c>
      <c r="BQ78" s="32" t="s">
        <v>821</v>
      </c>
      <c r="BR78" s="32" t="s">
        <v>1064</v>
      </c>
      <c r="BS78" s="32"/>
      <c r="BT78" s="32" t="s">
        <v>679</v>
      </c>
      <c r="BU78" s="32" t="s">
        <v>684</v>
      </c>
      <c r="BV78" s="38" t="s">
        <v>725</v>
      </c>
      <c r="BW78" s="36" t="s">
        <v>692</v>
      </c>
      <c r="BX78" s="36" t="s">
        <v>727</v>
      </c>
      <c r="BY78" s="36"/>
      <c r="BZ78" s="36" t="s">
        <v>728</v>
      </c>
      <c r="CA78" s="36"/>
      <c r="CB78" s="36" t="s">
        <v>744</v>
      </c>
      <c r="CC78" s="36"/>
      <c r="CD78" s="36" t="s">
        <v>743</v>
      </c>
      <c r="CE78" s="36"/>
      <c r="CF78" s="36" t="s">
        <v>733</v>
      </c>
      <c r="CG78" s="36"/>
      <c r="CH78" s="36" t="s">
        <v>734</v>
      </c>
      <c r="CI78" s="32"/>
      <c r="CJ78" s="38"/>
      <c r="CK78" s="32"/>
      <c r="CL78" s="38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6" t="s">
        <v>866</v>
      </c>
    </row>
    <row r="79" spans="1:146" s="39" customFormat="1">
      <c r="A79" s="31" t="s">
        <v>146</v>
      </c>
      <c r="B79" s="31" t="s">
        <v>147</v>
      </c>
      <c r="C79" s="32" t="s">
        <v>148</v>
      </c>
      <c r="D79" s="32" t="s">
        <v>803</v>
      </c>
      <c r="E79" s="33">
        <v>45215</v>
      </c>
      <c r="F79" s="33">
        <v>45218</v>
      </c>
      <c r="G79" s="32"/>
      <c r="H79" s="34" t="s">
        <v>284</v>
      </c>
      <c r="I79" s="34" t="s">
        <v>284</v>
      </c>
      <c r="J79" s="35"/>
      <c r="K79" s="35"/>
      <c r="L79" s="35" t="s">
        <v>152</v>
      </c>
      <c r="M79" s="35" t="s">
        <v>153</v>
      </c>
      <c r="N79" s="35" t="s">
        <v>154</v>
      </c>
      <c r="O79" s="35" t="s">
        <v>166</v>
      </c>
      <c r="P79" s="35" t="s">
        <v>285</v>
      </c>
      <c r="Q79" s="35" t="s">
        <v>157</v>
      </c>
      <c r="R79" s="35" t="s">
        <v>152</v>
      </c>
      <c r="S79" s="32" t="s">
        <v>280</v>
      </c>
      <c r="T79" s="32" t="s">
        <v>280</v>
      </c>
      <c r="U79" s="32" t="s">
        <v>281</v>
      </c>
      <c r="V79" s="32"/>
      <c r="W79" s="32"/>
      <c r="X79" s="35"/>
      <c r="Y79" s="35" t="s">
        <v>152</v>
      </c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 t="s">
        <v>152</v>
      </c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 t="s">
        <v>782</v>
      </c>
      <c r="BG79" s="32"/>
      <c r="BH79" s="32"/>
      <c r="BI79" s="32" t="s">
        <v>852</v>
      </c>
      <c r="BJ79" s="32" t="s">
        <v>879</v>
      </c>
      <c r="BK79" s="32" t="s">
        <v>882</v>
      </c>
      <c r="BL79" s="32"/>
      <c r="BM79" s="32"/>
      <c r="BN79" s="32"/>
      <c r="BO79" s="32"/>
      <c r="BP79" s="32" t="s">
        <v>762</v>
      </c>
      <c r="BQ79" s="32" t="s">
        <v>821</v>
      </c>
      <c r="BR79" s="32" t="s">
        <v>1064</v>
      </c>
      <c r="BS79" s="32"/>
      <c r="BT79" s="32" t="s">
        <v>679</v>
      </c>
      <c r="BU79" s="32" t="s">
        <v>684</v>
      </c>
      <c r="BV79" s="38" t="s">
        <v>725</v>
      </c>
      <c r="BW79" s="36" t="s">
        <v>692</v>
      </c>
      <c r="BX79" s="36" t="s">
        <v>727</v>
      </c>
      <c r="BY79" s="36"/>
      <c r="BZ79" s="36" t="s">
        <v>728</v>
      </c>
      <c r="CA79" s="36"/>
      <c r="CB79" s="36" t="s">
        <v>744</v>
      </c>
      <c r="CC79" s="36"/>
      <c r="CD79" s="36" t="s">
        <v>743</v>
      </c>
      <c r="CE79" s="36"/>
      <c r="CF79" s="36" t="s">
        <v>733</v>
      </c>
      <c r="CG79" s="36"/>
      <c r="CH79" s="36" t="s">
        <v>734</v>
      </c>
      <c r="CI79" s="32"/>
      <c r="CJ79" s="38"/>
      <c r="CK79" s="32"/>
      <c r="CL79" s="38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6" t="s">
        <v>866</v>
      </c>
    </row>
    <row r="80" spans="1:146" s="39" customFormat="1">
      <c r="A80" s="31" t="s">
        <v>146</v>
      </c>
      <c r="B80" s="31" t="s">
        <v>147</v>
      </c>
      <c r="C80" s="32" t="s">
        <v>148</v>
      </c>
      <c r="D80" s="32" t="s">
        <v>803</v>
      </c>
      <c r="E80" s="33">
        <v>45215</v>
      </c>
      <c r="F80" s="33">
        <v>45218</v>
      </c>
      <c r="G80" s="32"/>
      <c r="H80" s="34" t="s">
        <v>286</v>
      </c>
      <c r="I80" s="34" t="s">
        <v>286</v>
      </c>
      <c r="J80" s="35"/>
      <c r="K80" s="35"/>
      <c r="L80" s="35" t="s">
        <v>152</v>
      </c>
      <c r="M80" s="35" t="s">
        <v>153</v>
      </c>
      <c r="N80" s="35" t="s">
        <v>154</v>
      </c>
      <c r="O80" s="35" t="s">
        <v>166</v>
      </c>
      <c r="P80" s="35" t="s">
        <v>287</v>
      </c>
      <c r="Q80" s="35" t="s">
        <v>157</v>
      </c>
      <c r="R80" s="35" t="s">
        <v>152</v>
      </c>
      <c r="S80" s="32" t="s">
        <v>280</v>
      </c>
      <c r="T80" s="32" t="s">
        <v>280</v>
      </c>
      <c r="U80" s="32" t="s">
        <v>281</v>
      </c>
      <c r="V80" s="32"/>
      <c r="W80" s="32"/>
      <c r="X80" s="35"/>
      <c r="Y80" s="35" t="s">
        <v>152</v>
      </c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 t="s">
        <v>152</v>
      </c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 t="s">
        <v>782</v>
      </c>
      <c r="BG80" s="32"/>
      <c r="BH80" s="32"/>
      <c r="BI80" s="32" t="s">
        <v>852</v>
      </c>
      <c r="BJ80" s="32" t="s">
        <v>879</v>
      </c>
      <c r="BK80" s="32" t="s">
        <v>882</v>
      </c>
      <c r="BL80" s="32"/>
      <c r="BM80" s="32"/>
      <c r="BN80" s="32"/>
      <c r="BO80" s="32"/>
      <c r="BP80" s="32" t="s">
        <v>762</v>
      </c>
      <c r="BQ80" s="32" t="s">
        <v>821</v>
      </c>
      <c r="BR80" s="32" t="s">
        <v>1064</v>
      </c>
      <c r="BS80" s="32"/>
      <c r="BT80" s="32" t="s">
        <v>679</v>
      </c>
      <c r="BU80" s="32" t="s">
        <v>684</v>
      </c>
      <c r="BV80" s="38" t="s">
        <v>725</v>
      </c>
      <c r="BW80" s="36" t="s">
        <v>692</v>
      </c>
      <c r="BX80" s="36" t="s">
        <v>727</v>
      </c>
      <c r="BY80" s="36"/>
      <c r="BZ80" s="36" t="s">
        <v>728</v>
      </c>
      <c r="CA80" s="36"/>
      <c r="CB80" s="36" t="s">
        <v>744</v>
      </c>
      <c r="CC80" s="36"/>
      <c r="CD80" s="36" t="s">
        <v>743</v>
      </c>
      <c r="CE80" s="36"/>
      <c r="CF80" s="36" t="s">
        <v>733</v>
      </c>
      <c r="CG80" s="36"/>
      <c r="CH80" s="36" t="s">
        <v>734</v>
      </c>
      <c r="CI80" s="32"/>
      <c r="CJ80" s="38"/>
      <c r="CK80" s="32"/>
      <c r="CL80" s="38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6" t="s">
        <v>866</v>
      </c>
    </row>
    <row r="81" spans="1:146" s="39" customFormat="1">
      <c r="A81" s="31" t="s">
        <v>146</v>
      </c>
      <c r="B81" s="31" t="s">
        <v>147</v>
      </c>
      <c r="C81" s="32" t="s">
        <v>148</v>
      </c>
      <c r="D81" s="32" t="s">
        <v>803</v>
      </c>
      <c r="E81" s="33">
        <v>45215</v>
      </c>
      <c r="F81" s="33">
        <v>45218</v>
      </c>
      <c r="G81" s="32"/>
      <c r="H81" s="34" t="s">
        <v>288</v>
      </c>
      <c r="I81" s="34" t="s">
        <v>288</v>
      </c>
      <c r="J81" s="35"/>
      <c r="K81" s="35"/>
      <c r="L81" s="35" t="s">
        <v>152</v>
      </c>
      <c r="M81" s="35" t="s">
        <v>153</v>
      </c>
      <c r="N81" s="35" t="s">
        <v>154</v>
      </c>
      <c r="O81" s="35" t="s">
        <v>166</v>
      </c>
      <c r="P81" s="35" t="s">
        <v>289</v>
      </c>
      <c r="Q81" s="35" t="s">
        <v>157</v>
      </c>
      <c r="R81" s="35" t="s">
        <v>152</v>
      </c>
      <c r="S81" s="32" t="s">
        <v>290</v>
      </c>
      <c r="T81" s="32" t="s">
        <v>290</v>
      </c>
      <c r="U81" s="32" t="s">
        <v>291</v>
      </c>
      <c r="V81" s="32"/>
      <c r="W81" s="32"/>
      <c r="X81" s="35"/>
      <c r="Y81" s="35" t="s">
        <v>152</v>
      </c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 t="s">
        <v>152</v>
      </c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 t="s">
        <v>782</v>
      </c>
      <c r="BG81" s="32"/>
      <c r="BH81" s="32"/>
      <c r="BI81" s="32" t="s">
        <v>852</v>
      </c>
      <c r="BJ81" s="32" t="s">
        <v>879</v>
      </c>
      <c r="BK81" s="32" t="s">
        <v>882</v>
      </c>
      <c r="BL81" s="32"/>
      <c r="BM81" s="32"/>
      <c r="BN81" s="32"/>
      <c r="BO81" s="32"/>
      <c r="BP81" s="32" t="s">
        <v>762</v>
      </c>
      <c r="BQ81" s="32" t="s">
        <v>821</v>
      </c>
      <c r="BR81" s="32" t="s">
        <v>1065</v>
      </c>
      <c r="BS81" s="32"/>
      <c r="BT81" s="32" t="s">
        <v>679</v>
      </c>
      <c r="BU81" s="32" t="s">
        <v>684</v>
      </c>
      <c r="BV81" s="38" t="s">
        <v>725</v>
      </c>
      <c r="BW81" s="36"/>
      <c r="BX81" s="36" t="s">
        <v>727</v>
      </c>
      <c r="BY81" s="36"/>
      <c r="BZ81" s="36" t="s">
        <v>728</v>
      </c>
      <c r="CA81" s="36"/>
      <c r="CB81" s="36" t="s">
        <v>744</v>
      </c>
      <c r="CC81" s="36"/>
      <c r="CD81" s="36" t="s">
        <v>743</v>
      </c>
      <c r="CE81" s="36"/>
      <c r="CF81" s="36" t="s">
        <v>733</v>
      </c>
      <c r="CG81" s="36"/>
      <c r="CH81" s="36" t="s">
        <v>734</v>
      </c>
      <c r="CI81" s="32"/>
      <c r="CJ81" s="38"/>
      <c r="CK81" s="32"/>
      <c r="CL81" s="38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6" t="s">
        <v>866</v>
      </c>
    </row>
    <row r="82" spans="1:146" s="36" customFormat="1" ht="12.75">
      <c r="A82" s="31" t="s">
        <v>146</v>
      </c>
      <c r="B82" s="31" t="s">
        <v>147</v>
      </c>
      <c r="C82" s="32" t="s">
        <v>148</v>
      </c>
      <c r="D82" s="36" t="s">
        <v>803</v>
      </c>
      <c r="E82" s="33">
        <v>45215</v>
      </c>
      <c r="F82" s="33">
        <v>45218</v>
      </c>
      <c r="H82" s="34" t="s">
        <v>322</v>
      </c>
      <c r="I82" s="34" t="s">
        <v>322</v>
      </c>
      <c r="J82" s="35"/>
      <c r="K82" s="35"/>
      <c r="L82" s="35" t="s">
        <v>323</v>
      </c>
      <c r="M82" s="35" t="s">
        <v>153</v>
      </c>
      <c r="N82" s="35" t="s">
        <v>154</v>
      </c>
      <c r="O82" s="35" t="s">
        <v>182</v>
      </c>
      <c r="P82" s="35" t="s">
        <v>324</v>
      </c>
      <c r="Q82" s="35" t="s">
        <v>157</v>
      </c>
      <c r="R82" s="35" t="s">
        <v>183</v>
      </c>
      <c r="S82" s="36" t="s">
        <v>325</v>
      </c>
      <c r="T82" s="32" t="s">
        <v>326</v>
      </c>
      <c r="U82" s="36" t="s">
        <v>327</v>
      </c>
      <c r="V82" s="32" t="s">
        <v>328</v>
      </c>
      <c r="X82" s="35" t="s">
        <v>184</v>
      </c>
      <c r="Y82" s="35" t="s">
        <v>152</v>
      </c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6" t="s">
        <v>184</v>
      </c>
      <c r="AM82" s="36" t="s">
        <v>895</v>
      </c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6" t="s">
        <v>782</v>
      </c>
      <c r="BH82" s="32"/>
      <c r="BL82" s="32"/>
      <c r="BM82" s="32"/>
      <c r="BN82" s="32"/>
      <c r="BO82" s="32"/>
      <c r="BP82" s="36" t="s">
        <v>762</v>
      </c>
      <c r="BQ82" s="36" t="s">
        <v>870</v>
      </c>
      <c r="BR82" s="36" t="s">
        <v>897</v>
      </c>
      <c r="BT82" s="36" t="s">
        <v>679</v>
      </c>
      <c r="BU82" s="36" t="s">
        <v>687</v>
      </c>
      <c r="BV82" s="36" t="s">
        <v>752</v>
      </c>
      <c r="BW82" s="36" t="s">
        <v>871</v>
      </c>
      <c r="BX82" s="36" t="s">
        <v>727</v>
      </c>
      <c r="BY82" s="36" t="s">
        <v>835</v>
      </c>
      <c r="BZ82" s="36" t="s">
        <v>728</v>
      </c>
      <c r="CA82" s="36" t="s">
        <v>896</v>
      </c>
      <c r="CB82" s="36" t="s">
        <v>729</v>
      </c>
      <c r="CC82" s="36" t="s">
        <v>824</v>
      </c>
      <c r="CD82" s="36" t="s">
        <v>743</v>
      </c>
      <c r="CF82" s="36" t="s">
        <v>753</v>
      </c>
      <c r="CH82" s="36" t="s">
        <v>754</v>
      </c>
      <c r="CJ82" s="36" t="s">
        <v>738</v>
      </c>
      <c r="CL82" s="36" t="s">
        <v>755</v>
      </c>
      <c r="CN82" s="36" t="s">
        <v>733</v>
      </c>
      <c r="CP82" s="36" t="s">
        <v>734</v>
      </c>
      <c r="CR82" s="37"/>
      <c r="CT82" s="37"/>
      <c r="EP82" s="36" t="s">
        <v>866</v>
      </c>
    </row>
    <row r="83" spans="1:146" s="36" customFormat="1" ht="12.75">
      <c r="A83" s="31" t="s">
        <v>146</v>
      </c>
      <c r="B83" s="31" t="s">
        <v>147</v>
      </c>
      <c r="C83" s="32" t="s">
        <v>148</v>
      </c>
      <c r="D83" s="36" t="s">
        <v>803</v>
      </c>
      <c r="E83" s="33">
        <v>45215</v>
      </c>
      <c r="F83" s="33">
        <v>45218</v>
      </c>
      <c r="H83" s="34" t="s">
        <v>459</v>
      </c>
      <c r="I83" s="34" t="s">
        <v>459</v>
      </c>
      <c r="J83" s="35"/>
      <c r="K83" s="35"/>
      <c r="L83" s="35" t="s">
        <v>152</v>
      </c>
      <c r="M83" s="35" t="s">
        <v>153</v>
      </c>
      <c r="N83" s="35" t="s">
        <v>154</v>
      </c>
      <c r="O83" s="35" t="s">
        <v>182</v>
      </c>
      <c r="P83" s="35" t="s">
        <v>460</v>
      </c>
      <c r="Q83" s="35" t="s">
        <v>157</v>
      </c>
      <c r="R83" s="35" t="s">
        <v>183</v>
      </c>
      <c r="S83" s="36" t="s">
        <v>461</v>
      </c>
      <c r="T83" s="32" t="s">
        <v>462</v>
      </c>
      <c r="U83" s="36" t="s">
        <v>463</v>
      </c>
      <c r="V83" s="32" t="s">
        <v>464</v>
      </c>
      <c r="X83" s="35" t="s">
        <v>184</v>
      </c>
      <c r="Y83" s="35" t="s">
        <v>465</v>
      </c>
      <c r="Z83" s="32" t="s">
        <v>458</v>
      </c>
      <c r="AA83" s="32" t="s">
        <v>465</v>
      </c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N83" s="36" t="s">
        <v>184</v>
      </c>
      <c r="AO83" s="36" t="s">
        <v>465</v>
      </c>
      <c r="AP83" s="36" t="s">
        <v>625</v>
      </c>
      <c r="AT83" s="32"/>
      <c r="AU83" s="32"/>
      <c r="AV83" s="32"/>
      <c r="AW83" s="32"/>
      <c r="AX83" s="32"/>
      <c r="AY83" s="32"/>
      <c r="AZ83" s="32"/>
      <c r="BA83" s="32"/>
      <c r="BB83" s="32"/>
      <c r="BD83" s="32"/>
      <c r="BE83" s="32"/>
      <c r="BF83" s="32" t="s">
        <v>898</v>
      </c>
      <c r="BH83" s="32"/>
      <c r="BL83" s="32"/>
      <c r="BM83" s="32"/>
      <c r="BN83" s="32"/>
      <c r="BO83" s="32"/>
      <c r="BP83" s="36" t="s">
        <v>762</v>
      </c>
      <c r="BQ83" s="36" t="s">
        <v>826</v>
      </c>
      <c r="BT83" s="36" t="s">
        <v>679</v>
      </c>
      <c r="BU83" s="36" t="s">
        <v>687</v>
      </c>
      <c r="BV83" s="36" t="s">
        <v>752</v>
      </c>
      <c r="BX83" s="36" t="s">
        <v>727</v>
      </c>
      <c r="BZ83" s="36" t="s">
        <v>728</v>
      </c>
      <c r="CB83" s="36" t="s">
        <v>729</v>
      </c>
      <c r="CD83" s="36" t="s">
        <v>743</v>
      </c>
      <c r="CF83" s="36" t="s">
        <v>753</v>
      </c>
      <c r="CH83" s="36" t="s">
        <v>754</v>
      </c>
      <c r="CJ83" s="36" t="s">
        <v>738</v>
      </c>
      <c r="CL83" s="36" t="s">
        <v>755</v>
      </c>
      <c r="CN83" s="36" t="s">
        <v>733</v>
      </c>
      <c r="CP83" s="36" t="s">
        <v>734</v>
      </c>
      <c r="CR83" s="37"/>
      <c r="CT83" s="37"/>
      <c r="EP83" s="36" t="s">
        <v>866</v>
      </c>
    </row>
    <row r="84" spans="1:146" s="36" customFormat="1" ht="12.75">
      <c r="A84" s="31" t="s">
        <v>146</v>
      </c>
      <c r="B84" s="31" t="s">
        <v>147</v>
      </c>
      <c r="C84" s="32" t="s">
        <v>148</v>
      </c>
      <c r="D84" s="36" t="s">
        <v>803</v>
      </c>
      <c r="E84" s="33">
        <v>45215</v>
      </c>
      <c r="F84" s="33">
        <v>45218</v>
      </c>
      <c r="H84" s="34" t="s">
        <v>496</v>
      </c>
      <c r="I84" s="34" t="s">
        <v>496</v>
      </c>
      <c r="J84" s="35"/>
      <c r="K84" s="35"/>
      <c r="L84" s="35" t="s">
        <v>152</v>
      </c>
      <c r="M84" s="35" t="s">
        <v>153</v>
      </c>
      <c r="N84" s="35" t="s">
        <v>154</v>
      </c>
      <c r="O84" s="35" t="s">
        <v>489</v>
      </c>
      <c r="P84" s="35" t="s">
        <v>497</v>
      </c>
      <c r="Q84" s="35" t="s">
        <v>157</v>
      </c>
      <c r="R84" s="35" t="s">
        <v>185</v>
      </c>
      <c r="S84" s="36" t="s">
        <v>498</v>
      </c>
      <c r="T84" s="32" t="s">
        <v>499</v>
      </c>
      <c r="U84" s="36" t="s">
        <v>500</v>
      </c>
      <c r="V84" s="32" t="s">
        <v>501</v>
      </c>
      <c r="X84" s="35" t="s">
        <v>186</v>
      </c>
      <c r="Y84" s="35" t="s">
        <v>502</v>
      </c>
      <c r="Z84" s="32" t="s">
        <v>475</v>
      </c>
      <c r="AA84" s="32" t="s">
        <v>502</v>
      </c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N84" s="36" t="s">
        <v>186</v>
      </c>
      <c r="AO84" s="36" t="s">
        <v>502</v>
      </c>
      <c r="AT84" s="32"/>
      <c r="AU84" s="32"/>
      <c r="AV84" s="32"/>
      <c r="AW84" s="32"/>
      <c r="AX84" s="32"/>
      <c r="AY84" s="32"/>
      <c r="AZ84" s="32"/>
      <c r="BA84" s="32"/>
      <c r="BB84" s="32" t="s">
        <v>623</v>
      </c>
      <c r="BC84" s="32"/>
      <c r="BD84" s="32"/>
      <c r="BE84" s="32"/>
      <c r="BF84" s="36" t="s">
        <v>904</v>
      </c>
      <c r="BH84" s="32"/>
      <c r="BL84" s="32"/>
      <c r="BM84" s="32"/>
      <c r="BN84" s="32"/>
      <c r="BO84" s="32"/>
      <c r="BP84" s="36" t="s">
        <v>765</v>
      </c>
      <c r="BQ84" s="36" t="s">
        <v>905</v>
      </c>
      <c r="BR84" s="36" t="s">
        <v>907</v>
      </c>
      <c r="BT84" s="36" t="s">
        <v>679</v>
      </c>
      <c r="BU84" s="36" t="s">
        <v>687</v>
      </c>
      <c r="BV84" s="36" t="s">
        <v>752</v>
      </c>
      <c r="BW84" s="36" t="s">
        <v>681</v>
      </c>
      <c r="BX84" s="36" t="s">
        <v>727</v>
      </c>
      <c r="BY84" s="36" t="s">
        <v>812</v>
      </c>
      <c r="BZ84" s="36" t="s">
        <v>728</v>
      </c>
      <c r="CA84" s="36" t="s">
        <v>836</v>
      </c>
      <c r="CB84" s="36" t="s">
        <v>729</v>
      </c>
      <c r="CC84" s="36" t="s">
        <v>822</v>
      </c>
      <c r="CD84" s="36" t="s">
        <v>743</v>
      </c>
      <c r="CE84" s="36" t="s">
        <v>906</v>
      </c>
      <c r="CF84" s="36" t="s">
        <v>753</v>
      </c>
      <c r="CH84" s="36" t="s">
        <v>754</v>
      </c>
      <c r="CJ84" s="36" t="s">
        <v>738</v>
      </c>
      <c r="CK84" s="36" t="s">
        <v>771</v>
      </c>
      <c r="CL84" s="36" t="s">
        <v>755</v>
      </c>
      <c r="CN84" s="36" t="s">
        <v>733</v>
      </c>
      <c r="CP84" s="36" t="s">
        <v>734</v>
      </c>
      <c r="CR84" s="37"/>
      <c r="CT84" s="37"/>
      <c r="EP84" s="36" t="s">
        <v>866</v>
      </c>
    </row>
    <row r="85" spans="1:146" s="36" customFormat="1" ht="12.75">
      <c r="A85" s="31" t="s">
        <v>146</v>
      </c>
      <c r="B85" s="31" t="s">
        <v>147</v>
      </c>
      <c r="C85" s="32" t="s">
        <v>148</v>
      </c>
      <c r="D85" s="36" t="s">
        <v>803</v>
      </c>
      <c r="E85" s="33">
        <v>45215</v>
      </c>
      <c r="F85" s="33">
        <v>45218</v>
      </c>
      <c r="H85" s="34" t="s">
        <v>578</v>
      </c>
      <c r="I85" s="34" t="s">
        <v>578</v>
      </c>
      <c r="J85" s="35" t="s">
        <v>579</v>
      </c>
      <c r="K85" s="35" t="s">
        <v>580</v>
      </c>
      <c r="L85" s="35" t="s">
        <v>152</v>
      </c>
      <c r="M85" s="35" t="s">
        <v>153</v>
      </c>
      <c r="N85" s="35" t="s">
        <v>154</v>
      </c>
      <c r="O85" s="35" t="s">
        <v>155</v>
      </c>
      <c r="P85" s="35" t="s">
        <v>581</v>
      </c>
      <c r="Q85" s="35" t="s">
        <v>157</v>
      </c>
      <c r="R85" s="35" t="s">
        <v>152</v>
      </c>
      <c r="S85" s="36" t="s">
        <v>582</v>
      </c>
      <c r="T85" s="32" t="s">
        <v>582</v>
      </c>
      <c r="U85" s="36" t="s">
        <v>583</v>
      </c>
      <c r="V85" s="32"/>
      <c r="W85" s="36" t="s">
        <v>584</v>
      </c>
      <c r="X85" s="35"/>
      <c r="Y85" s="35" t="s">
        <v>152</v>
      </c>
      <c r="Z85" s="32" t="s">
        <v>585</v>
      </c>
      <c r="AA85" s="32" t="s">
        <v>586</v>
      </c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6" t="s">
        <v>659</v>
      </c>
      <c r="AM85" s="36" t="s">
        <v>586</v>
      </c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6" t="s">
        <v>782</v>
      </c>
      <c r="BH85" s="32"/>
      <c r="BI85" s="36" t="s">
        <v>921</v>
      </c>
      <c r="BJ85" s="36" t="s">
        <v>920</v>
      </c>
      <c r="BK85" s="36" t="s">
        <v>919</v>
      </c>
      <c r="BL85" s="32"/>
      <c r="BM85" s="32"/>
      <c r="BN85" s="32"/>
      <c r="BO85" s="32"/>
      <c r="BP85" s="36" t="s">
        <v>762</v>
      </c>
      <c r="BQ85" s="36" t="s">
        <v>870</v>
      </c>
      <c r="BR85" s="36" t="s">
        <v>922</v>
      </c>
      <c r="BT85" s="36" t="s">
        <v>679</v>
      </c>
      <c r="BU85" s="36" t="s">
        <v>687</v>
      </c>
      <c r="BV85" s="36" t="s">
        <v>752</v>
      </c>
      <c r="BW85" s="36" t="s">
        <v>688</v>
      </c>
      <c r="BX85" s="36" t="s">
        <v>727</v>
      </c>
      <c r="BZ85" s="36" t="s">
        <v>728</v>
      </c>
      <c r="CB85" s="36" t="s">
        <v>729</v>
      </c>
      <c r="CD85" s="36" t="s">
        <v>743</v>
      </c>
      <c r="CF85" s="36" t="s">
        <v>753</v>
      </c>
      <c r="CH85" s="36" t="s">
        <v>754</v>
      </c>
      <c r="CJ85" s="36" t="s">
        <v>738</v>
      </c>
      <c r="CL85" s="36" t="s">
        <v>755</v>
      </c>
      <c r="CN85" s="36" t="s">
        <v>733</v>
      </c>
      <c r="CP85" s="36" t="s">
        <v>734</v>
      </c>
      <c r="CR85" s="37"/>
      <c r="CT85" s="37"/>
      <c r="EP85" s="36" t="s">
        <v>866</v>
      </c>
    </row>
    <row r="86" spans="1:146" s="36" customFormat="1" ht="12.75">
      <c r="A86" s="31" t="s">
        <v>146</v>
      </c>
      <c r="B86" s="31" t="s">
        <v>147</v>
      </c>
      <c r="C86" s="32" t="s">
        <v>148</v>
      </c>
      <c r="D86" s="32" t="s">
        <v>803</v>
      </c>
      <c r="E86" s="33">
        <v>45215</v>
      </c>
      <c r="F86" s="33">
        <v>45218</v>
      </c>
      <c r="G86" s="32"/>
      <c r="H86" s="34" t="s">
        <v>410</v>
      </c>
      <c r="I86" s="34" t="s">
        <v>410</v>
      </c>
      <c r="J86" s="35"/>
      <c r="K86" s="35"/>
      <c r="L86" s="35" t="s">
        <v>152</v>
      </c>
      <c r="M86" s="35" t="s">
        <v>153</v>
      </c>
      <c r="N86" s="35" t="s">
        <v>154</v>
      </c>
      <c r="O86" s="35" t="s">
        <v>155</v>
      </c>
      <c r="P86" s="35" t="s">
        <v>411</v>
      </c>
      <c r="Q86" s="35" t="s">
        <v>157</v>
      </c>
      <c r="R86" s="35" t="s">
        <v>152</v>
      </c>
      <c r="S86" s="32" t="s">
        <v>412</v>
      </c>
      <c r="T86" s="32" t="s">
        <v>412</v>
      </c>
      <c r="U86" s="32" t="s">
        <v>413</v>
      </c>
      <c r="V86" s="32"/>
      <c r="W86" s="32"/>
      <c r="X86" s="35"/>
      <c r="Y86" s="35" t="s">
        <v>152</v>
      </c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 t="s">
        <v>152</v>
      </c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 t="s">
        <v>782</v>
      </c>
      <c r="BG86" s="32"/>
      <c r="BH86" s="32"/>
      <c r="BI86" s="32" t="s">
        <v>1083</v>
      </c>
      <c r="BJ86" s="32" t="s">
        <v>1084</v>
      </c>
      <c r="BK86" s="32" t="s">
        <v>1102</v>
      </c>
      <c r="BL86" s="32"/>
      <c r="BM86" s="32"/>
      <c r="BN86" s="32"/>
      <c r="BO86" s="32"/>
      <c r="BP86" s="32" t="s">
        <v>762</v>
      </c>
      <c r="BQ86" s="32" t="s">
        <v>826</v>
      </c>
      <c r="BR86" s="32" t="s">
        <v>1106</v>
      </c>
      <c r="BS86" s="32"/>
      <c r="BT86" s="32" t="s">
        <v>679</v>
      </c>
      <c r="BU86" s="32" t="s">
        <v>687</v>
      </c>
      <c r="BV86" s="36" t="s">
        <v>752</v>
      </c>
      <c r="BX86" s="36" t="s">
        <v>727</v>
      </c>
      <c r="BZ86" s="36" t="s">
        <v>728</v>
      </c>
      <c r="CB86" s="36" t="s">
        <v>729</v>
      </c>
      <c r="CD86" s="36" t="s">
        <v>743</v>
      </c>
      <c r="CF86" s="36" t="s">
        <v>753</v>
      </c>
      <c r="CH86" s="36" t="s">
        <v>754</v>
      </c>
      <c r="CJ86" s="36" t="s">
        <v>738</v>
      </c>
      <c r="CL86" s="36" t="s">
        <v>755</v>
      </c>
      <c r="CN86" s="36" t="s">
        <v>733</v>
      </c>
      <c r="CP86" s="36" t="s">
        <v>734</v>
      </c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6" t="s">
        <v>866</v>
      </c>
    </row>
    <row r="87" spans="1:146" s="36" customFormat="1" ht="12.75">
      <c r="A87" s="31" t="s">
        <v>146</v>
      </c>
      <c r="B87" s="31" t="s">
        <v>147</v>
      </c>
      <c r="C87" s="32" t="s">
        <v>148</v>
      </c>
      <c r="D87" s="36" t="s">
        <v>803</v>
      </c>
      <c r="E87" s="33">
        <v>45215</v>
      </c>
      <c r="F87" s="33">
        <v>45218</v>
      </c>
      <c r="H87" s="34" t="s">
        <v>607</v>
      </c>
      <c r="I87" s="34" t="s">
        <v>607</v>
      </c>
      <c r="J87" s="35"/>
      <c r="K87" s="35"/>
      <c r="L87" s="35" t="s">
        <v>152</v>
      </c>
      <c r="M87" s="35" t="s">
        <v>153</v>
      </c>
      <c r="N87" s="35" t="s">
        <v>154</v>
      </c>
      <c r="O87" s="35" t="s">
        <v>165</v>
      </c>
      <c r="P87" s="35" t="s">
        <v>608</v>
      </c>
      <c r="Q87" s="35" t="s">
        <v>157</v>
      </c>
      <c r="R87" s="35" t="s">
        <v>152</v>
      </c>
      <c r="S87" s="36" t="s">
        <v>609</v>
      </c>
      <c r="T87" s="32" t="s">
        <v>609</v>
      </c>
      <c r="U87" s="36" t="s">
        <v>610</v>
      </c>
      <c r="V87" s="32"/>
      <c r="X87" s="35"/>
      <c r="Y87" s="35" t="s">
        <v>152</v>
      </c>
      <c r="Z87" s="32" t="s">
        <v>470</v>
      </c>
      <c r="AA87" s="32" t="s">
        <v>611</v>
      </c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N87" s="36" t="s">
        <v>186</v>
      </c>
      <c r="AO87" s="36" t="s">
        <v>1008</v>
      </c>
      <c r="AT87" s="32"/>
      <c r="AU87" s="32"/>
      <c r="AV87" s="32"/>
      <c r="AW87" s="32"/>
      <c r="AX87" s="32"/>
      <c r="AY87" s="32"/>
      <c r="AZ87" s="32"/>
      <c r="BA87" s="32"/>
      <c r="BB87" s="32" t="s">
        <v>623</v>
      </c>
      <c r="BC87" s="32"/>
      <c r="BD87" s="32"/>
      <c r="BE87" s="32"/>
      <c r="BF87" s="36" t="s">
        <v>1009</v>
      </c>
      <c r="BG87" s="36" t="s">
        <v>1010</v>
      </c>
      <c r="BH87" s="32"/>
      <c r="BL87" s="32"/>
      <c r="BM87" s="32"/>
      <c r="BN87" s="32"/>
      <c r="BO87" s="32"/>
      <c r="BP87" s="36" t="s">
        <v>765</v>
      </c>
      <c r="BQ87" s="36" t="s">
        <v>870</v>
      </c>
      <c r="BR87" s="36" t="s">
        <v>994</v>
      </c>
      <c r="BT87" s="36" t="s">
        <v>679</v>
      </c>
      <c r="BU87" s="36" t="s">
        <v>687</v>
      </c>
      <c r="BV87" s="36" t="s">
        <v>752</v>
      </c>
      <c r="BW87" s="36" t="s">
        <v>855</v>
      </c>
      <c r="BX87" s="36" t="s">
        <v>727</v>
      </c>
      <c r="BY87" s="36" t="s">
        <v>987</v>
      </c>
      <c r="BZ87" s="36" t="s">
        <v>728</v>
      </c>
      <c r="CA87" s="36" t="s">
        <v>991</v>
      </c>
      <c r="CB87" s="36" t="s">
        <v>729</v>
      </c>
      <c r="CC87" s="36" t="s">
        <v>992</v>
      </c>
      <c r="CD87" s="36" t="s">
        <v>743</v>
      </c>
      <c r="CE87" s="36" t="s">
        <v>906</v>
      </c>
      <c r="CF87" s="36" t="s">
        <v>753</v>
      </c>
      <c r="CH87" s="36" t="s">
        <v>754</v>
      </c>
      <c r="CI87" s="36" t="s">
        <v>993</v>
      </c>
      <c r="CJ87" s="36" t="s">
        <v>738</v>
      </c>
      <c r="CK87" s="36" t="s">
        <v>911</v>
      </c>
      <c r="CL87" s="36" t="s">
        <v>755</v>
      </c>
      <c r="CN87" s="36" t="s">
        <v>733</v>
      </c>
      <c r="CP87" s="36" t="s">
        <v>734</v>
      </c>
      <c r="CR87" s="37"/>
      <c r="CT87" s="37"/>
      <c r="EP87" s="36" t="s">
        <v>866</v>
      </c>
    </row>
    <row r="88" spans="1:146" s="36" customFormat="1" ht="12.75">
      <c r="A88" s="31" t="s">
        <v>146</v>
      </c>
      <c r="B88" s="31" t="s">
        <v>147</v>
      </c>
      <c r="C88" s="32" t="s">
        <v>148</v>
      </c>
      <c r="D88" s="36" t="s">
        <v>803</v>
      </c>
      <c r="E88" s="33">
        <v>45215</v>
      </c>
      <c r="F88" s="33">
        <v>45218</v>
      </c>
      <c r="H88" s="34" t="s">
        <v>314</v>
      </c>
      <c r="I88" s="34" t="s">
        <v>314</v>
      </c>
      <c r="J88" s="35"/>
      <c r="K88" s="35"/>
      <c r="L88" s="35" t="s">
        <v>152</v>
      </c>
      <c r="M88" s="35" t="s">
        <v>153</v>
      </c>
      <c r="N88" s="35" t="s">
        <v>154</v>
      </c>
      <c r="O88" s="35" t="s">
        <v>166</v>
      </c>
      <c r="P88" s="35" t="s">
        <v>315</v>
      </c>
      <c r="Q88" s="35" t="s">
        <v>157</v>
      </c>
      <c r="R88" s="35" t="s">
        <v>152</v>
      </c>
      <c r="S88" s="36" t="s">
        <v>316</v>
      </c>
      <c r="T88" s="32" t="s">
        <v>316</v>
      </c>
      <c r="U88" s="36" t="s">
        <v>317</v>
      </c>
      <c r="V88" s="32"/>
      <c r="X88" s="35"/>
      <c r="Y88" s="35" t="s">
        <v>152</v>
      </c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O88" s="36" t="s">
        <v>152</v>
      </c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6" t="s">
        <v>782</v>
      </c>
      <c r="BH88" s="32"/>
      <c r="BI88" s="36" t="s">
        <v>881</v>
      </c>
      <c r="BJ88" s="36" t="s">
        <v>879</v>
      </c>
      <c r="BK88" s="36" t="s">
        <v>880</v>
      </c>
      <c r="BL88" s="32"/>
      <c r="BM88" s="32"/>
      <c r="BN88" s="32"/>
      <c r="BO88" s="32"/>
      <c r="BP88" s="36" t="s">
        <v>762</v>
      </c>
      <c r="BQ88" s="36" t="s">
        <v>820</v>
      </c>
      <c r="BR88" s="36" t="s">
        <v>958</v>
      </c>
      <c r="BT88" s="36" t="s">
        <v>682</v>
      </c>
      <c r="BU88" s="36" t="s">
        <v>683</v>
      </c>
      <c r="BV88" s="36" t="s">
        <v>725</v>
      </c>
      <c r="BW88" s="36" t="s">
        <v>854</v>
      </c>
      <c r="BX88" s="36" t="s">
        <v>741</v>
      </c>
      <c r="BZ88" s="36" t="s">
        <v>742</v>
      </c>
      <c r="CB88" s="36" t="s">
        <v>743</v>
      </c>
      <c r="CD88" s="36" t="s">
        <v>734</v>
      </c>
      <c r="CF88" s="37"/>
      <c r="CH88" s="37"/>
      <c r="CJ88" s="37"/>
      <c r="CL88" s="37"/>
      <c r="CN88" s="37"/>
      <c r="CP88" s="37"/>
      <c r="CR88" s="37"/>
      <c r="CT88" s="37"/>
      <c r="EP88" s="36" t="s">
        <v>866</v>
      </c>
    </row>
    <row r="89" spans="1:146" s="36" customFormat="1" ht="12.75">
      <c r="A89" s="31" t="s">
        <v>146</v>
      </c>
      <c r="B89" s="31" t="s">
        <v>147</v>
      </c>
      <c r="C89" s="32" t="s">
        <v>148</v>
      </c>
      <c r="D89" s="32" t="s">
        <v>803</v>
      </c>
      <c r="E89" s="33">
        <v>45215</v>
      </c>
      <c r="F89" s="33">
        <v>45218</v>
      </c>
      <c r="G89" s="32"/>
      <c r="H89" s="34" t="s">
        <v>424</v>
      </c>
      <c r="I89" s="34" t="s">
        <v>424</v>
      </c>
      <c r="J89" s="35" t="s">
        <v>425</v>
      </c>
      <c r="K89" s="35" t="s">
        <v>426</v>
      </c>
      <c r="L89" s="35" t="s">
        <v>152</v>
      </c>
      <c r="M89" s="35" t="s">
        <v>153</v>
      </c>
      <c r="N89" s="35" t="s">
        <v>154</v>
      </c>
      <c r="O89" s="35" t="s">
        <v>155</v>
      </c>
      <c r="P89" s="35" t="s">
        <v>427</v>
      </c>
      <c r="Q89" s="35" t="s">
        <v>157</v>
      </c>
      <c r="R89" s="35" t="s">
        <v>152</v>
      </c>
      <c r="S89" s="32" t="s">
        <v>428</v>
      </c>
      <c r="T89" s="32" t="s">
        <v>428</v>
      </c>
      <c r="U89" s="32" t="s">
        <v>429</v>
      </c>
      <c r="V89" s="32"/>
      <c r="W89" s="32" t="s">
        <v>430</v>
      </c>
      <c r="X89" s="35"/>
      <c r="Y89" s="35" t="s">
        <v>152</v>
      </c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 t="s">
        <v>152</v>
      </c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 t="s">
        <v>1110</v>
      </c>
      <c r="BG89" s="32"/>
      <c r="BH89" s="32"/>
      <c r="BI89" s="32"/>
      <c r="BJ89" s="32" t="s">
        <v>1027</v>
      </c>
      <c r="BK89" s="32" t="s">
        <v>1028</v>
      </c>
      <c r="BL89" s="32"/>
      <c r="BM89" s="32"/>
      <c r="BN89" s="32"/>
      <c r="BO89" s="32"/>
      <c r="BP89" s="32" t="s">
        <v>762</v>
      </c>
      <c r="BQ89" s="32" t="s">
        <v>763</v>
      </c>
      <c r="BR89" s="32" t="s">
        <v>680</v>
      </c>
      <c r="BS89" s="32"/>
      <c r="BT89" s="36" t="s">
        <v>685</v>
      </c>
      <c r="BU89" s="36" t="s">
        <v>683</v>
      </c>
      <c r="BV89" s="36" t="s">
        <v>725</v>
      </c>
      <c r="BW89" s="36" t="s">
        <v>1112</v>
      </c>
      <c r="BX89" s="36" t="s">
        <v>727</v>
      </c>
      <c r="BZ89" s="36" t="s">
        <v>748</v>
      </c>
      <c r="CA89" s="36" t="s">
        <v>681</v>
      </c>
      <c r="CB89" s="36" t="s">
        <v>743</v>
      </c>
      <c r="CD89" s="36" t="s">
        <v>751</v>
      </c>
      <c r="CF89" s="36" t="s">
        <v>733</v>
      </c>
      <c r="CH89" s="36" t="s">
        <v>734</v>
      </c>
      <c r="CI89" s="32"/>
      <c r="CJ89" s="38"/>
      <c r="CK89" s="32"/>
      <c r="CL89" s="38"/>
      <c r="CM89" s="32"/>
      <c r="CN89" s="38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6" t="s">
        <v>866</v>
      </c>
    </row>
    <row r="90" spans="1:146" s="36" customFormat="1" ht="12.75">
      <c r="A90" s="31" t="s">
        <v>146</v>
      </c>
      <c r="B90" s="31" t="s">
        <v>147</v>
      </c>
      <c r="C90" s="32" t="s">
        <v>148</v>
      </c>
      <c r="D90" s="32" t="s">
        <v>803</v>
      </c>
      <c r="E90" s="33">
        <v>45215</v>
      </c>
      <c r="F90" s="33">
        <v>45218</v>
      </c>
      <c r="G90" s="32"/>
      <c r="H90" s="34" t="s">
        <v>345</v>
      </c>
      <c r="I90" s="34" t="s">
        <v>345</v>
      </c>
      <c r="J90" s="35"/>
      <c r="K90" s="35"/>
      <c r="L90" s="35" t="s">
        <v>152</v>
      </c>
      <c r="M90" s="35" t="s">
        <v>153</v>
      </c>
      <c r="N90" s="35" t="s">
        <v>154</v>
      </c>
      <c r="O90" s="35" t="s">
        <v>165</v>
      </c>
      <c r="P90" s="35" t="s">
        <v>346</v>
      </c>
      <c r="Q90" s="35" t="s">
        <v>157</v>
      </c>
      <c r="R90" s="35" t="s">
        <v>152</v>
      </c>
      <c r="S90" s="32" t="s">
        <v>347</v>
      </c>
      <c r="T90" s="32" t="s">
        <v>347</v>
      </c>
      <c r="U90" s="32" t="s">
        <v>347</v>
      </c>
      <c r="V90" s="32"/>
      <c r="W90" s="32"/>
      <c r="X90" s="35"/>
      <c r="Y90" s="35" t="s">
        <v>152</v>
      </c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 t="s">
        <v>152</v>
      </c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 t="s">
        <v>782</v>
      </c>
      <c r="BG90" s="32"/>
      <c r="BH90" s="32"/>
      <c r="BI90" s="32"/>
      <c r="BJ90" s="32"/>
      <c r="BK90" s="32" t="s">
        <v>878</v>
      </c>
      <c r="BL90" s="32"/>
      <c r="BM90" s="32"/>
      <c r="BN90" s="32"/>
      <c r="BO90" s="32"/>
      <c r="BP90" s="32" t="s">
        <v>762</v>
      </c>
      <c r="BQ90" s="32" t="s">
        <v>1071</v>
      </c>
      <c r="BR90" s="32"/>
      <c r="BS90" s="32"/>
      <c r="BT90" s="36" t="s">
        <v>1072</v>
      </c>
      <c r="BU90" s="32" t="s">
        <v>679</v>
      </c>
      <c r="BV90" s="36" t="s">
        <v>725</v>
      </c>
      <c r="BX90" s="36" t="s">
        <v>1073</v>
      </c>
      <c r="BZ90" s="36" t="s">
        <v>750</v>
      </c>
      <c r="CB90" s="36" t="s">
        <v>743</v>
      </c>
      <c r="CD90" s="36" t="s">
        <v>741</v>
      </c>
      <c r="CF90" s="36" t="s">
        <v>1074</v>
      </c>
      <c r="CH90" s="36" t="s">
        <v>1075</v>
      </c>
      <c r="CJ90" s="36" t="s">
        <v>734</v>
      </c>
      <c r="CK90" s="32"/>
      <c r="CL90" s="38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6" t="s">
        <v>866</v>
      </c>
    </row>
    <row r="91" spans="1:146" s="36" customFormat="1" ht="12.75">
      <c r="A91" s="31" t="s">
        <v>146</v>
      </c>
      <c r="B91" s="31" t="s">
        <v>147</v>
      </c>
      <c r="C91" s="32" t="s">
        <v>148</v>
      </c>
      <c r="D91" s="32" t="s">
        <v>803</v>
      </c>
      <c r="E91" s="33">
        <v>45215</v>
      </c>
      <c r="F91" s="33">
        <v>45218</v>
      </c>
      <c r="G91" s="32"/>
      <c r="H91" s="34" t="s">
        <v>355</v>
      </c>
      <c r="I91" s="34" t="s">
        <v>355</v>
      </c>
      <c r="J91" s="35"/>
      <c r="K91" s="35"/>
      <c r="L91" s="35" t="s">
        <v>152</v>
      </c>
      <c r="M91" s="35" t="s">
        <v>153</v>
      </c>
      <c r="N91" s="35" t="s">
        <v>154</v>
      </c>
      <c r="O91" s="35" t="s">
        <v>165</v>
      </c>
      <c r="P91" s="35" t="s">
        <v>356</v>
      </c>
      <c r="Q91" s="35" t="s">
        <v>157</v>
      </c>
      <c r="R91" s="35" t="s">
        <v>152</v>
      </c>
      <c r="S91" s="32" t="s">
        <v>357</v>
      </c>
      <c r="T91" s="32" t="s">
        <v>357</v>
      </c>
      <c r="U91" s="32" t="s">
        <v>357</v>
      </c>
      <c r="V91" s="32"/>
      <c r="W91" s="32"/>
      <c r="X91" s="35"/>
      <c r="Y91" s="35" t="s">
        <v>152</v>
      </c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 t="s">
        <v>152</v>
      </c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 t="s">
        <v>782</v>
      </c>
      <c r="BG91" s="32"/>
      <c r="BH91" s="32"/>
      <c r="BI91" s="32"/>
      <c r="BJ91" s="32"/>
      <c r="BK91" s="32" t="s">
        <v>878</v>
      </c>
      <c r="BL91" s="32"/>
      <c r="BM91" s="32"/>
      <c r="BN91" s="32"/>
      <c r="BO91" s="32"/>
      <c r="BP91" s="32" t="s">
        <v>762</v>
      </c>
      <c r="BQ91" s="32" t="s">
        <v>825</v>
      </c>
      <c r="BR91" s="32"/>
      <c r="BS91" s="32"/>
      <c r="BT91" s="36" t="s">
        <v>1080</v>
      </c>
      <c r="BU91" s="32" t="s">
        <v>679</v>
      </c>
      <c r="BV91" s="36" t="s">
        <v>725</v>
      </c>
      <c r="BX91" s="36" t="s">
        <v>1081</v>
      </c>
      <c r="BZ91" s="36" t="s">
        <v>1082</v>
      </c>
      <c r="CB91" s="36" t="s">
        <v>729</v>
      </c>
      <c r="CD91" s="36" t="s">
        <v>743</v>
      </c>
      <c r="CF91" s="36" t="s">
        <v>734</v>
      </c>
      <c r="CG91" s="32"/>
      <c r="CH91" s="38"/>
      <c r="CI91" s="32"/>
      <c r="CJ91" s="38"/>
      <c r="CK91" s="32"/>
      <c r="CL91" s="38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6" t="s">
        <v>866</v>
      </c>
    </row>
  </sheetData>
  <autoFilter ref="A1:EP91"/>
  <sortState ref="A2:ET91">
    <sortCondition ref="BT2:BT91"/>
    <sortCondition ref="BU2:BU9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84"/>
  <sheetViews>
    <sheetView topLeftCell="L1" workbookViewId="0">
      <selection activeCell="Y7" sqref="Y7"/>
    </sheetView>
  </sheetViews>
  <sheetFormatPr defaultRowHeight="15"/>
  <cols>
    <col min="1" max="1" width="25.7109375" customWidth="1"/>
    <col min="25" max="25" width="14.5703125" customWidth="1"/>
  </cols>
  <sheetData>
    <row r="1" spans="1:28">
      <c r="A1" s="2" t="s">
        <v>693</v>
      </c>
      <c r="B1" s="2" t="s">
        <v>756</v>
      </c>
      <c r="D1" t="s">
        <v>758</v>
      </c>
      <c r="E1" t="s">
        <v>759</v>
      </c>
      <c r="I1">
        <v>858</v>
      </c>
      <c r="L1" t="s">
        <v>623</v>
      </c>
      <c r="N1" s="1" t="s">
        <v>772</v>
      </c>
      <c r="X1" t="s">
        <v>829</v>
      </c>
      <c r="Y1" t="s">
        <v>830</v>
      </c>
      <c r="Z1" t="s">
        <v>831</v>
      </c>
    </row>
    <row r="2" spans="1:28">
      <c r="A2" s="3" t="s">
        <v>698</v>
      </c>
      <c r="B2" s="4">
        <v>754</v>
      </c>
      <c r="D2" s="3" t="s">
        <v>168</v>
      </c>
      <c r="E2" s="4">
        <v>196</v>
      </c>
      <c r="I2">
        <v>374</v>
      </c>
      <c r="L2" t="s">
        <v>673</v>
      </c>
      <c r="N2" s="5" t="s">
        <v>773</v>
      </c>
      <c r="X2">
        <v>1076</v>
      </c>
      <c r="Y2">
        <v>85</v>
      </c>
      <c r="Z2">
        <v>991</v>
      </c>
      <c r="AA2" t="s">
        <v>867</v>
      </c>
    </row>
    <row r="3" spans="1:28">
      <c r="A3" s="3" t="s">
        <v>710</v>
      </c>
      <c r="B3" s="4">
        <v>136</v>
      </c>
      <c r="D3" s="3" t="s">
        <v>414</v>
      </c>
      <c r="E3" s="4">
        <v>89</v>
      </c>
      <c r="I3">
        <v>915</v>
      </c>
      <c r="L3" t="s">
        <v>667</v>
      </c>
      <c r="N3" s="5" t="s">
        <v>774</v>
      </c>
      <c r="X3">
        <v>991</v>
      </c>
      <c r="Y3">
        <v>90</v>
      </c>
      <c r="Z3">
        <v>901</v>
      </c>
      <c r="AA3" t="s">
        <v>868</v>
      </c>
    </row>
    <row r="4" spans="1:28">
      <c r="A4" s="3" t="s">
        <v>695</v>
      </c>
      <c r="B4" s="4">
        <v>106</v>
      </c>
      <c r="C4" t="s">
        <v>672</v>
      </c>
      <c r="D4" s="3" t="s">
        <v>234</v>
      </c>
      <c r="E4" s="4">
        <v>76</v>
      </c>
      <c r="I4">
        <v>1702</v>
      </c>
      <c r="N4" s="5" t="s">
        <v>775</v>
      </c>
      <c r="X4">
        <v>901</v>
      </c>
      <c r="Y4">
        <v>90</v>
      </c>
      <c r="Z4">
        <v>811</v>
      </c>
      <c r="AA4" t="s">
        <v>1107</v>
      </c>
    </row>
    <row r="5" spans="1:28">
      <c r="A5" s="3" t="s">
        <v>694</v>
      </c>
      <c r="B5" s="4">
        <v>35</v>
      </c>
      <c r="D5" s="3" t="s">
        <v>247</v>
      </c>
      <c r="E5" s="4">
        <v>72</v>
      </c>
      <c r="I5">
        <v>1155</v>
      </c>
      <c r="N5" s="5" t="s">
        <v>776</v>
      </c>
      <c r="X5">
        <v>811</v>
      </c>
      <c r="Y5">
        <v>90</v>
      </c>
      <c r="Z5">
        <v>721</v>
      </c>
      <c r="AA5" t="s">
        <v>1108</v>
      </c>
    </row>
    <row r="6" spans="1:28">
      <c r="A6" s="3" t="s">
        <v>713</v>
      </c>
      <c r="B6" s="4">
        <v>21</v>
      </c>
      <c r="D6" s="3" t="s">
        <v>184</v>
      </c>
      <c r="E6" s="4">
        <v>64</v>
      </c>
      <c r="I6">
        <v>306</v>
      </c>
      <c r="L6" t="s">
        <v>761</v>
      </c>
      <c r="N6" s="5" t="s">
        <v>777</v>
      </c>
    </row>
    <row r="7" spans="1:28">
      <c r="A7" s="3" t="s">
        <v>704</v>
      </c>
      <c r="B7" s="4">
        <v>19</v>
      </c>
      <c r="D7" s="3" t="s">
        <v>418</v>
      </c>
      <c r="E7" s="4">
        <v>32</v>
      </c>
      <c r="I7">
        <v>945</v>
      </c>
      <c r="L7" t="s">
        <v>760</v>
      </c>
      <c r="N7" s="5" t="s">
        <v>767</v>
      </c>
      <c r="X7">
        <v>1076</v>
      </c>
      <c r="Y7">
        <v>355</v>
      </c>
      <c r="Z7">
        <f>X7-Y7</f>
        <v>721</v>
      </c>
    </row>
    <row r="8" spans="1:28">
      <c r="A8" s="3" t="s">
        <v>700</v>
      </c>
      <c r="B8" s="4">
        <v>18</v>
      </c>
      <c r="D8" s="3" t="s">
        <v>423</v>
      </c>
      <c r="E8" s="4">
        <v>32</v>
      </c>
      <c r="I8">
        <v>1225</v>
      </c>
      <c r="N8" s="5" t="s">
        <v>778</v>
      </c>
    </row>
    <row r="9" spans="1:28">
      <c r="A9" s="3" t="s">
        <v>697</v>
      </c>
      <c r="B9" s="4">
        <v>10</v>
      </c>
      <c r="D9" s="3" t="s">
        <v>624</v>
      </c>
      <c r="E9" s="4">
        <v>21</v>
      </c>
      <c r="I9">
        <v>962</v>
      </c>
      <c r="N9" s="5" t="s">
        <v>779</v>
      </c>
      <c r="Y9">
        <v>265</v>
      </c>
      <c r="Z9">
        <v>300</v>
      </c>
      <c r="AA9">
        <f>Z9-Y9</f>
        <v>35</v>
      </c>
    </row>
    <row r="10" spans="1:28">
      <c r="A10" s="3" t="s">
        <v>718</v>
      </c>
      <c r="B10" s="4">
        <v>10</v>
      </c>
      <c r="D10" s="3" t="s">
        <v>181</v>
      </c>
      <c r="E10" s="4">
        <v>19</v>
      </c>
      <c r="I10">
        <v>798</v>
      </c>
      <c r="N10" s="5" t="s">
        <v>780</v>
      </c>
      <c r="Y10">
        <v>35</v>
      </c>
      <c r="AA10">
        <f>342-265</f>
        <v>77</v>
      </c>
    </row>
    <row r="11" spans="1:28">
      <c r="A11" s="3" t="s">
        <v>716</v>
      </c>
      <c r="B11" s="4">
        <v>9</v>
      </c>
      <c r="D11" s="3" t="s">
        <v>186</v>
      </c>
      <c r="E11" s="4">
        <v>13</v>
      </c>
      <c r="I11">
        <v>899</v>
      </c>
      <c r="N11" s="6" t="s">
        <v>781</v>
      </c>
      <c r="Y11">
        <v>28</v>
      </c>
    </row>
    <row r="12" spans="1:28">
      <c r="A12" s="3" t="s">
        <v>707</v>
      </c>
      <c r="B12" s="4">
        <v>6</v>
      </c>
      <c r="D12" s="3" t="s">
        <v>416</v>
      </c>
      <c r="E12" s="4">
        <v>11</v>
      </c>
      <c r="I12">
        <v>848</v>
      </c>
      <c r="N12" s="1" t="s">
        <v>782</v>
      </c>
      <c r="Y12">
        <f>SUM(Y10:Y11)</f>
        <v>63</v>
      </c>
    </row>
    <row r="13" spans="1:28">
      <c r="A13" s="3" t="s">
        <v>696</v>
      </c>
      <c r="B13" s="4">
        <v>3</v>
      </c>
      <c r="D13" s="3" t="s">
        <v>419</v>
      </c>
      <c r="E13" s="4">
        <v>11</v>
      </c>
      <c r="I13">
        <v>974</v>
      </c>
      <c r="N13" s="6" t="s">
        <v>783</v>
      </c>
    </row>
    <row r="14" spans="1:28">
      <c r="A14" s="3" t="s">
        <v>699</v>
      </c>
      <c r="B14" s="4">
        <v>3</v>
      </c>
      <c r="D14" s="3" t="s">
        <v>420</v>
      </c>
      <c r="E14" s="4">
        <v>11</v>
      </c>
      <c r="I14">
        <v>1025</v>
      </c>
      <c r="L14">
        <v>33</v>
      </c>
      <c r="M14">
        <f>175-85</f>
        <v>90</v>
      </c>
      <c r="N14" s="6" t="s">
        <v>784</v>
      </c>
      <c r="AA14" t="s">
        <v>841</v>
      </c>
      <c r="AB14" t="s">
        <v>764</v>
      </c>
    </row>
    <row r="15" spans="1:28">
      <c r="A15" s="3" t="s">
        <v>712</v>
      </c>
      <c r="B15" s="4">
        <v>3</v>
      </c>
      <c r="D15" s="3" t="s">
        <v>633</v>
      </c>
      <c r="E15" s="4">
        <v>9</v>
      </c>
      <c r="I15">
        <v>357</v>
      </c>
      <c r="L15">
        <v>47</v>
      </c>
      <c r="N15" s="6" t="s">
        <v>785</v>
      </c>
      <c r="AA15" t="s">
        <v>840</v>
      </c>
      <c r="AB15" t="s">
        <v>805</v>
      </c>
    </row>
    <row r="16" spans="1:28">
      <c r="A16" s="3" t="s">
        <v>702</v>
      </c>
      <c r="B16" s="4">
        <v>3</v>
      </c>
      <c r="D16" s="3" t="s">
        <v>422</v>
      </c>
      <c r="E16" s="4">
        <v>9</v>
      </c>
      <c r="I16">
        <v>2348</v>
      </c>
      <c r="L16">
        <v>10</v>
      </c>
      <c r="N16" s="6" t="s">
        <v>786</v>
      </c>
      <c r="AA16" t="s">
        <v>840</v>
      </c>
      <c r="AB16" t="s">
        <v>869</v>
      </c>
    </row>
    <row r="17" spans="1:29">
      <c r="A17" s="3" t="s">
        <v>708</v>
      </c>
      <c r="B17" s="4">
        <v>2</v>
      </c>
      <c r="D17" s="3" t="s">
        <v>622</v>
      </c>
      <c r="E17" s="4">
        <v>8</v>
      </c>
      <c r="I17">
        <v>942</v>
      </c>
      <c r="L17">
        <f>SUM(L14:L16)</f>
        <v>90</v>
      </c>
      <c r="N17" s="6" t="s">
        <v>787</v>
      </c>
      <c r="AA17" t="s">
        <v>1011</v>
      </c>
      <c r="AB17" t="s">
        <v>1013</v>
      </c>
    </row>
    <row r="18" spans="1:29">
      <c r="A18" s="3" t="s">
        <v>711</v>
      </c>
      <c r="B18" s="4">
        <v>2</v>
      </c>
      <c r="D18" s="3" t="s">
        <v>629</v>
      </c>
      <c r="E18" s="4">
        <v>8</v>
      </c>
      <c r="I18">
        <v>636</v>
      </c>
      <c r="N18" s="6" t="s">
        <v>788</v>
      </c>
    </row>
    <row r="19" spans="1:29">
      <c r="A19" s="3" t="s">
        <v>715</v>
      </c>
      <c r="B19" s="4">
        <v>2</v>
      </c>
      <c r="D19" s="3" t="s">
        <v>631</v>
      </c>
      <c r="E19" s="4">
        <v>8</v>
      </c>
      <c r="H19">
        <v>30226</v>
      </c>
      <c r="I19">
        <f>SUM(I1:I18)</f>
        <v>17269</v>
      </c>
      <c r="J19">
        <f>H19-I19</f>
        <v>12957</v>
      </c>
      <c r="N19" s="6" t="s">
        <v>789</v>
      </c>
      <c r="AB19" s="8" t="s">
        <v>782</v>
      </c>
    </row>
    <row r="20" spans="1:29">
      <c r="A20" s="3" t="s">
        <v>701</v>
      </c>
      <c r="B20" s="4">
        <v>1</v>
      </c>
      <c r="D20" s="3" t="s">
        <v>636</v>
      </c>
      <c r="E20" s="4">
        <v>7</v>
      </c>
      <c r="N20" s="6" t="s">
        <v>790</v>
      </c>
    </row>
    <row r="21" spans="1:29">
      <c r="A21" s="3" t="s">
        <v>722</v>
      </c>
      <c r="B21" s="4">
        <v>1</v>
      </c>
      <c r="D21" s="3" t="s">
        <v>486</v>
      </c>
      <c r="E21" s="4">
        <v>6</v>
      </c>
      <c r="G21">
        <v>1155</v>
      </c>
      <c r="H21" t="s">
        <v>864</v>
      </c>
      <c r="I21" t="s">
        <v>865</v>
      </c>
      <c r="N21" s="6" t="s">
        <v>791</v>
      </c>
      <c r="AA21">
        <v>85</v>
      </c>
      <c r="AB21">
        <f>109</f>
        <v>109</v>
      </c>
      <c r="AC21">
        <f>AB21-AA21</f>
        <v>24</v>
      </c>
    </row>
    <row r="22" spans="1:29">
      <c r="A22" s="3" t="s">
        <v>709</v>
      </c>
      <c r="B22" s="4">
        <v>1</v>
      </c>
      <c r="D22" s="3" t="s">
        <v>658</v>
      </c>
      <c r="E22" s="4">
        <v>6</v>
      </c>
      <c r="G22">
        <v>1076</v>
      </c>
      <c r="H22">
        <v>85</v>
      </c>
      <c r="I22">
        <v>991</v>
      </c>
      <c r="N22" s="7" t="s">
        <v>792</v>
      </c>
    </row>
    <row r="23" spans="1:29">
      <c r="A23" s="3" t="s">
        <v>721</v>
      </c>
      <c r="B23" s="4">
        <v>1</v>
      </c>
      <c r="D23" s="3" t="s">
        <v>630</v>
      </c>
      <c r="E23" s="4">
        <v>5</v>
      </c>
      <c r="G23">
        <v>991</v>
      </c>
      <c r="H23">
        <v>90</v>
      </c>
      <c r="I23">
        <v>901</v>
      </c>
      <c r="N23" s="6" t="s">
        <v>793</v>
      </c>
    </row>
    <row r="24" spans="1:29">
      <c r="A24" s="3" t="s">
        <v>703</v>
      </c>
      <c r="B24" s="4">
        <v>1</v>
      </c>
      <c r="D24" s="3" t="s">
        <v>503</v>
      </c>
      <c r="E24" s="4">
        <v>5</v>
      </c>
      <c r="G24">
        <v>901</v>
      </c>
      <c r="H24">
        <v>90</v>
      </c>
      <c r="I24">
        <f>G24-H24</f>
        <v>811</v>
      </c>
      <c r="K24">
        <f>265+811</f>
        <v>1076</v>
      </c>
      <c r="N24" s="6" t="s">
        <v>794</v>
      </c>
    </row>
    <row r="25" spans="1:29">
      <c r="A25" s="3" t="s">
        <v>717</v>
      </c>
      <c r="B25" s="4">
        <v>1</v>
      </c>
      <c r="D25" s="3" t="s">
        <v>641</v>
      </c>
      <c r="E25" s="4">
        <v>4</v>
      </c>
      <c r="N25" s="6" t="s">
        <v>795</v>
      </c>
    </row>
    <row r="26" spans="1:29">
      <c r="A26" s="3" t="s">
        <v>719</v>
      </c>
      <c r="B26" s="4">
        <v>1</v>
      </c>
      <c r="D26" s="3" t="s">
        <v>627</v>
      </c>
      <c r="E26" s="4">
        <v>4</v>
      </c>
      <c r="N26" s="6" t="s">
        <v>796</v>
      </c>
    </row>
    <row r="27" spans="1:29">
      <c r="A27" s="3" t="s">
        <v>720</v>
      </c>
      <c r="B27" s="4">
        <v>1</v>
      </c>
      <c r="D27" s="3" t="s">
        <v>505</v>
      </c>
      <c r="E27" s="4">
        <v>4</v>
      </c>
      <c r="N27" s="7" t="s">
        <v>797</v>
      </c>
    </row>
    <row r="28" spans="1:29">
      <c r="A28" s="3" t="s">
        <v>724</v>
      </c>
      <c r="B28" s="4">
        <v>1</v>
      </c>
      <c r="D28" s="3" t="s">
        <v>649</v>
      </c>
      <c r="E28" s="4">
        <v>4</v>
      </c>
      <c r="N28" s="5" t="s">
        <v>798</v>
      </c>
    </row>
    <row r="29" spans="1:29">
      <c r="A29" s="3" t="s">
        <v>706</v>
      </c>
      <c r="B29" s="4">
        <v>1</v>
      </c>
      <c r="D29" s="3" t="s">
        <v>487</v>
      </c>
      <c r="E29" s="4">
        <v>4</v>
      </c>
      <c r="N29" s="6" t="s">
        <v>799</v>
      </c>
    </row>
    <row r="30" spans="1:29">
      <c r="A30" s="3" t="s">
        <v>723</v>
      </c>
      <c r="B30" s="4">
        <v>1</v>
      </c>
      <c r="D30" s="3" t="s">
        <v>632</v>
      </c>
      <c r="E30" s="4">
        <v>4</v>
      </c>
      <c r="N30" s="6" t="s">
        <v>800</v>
      </c>
    </row>
    <row r="31" spans="1:29">
      <c r="A31" s="3" t="s">
        <v>705</v>
      </c>
      <c r="B31" s="4">
        <v>1</v>
      </c>
      <c r="D31" s="3" t="s">
        <v>198</v>
      </c>
      <c r="E31" s="4">
        <v>4</v>
      </c>
      <c r="N31" s="6" t="s">
        <v>801</v>
      </c>
    </row>
    <row r="32" spans="1:29">
      <c r="A32" s="3" t="s">
        <v>714</v>
      </c>
      <c r="B32" s="4">
        <v>1</v>
      </c>
      <c r="D32" s="3" t="s">
        <v>421</v>
      </c>
      <c r="E32" s="4">
        <v>4</v>
      </c>
      <c r="N32" s="6" t="s">
        <v>802</v>
      </c>
    </row>
    <row r="33" spans="1:5">
      <c r="A33" s="3" t="s">
        <v>757</v>
      </c>
      <c r="B33" s="4">
        <v>1155</v>
      </c>
      <c r="D33" s="3" t="s">
        <v>653</v>
      </c>
      <c r="E33" s="4">
        <v>3</v>
      </c>
    </row>
    <row r="34" spans="1:5">
      <c r="D34" s="3" t="s">
        <v>647</v>
      </c>
      <c r="E34" s="4">
        <v>3</v>
      </c>
    </row>
    <row r="35" spans="1:5">
      <c r="D35" s="3" t="s">
        <v>669</v>
      </c>
      <c r="E35" s="4">
        <v>3</v>
      </c>
    </row>
    <row r="36" spans="1:5">
      <c r="D36" s="3" t="s">
        <v>507</v>
      </c>
      <c r="E36" s="4">
        <v>3</v>
      </c>
    </row>
    <row r="37" spans="1:5">
      <c r="D37" s="3" t="s">
        <v>661</v>
      </c>
      <c r="E37" s="4">
        <v>3</v>
      </c>
    </row>
    <row r="38" spans="1:5">
      <c r="D38" s="3" t="s">
        <v>628</v>
      </c>
      <c r="E38" s="4">
        <v>2</v>
      </c>
    </row>
    <row r="39" spans="1:5">
      <c r="D39" s="3" t="s">
        <v>671</v>
      </c>
      <c r="E39" s="4">
        <v>2</v>
      </c>
    </row>
    <row r="40" spans="1:5">
      <c r="D40" s="3" t="s">
        <v>577</v>
      </c>
      <c r="E40" s="4">
        <v>2</v>
      </c>
    </row>
    <row r="41" spans="1:5">
      <c r="D41" s="3" t="s">
        <v>468</v>
      </c>
      <c r="E41" s="4">
        <v>2</v>
      </c>
    </row>
    <row r="42" spans="1:5">
      <c r="D42" s="3" t="s">
        <v>635</v>
      </c>
      <c r="E42" s="4">
        <v>2</v>
      </c>
    </row>
    <row r="43" spans="1:5">
      <c r="D43" s="3" t="s">
        <v>643</v>
      </c>
      <c r="E43" s="4">
        <v>2</v>
      </c>
    </row>
    <row r="44" spans="1:5">
      <c r="D44" s="3" t="s">
        <v>664</v>
      </c>
      <c r="E44" s="4">
        <v>2</v>
      </c>
    </row>
    <row r="45" spans="1:5">
      <c r="D45" s="3" t="s">
        <v>415</v>
      </c>
      <c r="E45" s="4">
        <v>2</v>
      </c>
    </row>
    <row r="46" spans="1:5">
      <c r="D46" s="3" t="s">
        <v>466</v>
      </c>
      <c r="E46" s="4">
        <v>2</v>
      </c>
    </row>
    <row r="47" spans="1:5">
      <c r="D47" s="3" t="s">
        <v>595</v>
      </c>
      <c r="E47" s="4">
        <v>2</v>
      </c>
    </row>
    <row r="48" spans="1:5">
      <c r="D48" s="3" t="s">
        <v>651</v>
      </c>
      <c r="E48" s="4">
        <v>2</v>
      </c>
    </row>
    <row r="49" spans="4:5">
      <c r="D49" s="3" t="s">
        <v>654</v>
      </c>
      <c r="E49" s="4">
        <v>2</v>
      </c>
    </row>
    <row r="50" spans="4:5">
      <c r="D50" s="3" t="s">
        <v>638</v>
      </c>
      <c r="E50" s="4">
        <v>2</v>
      </c>
    </row>
    <row r="51" spans="4:5">
      <c r="D51" s="3" t="s">
        <v>473</v>
      </c>
      <c r="E51" s="4">
        <v>2</v>
      </c>
    </row>
    <row r="52" spans="4:5">
      <c r="D52" s="3" t="s">
        <v>668</v>
      </c>
      <c r="E52" s="4">
        <v>1</v>
      </c>
    </row>
    <row r="53" spans="4:5">
      <c r="D53" s="3" t="s">
        <v>663</v>
      </c>
      <c r="E53" s="4">
        <v>1</v>
      </c>
    </row>
    <row r="54" spans="4:5">
      <c r="D54" s="3" t="s">
        <v>637</v>
      </c>
      <c r="E54" s="4">
        <v>1</v>
      </c>
    </row>
    <row r="55" spans="4:5">
      <c r="D55" s="3" t="s">
        <v>546</v>
      </c>
      <c r="E55" s="4">
        <v>1</v>
      </c>
    </row>
    <row r="56" spans="4:5">
      <c r="D56" s="3" t="s">
        <v>652</v>
      </c>
      <c r="E56" s="4">
        <v>1</v>
      </c>
    </row>
    <row r="57" spans="4:5">
      <c r="D57" s="3" t="s">
        <v>639</v>
      </c>
      <c r="E57" s="4">
        <v>1</v>
      </c>
    </row>
    <row r="58" spans="4:5">
      <c r="D58" s="3" t="s">
        <v>665</v>
      </c>
      <c r="E58" s="4">
        <v>1</v>
      </c>
    </row>
    <row r="59" spans="4:5">
      <c r="D59" s="3" t="s">
        <v>626</v>
      </c>
      <c r="E59" s="4">
        <v>1</v>
      </c>
    </row>
    <row r="60" spans="4:5">
      <c r="D60" s="3" t="s">
        <v>678</v>
      </c>
      <c r="E60" s="4">
        <v>1</v>
      </c>
    </row>
    <row r="61" spans="4:5">
      <c r="D61" s="3" t="s">
        <v>472</v>
      </c>
      <c r="E61" s="4">
        <v>1</v>
      </c>
    </row>
    <row r="62" spans="4:5">
      <c r="D62" s="3" t="s">
        <v>656</v>
      </c>
      <c r="E62" s="4">
        <v>1</v>
      </c>
    </row>
    <row r="63" spans="4:5">
      <c r="D63" s="3" t="s">
        <v>674</v>
      </c>
      <c r="E63" s="4">
        <v>1</v>
      </c>
    </row>
    <row r="64" spans="4:5">
      <c r="D64" s="3" t="s">
        <v>660</v>
      </c>
      <c r="E64" s="4">
        <v>1</v>
      </c>
    </row>
    <row r="65" spans="4:5">
      <c r="D65" s="3" t="s">
        <v>670</v>
      </c>
      <c r="E65" s="4">
        <v>1</v>
      </c>
    </row>
    <row r="66" spans="4:5">
      <c r="D66" s="3" t="s">
        <v>417</v>
      </c>
      <c r="E66" s="4">
        <v>1</v>
      </c>
    </row>
    <row r="67" spans="4:5">
      <c r="D67" s="3" t="s">
        <v>675</v>
      </c>
      <c r="E67" s="4">
        <v>1</v>
      </c>
    </row>
    <row r="68" spans="4:5">
      <c r="D68" s="3" t="s">
        <v>640</v>
      </c>
      <c r="E68" s="4">
        <v>1</v>
      </c>
    </row>
    <row r="69" spans="4:5">
      <c r="D69" s="3" t="s">
        <v>666</v>
      </c>
      <c r="E69" s="4">
        <v>1</v>
      </c>
    </row>
    <row r="70" spans="4:5">
      <c r="D70" s="3" t="s">
        <v>677</v>
      </c>
      <c r="E70" s="4">
        <v>1</v>
      </c>
    </row>
    <row r="71" spans="4:5">
      <c r="D71" s="3" t="s">
        <v>648</v>
      </c>
      <c r="E71" s="4">
        <v>1</v>
      </c>
    </row>
    <row r="72" spans="4:5">
      <c r="D72" s="3" t="s">
        <v>634</v>
      </c>
      <c r="E72" s="4">
        <v>1</v>
      </c>
    </row>
    <row r="73" spans="4:5">
      <c r="D73" s="3" t="s">
        <v>644</v>
      </c>
      <c r="E73" s="4">
        <v>1</v>
      </c>
    </row>
    <row r="74" spans="4:5">
      <c r="D74" s="3" t="s">
        <v>657</v>
      </c>
      <c r="E74" s="4">
        <v>1</v>
      </c>
    </row>
    <row r="75" spans="4:5">
      <c r="D75" s="3" t="s">
        <v>642</v>
      </c>
      <c r="E75" s="4">
        <v>1</v>
      </c>
    </row>
    <row r="76" spans="4:5">
      <c r="D76" s="3" t="s">
        <v>650</v>
      </c>
      <c r="E76" s="4">
        <v>1</v>
      </c>
    </row>
    <row r="77" spans="4:5">
      <c r="D77" s="3" t="s">
        <v>667</v>
      </c>
      <c r="E77" s="4">
        <v>1</v>
      </c>
    </row>
    <row r="78" spans="4:5">
      <c r="D78" s="3" t="s">
        <v>655</v>
      </c>
      <c r="E78" s="4">
        <v>1</v>
      </c>
    </row>
    <row r="79" spans="4:5">
      <c r="D79" s="3" t="s">
        <v>646</v>
      </c>
      <c r="E79" s="4">
        <v>1</v>
      </c>
    </row>
    <row r="80" spans="4:5">
      <c r="D80" s="3" t="s">
        <v>645</v>
      </c>
      <c r="E80" s="4">
        <v>1</v>
      </c>
    </row>
    <row r="81" spans="4:5">
      <c r="D81" s="3" t="s">
        <v>659</v>
      </c>
      <c r="E81" s="4">
        <v>1</v>
      </c>
    </row>
    <row r="82" spans="4:5">
      <c r="D82" s="3" t="s">
        <v>483</v>
      </c>
      <c r="E82" s="4">
        <v>1</v>
      </c>
    </row>
    <row r="83" spans="4:5">
      <c r="D83" s="3" t="s">
        <v>662</v>
      </c>
      <c r="E83" s="4">
        <v>1</v>
      </c>
    </row>
    <row r="84" spans="4:5">
      <c r="D84" s="3" t="s">
        <v>757</v>
      </c>
      <c r="E84" s="4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Kalai</cp:lastModifiedBy>
  <dcterms:created xsi:type="dcterms:W3CDTF">2023-10-16T03:22:02Z</dcterms:created>
  <dcterms:modified xsi:type="dcterms:W3CDTF">2023-10-19T17:22:08Z</dcterms:modified>
</cp:coreProperties>
</file>