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Sheet1!$A$1:$DG$8</definedName>
  </definedNames>
  <calcPr calcId="145621"/>
  <webPublishing codePage="0"/>
</workbook>
</file>

<file path=xl/calcChain.xml><?xml version="1.0" encoding="utf-8"?>
<calcChain xmlns="http://schemas.openxmlformats.org/spreadsheetml/2006/main">
  <c r="AW8" i="1" l="1"/>
  <c r="AW7" i="1"/>
  <c r="AW6" i="1"/>
  <c r="AW5" i="1"/>
  <c r="AW4" i="1"/>
  <c r="AW3" i="1"/>
  <c r="AW2" i="1"/>
</calcChain>
</file>

<file path=xl/sharedStrings.xml><?xml version="1.0" encoding="utf-8"?>
<sst xmlns="http://schemas.openxmlformats.org/spreadsheetml/2006/main" count="398" uniqueCount="201">
  <si>
    <t>Mfg Item Number</t>
  </si>
  <si>
    <t>Gender</t>
  </si>
  <si>
    <t>Sort Code</t>
  </si>
  <si>
    <t>Potential Duplicates</t>
  </si>
  <si>
    <t>Property</t>
  </si>
  <si>
    <t>Job No</t>
  </si>
  <si>
    <t>Mfg Name</t>
  </si>
  <si>
    <t>Color</t>
  </si>
  <si>
    <t>CND</t>
  </si>
  <si>
    <t>Prodigo Standard Short Description - 254</t>
  </si>
  <si>
    <t>CE Comments</t>
  </si>
  <si>
    <t>BOSTON SCIENTIFIC BAYLIS MEDICAL</t>
  </si>
  <si>
    <t>Mfg Ref ID</t>
  </si>
  <si>
    <t>Remarks</t>
  </si>
  <si>
    <t>Location</t>
  </si>
  <si>
    <t>VersaCross Connect Pigtail D1 180</t>
  </si>
  <si>
    <t>Previous CE Code</t>
  </si>
  <si>
    <t>Tab</t>
  </si>
  <si>
    <t>Mapped with 066</t>
  </si>
  <si>
    <t>Ref</t>
  </si>
  <si>
    <t>Standardized UNSPSC</t>
  </si>
  <si>
    <t>Noun</t>
  </si>
  <si>
    <t>UNSPSC Description1</t>
  </si>
  <si>
    <t>SE Comments</t>
  </si>
  <si>
    <t>Classification Remarks1</t>
  </si>
  <si>
    <t>PRODIGO1053365</t>
  </si>
  <si>
    <t>URL1</t>
  </si>
  <si>
    <t>Remarks1</t>
  </si>
  <si>
    <t>Long Description 254 Enriched1</t>
  </si>
  <si>
    <t>Age</t>
  </si>
  <si>
    <t>PRODIGO1053361</t>
  </si>
  <si>
    <t>Quality A/R</t>
  </si>
  <si>
    <t>PrimaryDimension(IDXODXLXWXHXDXTHK)</t>
  </si>
  <si>
    <t>VersaCross Connect Pigtail D0 180</t>
  </si>
  <si>
    <t>Descr Status</t>
  </si>
  <si>
    <t>Miscellaneous</t>
  </si>
  <si>
    <t>Sort Comment</t>
  </si>
  <si>
    <t>Conc</t>
  </si>
  <si>
    <t>Long Description</t>
  </si>
  <si>
    <t>Disposable</t>
  </si>
  <si>
    <t>Packaging for drugs and solutions</t>
  </si>
  <si>
    <t>Item Name (Short Description)</t>
  </si>
  <si>
    <t>Latex</t>
  </si>
  <si>
    <t>VersaCross Connect J-Tip D0 180</t>
  </si>
  <si>
    <t>Potential Duplicates1</t>
  </si>
  <si>
    <t>PRODIGO1053363</t>
  </si>
  <si>
    <t>Customer Code</t>
  </si>
  <si>
    <t>Count</t>
  </si>
  <si>
    <t>Project2</t>
  </si>
  <si>
    <t>Size</t>
  </si>
  <si>
    <t>Short Description</t>
  </si>
  <si>
    <t>HCPCS code</t>
  </si>
  <si>
    <t>Secondary Dimension(IDXODXLXWXHXDXTHK)</t>
  </si>
  <si>
    <t>Long Description 254 Enriched</t>
  </si>
  <si>
    <t>Delivered</t>
  </si>
  <si>
    <t>File Name</t>
  </si>
  <si>
    <t>Description Duplicate</t>
  </si>
  <si>
    <t>Ref#</t>
  </si>
  <si>
    <t>Corrected By</t>
  </si>
  <si>
    <t>64kProdigoItemKey</t>
  </si>
  <si>
    <t>Activities</t>
  </si>
  <si>
    <t>Short Description 60 Enriched</t>
  </si>
  <si>
    <t>Adjective</t>
  </si>
  <si>
    <t>RefName</t>
  </si>
  <si>
    <t>QE Code</t>
  </si>
  <si>
    <t>RefCat</t>
  </si>
  <si>
    <t>Item Description (Long Description)</t>
  </si>
  <si>
    <t>VersaCross Connect J-Tip D1 230</t>
  </si>
  <si>
    <t>Potential / Desc Duplicate across Consolidated</t>
  </si>
  <si>
    <t>Start Date</t>
  </si>
  <si>
    <t>Len</t>
  </si>
  <si>
    <t>VXAK0011</t>
  </si>
  <si>
    <t>HCPCS Desc1</t>
  </si>
  <si>
    <t>Data Enrichment | UNSPSC Classification</t>
  </si>
  <si>
    <t>Modifier</t>
  </si>
  <si>
    <t>Classification Remarks</t>
  </si>
  <si>
    <t>VXAK0015</t>
  </si>
  <si>
    <t>VXAK0005</t>
  </si>
  <si>
    <t>Item Description (Long Description 4000)1</t>
  </si>
  <si>
    <t>VersaCross Connect Pigtail D0 230</t>
  </si>
  <si>
    <t>Production Comments</t>
  </si>
  <si>
    <t>ProdigoItemKey1</t>
  </si>
  <si>
    <t>SlNo</t>
  </si>
  <si>
    <t>VXAK0003</t>
  </si>
  <si>
    <t>Project1</t>
  </si>
  <si>
    <t>Delivered Date</t>
  </si>
  <si>
    <t>PRODIGO1053366</t>
  </si>
  <si>
    <t>HCPCS description</t>
  </si>
  <si>
    <t>Brandname1</t>
  </si>
  <si>
    <t>Project_Code</t>
  </si>
  <si>
    <t>11kProdigoItemKey</t>
  </si>
  <si>
    <t>PRODIGO1053362</t>
  </si>
  <si>
    <t>ProdigoItemKey</t>
  </si>
  <si>
    <t>Source1</t>
  </si>
  <si>
    <t>Short Description 60 Enriched1</t>
  </si>
  <si>
    <t>BrandName</t>
  </si>
  <si>
    <t>DE Code</t>
  </si>
  <si>
    <t>VXAK0009</t>
  </si>
  <si>
    <t>VersaCross Connect J-Tip D0 230</t>
  </si>
  <si>
    <t>Standardized Manufacturer Item Number</t>
  </si>
  <si>
    <t>Status</t>
  </si>
  <si>
    <t>PRODIGO1053364</t>
  </si>
  <si>
    <t>Job No1</t>
  </si>
  <si>
    <t>PDF</t>
  </si>
  <si>
    <t>PDG</t>
  </si>
  <si>
    <t>HCPCS1</t>
  </si>
  <si>
    <t>To_Process</t>
  </si>
  <si>
    <t>Sterile</t>
  </si>
  <si>
    <t>Standardized UNSPSC1</t>
  </si>
  <si>
    <t>VersaCross Connect J-Tip D1 180</t>
  </si>
  <si>
    <t>SLNo_Prod</t>
  </si>
  <si>
    <t>Material</t>
  </si>
  <si>
    <t>VXAK0001</t>
  </si>
  <si>
    <t>ForGhria_Output_2023-07-14</t>
  </si>
  <si>
    <t>Batch</t>
  </si>
  <si>
    <t>Accepted Date</t>
  </si>
  <si>
    <t>Production User</t>
  </si>
  <si>
    <t>QE Comments</t>
  </si>
  <si>
    <t>Project</t>
  </si>
  <si>
    <t>QA Code</t>
  </si>
  <si>
    <t>Standardized Manufacturer Name</t>
  </si>
  <si>
    <t>UNSPSC1</t>
  </si>
  <si>
    <t>UNSPC V24</t>
  </si>
  <si>
    <t>URL</t>
  </si>
  <si>
    <t>Source</t>
  </si>
  <si>
    <t>Validated MFR Name</t>
  </si>
  <si>
    <t>BOSTON SCIENTIFIC</t>
  </si>
  <si>
    <t>Miscellaneous1</t>
  </si>
  <si>
    <t>016-239</t>
  </si>
  <si>
    <t>ASIS Item Description (Long Description 4000)</t>
  </si>
  <si>
    <t>UNSPSC</t>
  </si>
  <si>
    <t>SE Code</t>
  </si>
  <si>
    <t>Volume/Weight</t>
  </si>
  <si>
    <t>UNSPSC Description</t>
  </si>
  <si>
    <t>Validated MFR Num</t>
  </si>
  <si>
    <t>QA Comments</t>
  </si>
  <si>
    <t>VXAK0013</t>
  </si>
  <si>
    <t>To Process</t>
  </si>
  <si>
    <t>PRODIGO1053367</t>
  </si>
  <si>
    <t>SOURCED</t>
  </si>
  <si>
    <t>THIRD PARTY</t>
  </si>
  <si>
    <t>OK</t>
  </si>
  <si>
    <t>BOSTON SCIENTIFIC CORP</t>
  </si>
  <si>
    <t>BOSTON</t>
  </si>
  <si>
    <t>BOSTON_VXAK0001</t>
  </si>
  <si>
    <t>BOSTON_VXAK0003</t>
  </si>
  <si>
    <t>BOSTON_VXAK0005</t>
  </si>
  <si>
    <t>BOSTON_VXAK0009</t>
  </si>
  <si>
    <t>BOSTON_VXAK0011</t>
  </si>
  <si>
    <t>BOSTON_VXAK0013</t>
  </si>
  <si>
    <t>BOSTON_VXAK0015</t>
  </si>
  <si>
    <t>42203403  Diagnostic or interventional vascular catheter introducers</t>
  </si>
  <si>
    <t>C1894</t>
  </si>
  <si>
    <t>INTRODUCER/SHEATH, OTHER THAN GUIDING, OTHER THAN INTRACARDIAC ELECTROPHYSIOLOGICAL, NON-LASER</t>
  </si>
  <si>
    <t>Pigtail 180 cm 85 cm D0</t>
  </si>
  <si>
    <t>SHEATH, INTRODUCER, PIGTAIL, 0.035 IN, 12 FRX85 CM, 180 CM, D0, RADIOFREQUENCY WIRE, TRANSSEPTAL DILATOR, CONNECTOR CABLE, NON STERILE, VERSACROSS CONNECT, LATEX, DISPOSABLE</t>
  </si>
  <si>
    <t>SHTH, INTRO, PGTL, 0.035 IN, 12 FRX85 CM, 180 CM, D0, RF WIRE, TRANSSEPTAL DIL, CONN CABLE, NS, VERSACROSS CONN, LTX, DISP</t>
  </si>
  <si>
    <t>SHEATH, INTRO, PGTL, 0.035 IN, 12 FRX85 CM, 180 CM, D0, VERSACROSS</t>
  </si>
  <si>
    <t>SHEATH</t>
  </si>
  <si>
    <t>INTRODUCER</t>
  </si>
  <si>
    <t>PIGTAIL</t>
  </si>
  <si>
    <t>0.035 IN</t>
  </si>
  <si>
    <t>12 FRX85 CM</t>
  </si>
  <si>
    <t>180 CM</t>
  </si>
  <si>
    <t>D0, RADIOFREQUENCY WIRE, TRANSSEPTAL DILATOR, CONNECTOR CABLE</t>
  </si>
  <si>
    <t>NON STERILE</t>
  </si>
  <si>
    <t>VERSACROSS CONNECT</t>
  </si>
  <si>
    <t>LATEX</t>
  </si>
  <si>
    <t>DISPOSABLE</t>
  </si>
  <si>
    <t>https://www.baylismedical.com/system/resource_files/EP-1511606-AA%20VC%20Order%20Guide%20DP%20J-1.pdf, https://accessgudid.nlm.nih.gov/devices/00685447018339</t>
  </si>
  <si>
    <t>Pigtail 180 cm 85 cm D1</t>
  </si>
  <si>
    <t>SHEATH, INTRODUCER, PIGTAIL, 0.035 IN, 12 FRX85 CM, 180 CM, D1, RADIOFREQUENCY WIRE, TRANSSEPTAL DILATOR, CONNECTOR CABLE, NON STERILE, VERSACROSS CONNECT, LATEX, DISPOSABLE</t>
  </si>
  <si>
    <t>SHTH, INTRO, PGTL, 0.035 IN, 12 FRX85 CM, 180 CM, D1, RF WIRE, TRANSSEPTAL DIL, CONN CABLE, NS, VERSACROSS CONN, LTX, DISP</t>
  </si>
  <si>
    <t>SHEATH, INTRO, PGTL, 0.035 IN, 12 FRX85 CM, 180 CM, D1, VERSACROSS</t>
  </si>
  <si>
    <t>D1, RADIOFREQUENCY WIRE, TRANSSEPTAL DILATOR, CONNECTOR CABLE</t>
  </si>
  <si>
    <t>https://www.baylismedical.com/system/resource_files/EP-1511606-AA%20VC%20Order%20Guide%20DP%20J-1.pdf, https://accessgudid.nlm.nih.gov/devices/00685447018346</t>
  </si>
  <si>
    <t>Pigtail 230 cm 85 cm D0</t>
  </si>
  <si>
    <t>SHEATH, INTRODUCER, PIGTAIL, 0.035 IN, 12 FRX85 CM, 230 CM, D0, RADIOFREQUENCY WIRE, TRANSSEPTAL DILATOR, CONNECTOR CABLE, NON STERILE, VERSACROSS CONNECT, LATEX, DISPOSABLE</t>
  </si>
  <si>
    <t>SHTH, INTRO, PGTL, 0.035 IN, 12 FRX85 CM, 230 CM, D0, RF WIRE, TRANSSEPTAL DIL, CONN CABLE, NS, VERSACROSS CONN, LTX, DISP</t>
  </si>
  <si>
    <t>SHEATH, INTRO, PGTL, 0.035 IN, 12 FRX85 CM, 230 CM, D0, VERSACROSS</t>
  </si>
  <si>
    <t>230 CM</t>
  </si>
  <si>
    <t>https://www.baylismedical.com/system/resource_files/EP-1511606-AA%20VC%20Order%20Guide%20DP%20J-1.pdf, https://accessgudid.nlm.nih.gov/devices/00685447018353</t>
  </si>
  <si>
    <t>J-tip 180 cm 85 cm D0</t>
  </si>
  <si>
    <t>SHEATH, INTRODUCER, J TIP, 0.035 IN, 12 FRX85 CM, 180 CM, D0, RADIOFREQUENCY WIRE, TRANSSEPTAL DILATOR, CONNECTOR CABLE, NON STERILE, VERSACROSS CONNECT, LATEX, DISPOSABLE</t>
  </si>
  <si>
    <t>SHTH, INTRO, J TIP, 0.035 IN, 12 FRX85 CM, 180 CM, D0, RF WIRE, TRANSSEPTAL DIL, CONN CABLE, NS, VERSACROSS CONN, LTX, DISP</t>
  </si>
  <si>
    <t>SHEATH, INTRO, J TIP, 0.035 IN, 12 FRX85 CM, 180 CM, D0, VERSACROSS</t>
  </si>
  <si>
    <t>J TIP</t>
  </si>
  <si>
    <t>https://www.baylismedical.com/system/resource_files/EP-1511606-AA%20VC%20Order%20Guide%20DP%20J-1.pdf, https://accessgudid.nlm.nih.gov/devices/00685447018377</t>
  </si>
  <si>
    <t>SHEATH, INTRODUCER, J TIP, 0.035 IN, 12 FRX85 CM, 180 CM, D1, RADIOFREQUENCY WIRE, TRANSSEPTAL DILATOR, CONNECTOR CABLE, NON STERILE, VERSACROSS CONNECT, LATEX, DISPOSABLE</t>
  </si>
  <si>
    <t>SHTH, INTRO, J TIP, 0.035 IN, 12 FRX85 CM, 180 CM, D1, RF WIRE, TRANSSEPTAL DIL, CONN CABLE, NS, VERSACROSS CONN, LTX, DISP</t>
  </si>
  <si>
    <t>SHEATH, INTRO, J TIP, 0.035 IN, 12 FRX85 CM, 180 CM, D1, VERSACROSS</t>
  </si>
  <si>
    <t>https://accessgudid.nlm.nih.gov/devices/00685447018384</t>
  </si>
  <si>
    <t>SHEATH, INTRODUCER, J TIP, 0.035 IN, 12 FRX85 CM, 230 CM, D0, RADIOFREQUENCY WIRE, TRANSSEPTAL DILATOR, CONNECTOR CABLE, NON STERILE, VERSACROSS CONNECT, LATEX, DISPOSABLE</t>
  </si>
  <si>
    <t>SHTH, INTRO, J TIP, 0.035 IN, 12 FRX85 CM, 230 CM, D0, RF WIRE, TRANSSEPTAL DIL, CONN CABLE, NS, VERSACROSS CONN, LTX, DISP</t>
  </si>
  <si>
    <t>SHEATH, INTRO, J TIP, 0.035 IN, 12 FRX85 CM, 230 CM, D0, VERSACROSS</t>
  </si>
  <si>
    <t>https://accessgudid.nlm.nih.gov/devices/00685447018391</t>
  </si>
  <si>
    <t>SHEATH, INTRODUCER, J TIP, 0.035 IN, 12 FRX85 CM, 230 CM, D1, RADIOFREQUENCY WIRE, TRANSSEPTAL DILATOR, CONNECTOR CABLE, NON STERILE, VERSACROSS CONNECT, LATEX, DISPOSABLE</t>
  </si>
  <si>
    <t>SHTH, INTRO, J TIP, 0.035 IN, 12 FRX85 CM, 230 CM, D1, RF WIRE, TRANSSEPTAL DIL, CONN CABLE, NS, VERSACROSS CONN, LTX, DISP</t>
  </si>
  <si>
    <t>SHEATH, INTRO, J TIP, 0.035 IN, 12 FRX85 CM, 230 CM, D1, VERSACROSS</t>
  </si>
  <si>
    <t>https://accessgudid.nlm.nih.gov/devices/00685447018407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</si>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</sst>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49" fontId="0" fillId="0" borderId="0" xfId="0" applyNumberFormat="1" applyBorder="1"/>
    <xf numFmtId="0" fontId="6" fillId="0" borderId="1" xfId="0" applyFont="1" applyAlignment="1">
      <alignment horizontal="left"/>
    </xf>
    <xf numFmtId="49" fontId="6" fillId="0" borderId="1" xfId="0" applyNumberFormat="1" applyFont="1" applyAlignment="1">
      <alignment horizontal="left"/>
    </xf>
    <xf numFmtId="0" fontId="6" fillId="0" borderId="1" xfId="0" applyNumberFormat="1" applyFont="1" applyAlignment="1">
      <alignment horizontal="left"/>
    </xf>
    <xf numFmtId="0" fontId="6" fillId="0" borderId="1" xfId="0" quotePrefix="1" applyNumberFormat="1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8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8.8554687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4.7109375" style="1" customWidth="1"/>
    <col min="22" max="22" width="5.7109375" style="1" customWidth="1"/>
    <col min="23" max="23" width="34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31.710937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46</v>
      </c>
      <c r="B1" s="2" t="s">
        <v>5</v>
      </c>
      <c r="C1" s="2" t="s">
        <v>118</v>
      </c>
      <c r="D1" s="2" t="s">
        <v>131</v>
      </c>
      <c r="E1" s="2" t="s">
        <v>23</v>
      </c>
      <c r="F1" s="2" t="s">
        <v>116</v>
      </c>
      <c r="G1" s="2" t="s">
        <v>10</v>
      </c>
      <c r="H1" s="2" t="s">
        <v>60</v>
      </c>
      <c r="I1" s="2" t="s">
        <v>2</v>
      </c>
      <c r="J1" s="2" t="s">
        <v>36</v>
      </c>
      <c r="K1" s="2" t="s">
        <v>64</v>
      </c>
      <c r="L1" s="2" t="s">
        <v>117</v>
      </c>
      <c r="M1" s="2" t="s">
        <v>119</v>
      </c>
      <c r="N1" s="2" t="s">
        <v>135</v>
      </c>
      <c r="O1" s="2" t="s">
        <v>96</v>
      </c>
      <c r="P1" s="2" t="s">
        <v>58</v>
      </c>
      <c r="Q1" s="2" t="s">
        <v>69</v>
      </c>
      <c r="R1" s="2" t="s">
        <v>115</v>
      </c>
      <c r="S1" s="2" t="s">
        <v>31</v>
      </c>
      <c r="T1" s="2" t="s">
        <v>110</v>
      </c>
      <c r="U1" s="3" t="s">
        <v>19</v>
      </c>
      <c r="V1" s="3" t="s">
        <v>82</v>
      </c>
      <c r="W1" s="4" t="s">
        <v>6</v>
      </c>
      <c r="X1" s="5" t="s">
        <v>120</v>
      </c>
      <c r="Y1" s="6" t="s">
        <v>125</v>
      </c>
      <c r="Z1" s="4" t="s">
        <v>0</v>
      </c>
      <c r="AA1" s="5" t="s">
        <v>99</v>
      </c>
      <c r="AB1" s="6" t="s">
        <v>134</v>
      </c>
      <c r="AC1" s="2" t="s">
        <v>63</v>
      </c>
      <c r="AD1" s="2" t="s">
        <v>65</v>
      </c>
      <c r="AE1" s="7" t="s">
        <v>57</v>
      </c>
      <c r="AF1" s="2" t="s">
        <v>37</v>
      </c>
      <c r="AG1" s="5" t="s">
        <v>130</v>
      </c>
      <c r="AH1" s="5" t="s">
        <v>20</v>
      </c>
      <c r="AI1" s="5" t="s">
        <v>133</v>
      </c>
      <c r="AJ1" s="5" t="s">
        <v>41</v>
      </c>
      <c r="AK1" s="5" t="s">
        <v>66</v>
      </c>
      <c r="AL1" s="5" t="s">
        <v>12</v>
      </c>
      <c r="AM1" s="5" t="s">
        <v>92</v>
      </c>
      <c r="AN1" s="5" t="s">
        <v>124</v>
      </c>
      <c r="AO1" s="6" t="s">
        <v>122</v>
      </c>
      <c r="AP1" s="2" t="s">
        <v>51</v>
      </c>
      <c r="AQ1" s="2" t="s">
        <v>87</v>
      </c>
      <c r="AR1" s="8" t="s">
        <v>129</v>
      </c>
      <c r="AS1" s="6" t="s">
        <v>38</v>
      </c>
      <c r="AT1" s="6" t="s">
        <v>53</v>
      </c>
      <c r="AU1" s="9" t="s">
        <v>50</v>
      </c>
      <c r="AV1" s="9" t="s">
        <v>61</v>
      </c>
      <c r="AW1" s="10" t="s">
        <v>70</v>
      </c>
      <c r="AX1" s="8" t="s">
        <v>21</v>
      </c>
      <c r="AY1" s="8" t="s">
        <v>74</v>
      </c>
      <c r="AZ1" s="8" t="s">
        <v>62</v>
      </c>
      <c r="BA1" s="8" t="s">
        <v>49</v>
      </c>
      <c r="BB1" s="8" t="s">
        <v>29</v>
      </c>
      <c r="BC1" s="8" t="s">
        <v>32</v>
      </c>
      <c r="BD1" s="8" t="s">
        <v>52</v>
      </c>
      <c r="BE1" s="8" t="s">
        <v>132</v>
      </c>
      <c r="BF1" s="8" t="s">
        <v>1</v>
      </c>
      <c r="BG1" s="8" t="s">
        <v>14</v>
      </c>
      <c r="BH1" s="8" t="s">
        <v>4</v>
      </c>
      <c r="BI1" s="8" t="s">
        <v>111</v>
      </c>
      <c r="BJ1" s="8" t="s">
        <v>40</v>
      </c>
      <c r="BK1" s="8" t="s">
        <v>7</v>
      </c>
      <c r="BL1" s="8" t="s">
        <v>107</v>
      </c>
      <c r="BM1" s="8" t="s">
        <v>95</v>
      </c>
      <c r="BN1" s="8" t="s">
        <v>42</v>
      </c>
      <c r="BO1" s="8" t="s">
        <v>39</v>
      </c>
      <c r="BP1" s="8" t="s">
        <v>35</v>
      </c>
      <c r="BQ1" s="6" t="s">
        <v>123</v>
      </c>
      <c r="BR1" s="6" t="s">
        <v>103</v>
      </c>
      <c r="BS1" s="8" t="s">
        <v>3</v>
      </c>
      <c r="BT1" s="8" t="s">
        <v>56</v>
      </c>
      <c r="BU1" s="8" t="s">
        <v>13</v>
      </c>
      <c r="BV1" s="8" t="s">
        <v>75</v>
      </c>
      <c r="BW1" s="8" t="s">
        <v>68</v>
      </c>
      <c r="BX1" s="8" t="s">
        <v>16</v>
      </c>
      <c r="BY1" s="8" t="s">
        <v>34</v>
      </c>
      <c r="BZ1" s="8" t="s">
        <v>18</v>
      </c>
      <c r="CA1" s="11" t="s">
        <v>121</v>
      </c>
      <c r="CB1" s="11" t="s">
        <v>108</v>
      </c>
      <c r="CC1" s="11" t="s">
        <v>22</v>
      </c>
      <c r="CD1" s="11" t="s">
        <v>105</v>
      </c>
      <c r="CE1" s="11" t="s">
        <v>78</v>
      </c>
      <c r="CF1" s="11" t="s">
        <v>94</v>
      </c>
      <c r="CG1" s="11" t="s">
        <v>28</v>
      </c>
      <c r="CH1" s="11" t="s">
        <v>9</v>
      </c>
      <c r="CI1" s="11" t="s">
        <v>88</v>
      </c>
      <c r="CJ1" s="11" t="s">
        <v>127</v>
      </c>
      <c r="CK1" s="11" t="s">
        <v>26</v>
      </c>
      <c r="CL1" s="11" t="s">
        <v>44</v>
      </c>
      <c r="CM1" s="11" t="s">
        <v>24</v>
      </c>
      <c r="CN1" s="11" t="s">
        <v>27</v>
      </c>
      <c r="CO1" s="11" t="s">
        <v>72</v>
      </c>
      <c r="CP1" s="11" t="s">
        <v>17</v>
      </c>
      <c r="CQ1" s="11" t="s">
        <v>89</v>
      </c>
      <c r="CR1" s="11" t="s">
        <v>55</v>
      </c>
      <c r="CS1" s="11" t="s">
        <v>114</v>
      </c>
      <c r="CT1" s="5" t="s">
        <v>81</v>
      </c>
      <c r="CU1" s="5" t="s">
        <v>106</v>
      </c>
      <c r="CV1" s="5" t="s">
        <v>59</v>
      </c>
      <c r="CW1" s="5" t="s">
        <v>90</v>
      </c>
      <c r="CX1" s="12" t="s">
        <v>84</v>
      </c>
      <c r="CY1" s="13" t="s">
        <v>102</v>
      </c>
      <c r="CZ1" s="12" t="s">
        <v>48</v>
      </c>
      <c r="DA1" s="14" t="s">
        <v>137</v>
      </c>
      <c r="DB1" s="14" t="s">
        <v>54</v>
      </c>
      <c r="DC1" s="14" t="s">
        <v>85</v>
      </c>
      <c r="DD1" s="14" t="s">
        <v>47</v>
      </c>
      <c r="DE1" s="14" t="s">
        <v>93</v>
      </c>
      <c r="DF1" s="1" t="s">
        <v>100</v>
      </c>
      <c r="DG1" s="1" t="s">
        <v>80</v>
      </c>
    </row>
    <row r="2" spans="1:111" ht="12" customHeight="1" x14ac:dyDescent="0.25">
      <c r="A2" s="15" t="s">
        <v>104</v>
      </c>
      <c r="B2" t="s">
        <v>128</v>
      </c>
      <c r="C2" t="s">
        <v>113</v>
      </c>
      <c r="D2" t="s">
        <v>8</v>
      </c>
      <c r="E2" s="18" t="s">
        <v>139</v>
      </c>
      <c r="F2" t="s">
        <v>8</v>
      </c>
      <c r="G2" s="18" t="s">
        <v>141</v>
      </c>
      <c r="H2" s="16" t="s">
        <v>73</v>
      </c>
      <c r="I2"/>
      <c r="J2"/>
      <c r="K2"/>
      <c r="L2"/>
      <c r="M2"/>
      <c r="N2"/>
      <c r="O2"/>
      <c r="P2"/>
      <c r="Q2"/>
      <c r="R2"/>
      <c r="S2"/>
      <c r="T2"/>
      <c r="U2">
        <v>1</v>
      </c>
      <c r="V2">
        <v>1</v>
      </c>
      <c r="W2" t="s">
        <v>11</v>
      </c>
      <c r="X2" t="s">
        <v>126</v>
      </c>
      <c r="Y2" s="18" t="s">
        <v>142</v>
      </c>
      <c r="Z2" s="17" t="s">
        <v>112</v>
      </c>
      <c r="AA2" t="s">
        <v>112</v>
      </c>
      <c r="AB2" s="19" t="s">
        <v>112</v>
      </c>
      <c r="AC2" s="18" t="s">
        <v>143</v>
      </c>
      <c r="AD2" s="19" t="s">
        <v>112</v>
      </c>
      <c r="AE2" s="19" t="s">
        <v>112</v>
      </c>
      <c r="AF2" s="19" t="s">
        <v>144</v>
      </c>
      <c r="AG2"/>
      <c r="AH2"/>
      <c r="AI2"/>
      <c r="AJ2" t="s">
        <v>33</v>
      </c>
      <c r="AK2"/>
      <c r="AL2">
        <v>467</v>
      </c>
      <c r="AM2" t="s">
        <v>30</v>
      </c>
      <c r="AN2"/>
      <c r="AO2" s="18" t="s">
        <v>151</v>
      </c>
      <c r="AP2" s="18" t="s">
        <v>152</v>
      </c>
      <c r="AQ2" s="18" t="s">
        <v>153</v>
      </c>
      <c r="AR2" s="19" t="s">
        <v>154</v>
      </c>
      <c r="AS2" s="20" t="s">
        <v>155</v>
      </c>
      <c r="AT2" s="20" t="s">
        <v>155</v>
      </c>
      <c r="AU2" s="18" t="s">
        <v>156</v>
      </c>
      <c r="AV2" s="18" t="s">
        <v>157</v>
      </c>
      <c r="AW2" s="18">
        <f t="shared" ref="AW2:AW8" si="0">LEN(SUBSTITUTE(AV2, ", "," "))</f>
        <v>59</v>
      </c>
      <c r="AX2" s="20" t="s">
        <v>158</v>
      </c>
      <c r="AY2" s="20" t="s">
        <v>159</v>
      </c>
      <c r="AZ2" s="20" t="s">
        <v>160</v>
      </c>
      <c r="BA2" s="21" t="s">
        <v>161</v>
      </c>
      <c r="BB2" s="18"/>
      <c r="BC2" s="20" t="s">
        <v>162</v>
      </c>
      <c r="BD2" s="20" t="s">
        <v>163</v>
      </c>
      <c r="BE2" s="18"/>
      <c r="BF2" s="18"/>
      <c r="BG2" s="18"/>
      <c r="BH2" s="20" t="s">
        <v>164</v>
      </c>
      <c r="BI2" s="18"/>
      <c r="BJ2" s="19"/>
      <c r="BK2" s="18"/>
      <c r="BL2" s="20" t="s">
        <v>165</v>
      </c>
      <c r="BM2" s="20" t="s">
        <v>166</v>
      </c>
      <c r="BN2" s="20" t="s">
        <v>167</v>
      </c>
      <c r="BO2" s="20" t="s">
        <v>168</v>
      </c>
      <c r="BP2" s="18"/>
      <c r="BQ2" s="18" t="s">
        <v>169</v>
      </c>
      <c r="BR2" s="18"/>
      <c r="BS2" s="18"/>
      <c r="BT2" s="18"/>
      <c r="BU2" s="18"/>
      <c r="BV2" s="18"/>
      <c r="BW2" s="18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200</v>
      </c>
    </row>
    <row r="3" spans="1:111" ht="12" customHeight="1" x14ac:dyDescent="0.25">
      <c r="A3" s="15" t="s">
        <v>104</v>
      </c>
      <c r="B3" t="s">
        <v>128</v>
      </c>
      <c r="C3" t="s">
        <v>113</v>
      </c>
      <c r="D3" t="s">
        <v>8</v>
      </c>
      <c r="E3" s="18" t="s">
        <v>139</v>
      </c>
      <c r="F3" t="s">
        <v>8</v>
      </c>
      <c r="G3" s="18" t="s">
        <v>141</v>
      </c>
      <c r="H3" s="16" t="s">
        <v>73</v>
      </c>
      <c r="I3"/>
      <c r="J3"/>
      <c r="K3"/>
      <c r="L3"/>
      <c r="M3"/>
      <c r="N3"/>
      <c r="O3"/>
      <c r="P3"/>
      <c r="Q3"/>
      <c r="R3"/>
      <c r="S3"/>
      <c r="T3"/>
      <c r="U3">
        <v>2</v>
      </c>
      <c r="V3">
        <v>2</v>
      </c>
      <c r="W3" t="s">
        <v>11</v>
      </c>
      <c r="X3" t="s">
        <v>126</v>
      </c>
      <c r="Y3" s="18" t="s">
        <v>142</v>
      </c>
      <c r="Z3" s="17" t="s">
        <v>83</v>
      </c>
      <c r="AA3" t="s">
        <v>83</v>
      </c>
      <c r="AB3" s="19" t="s">
        <v>83</v>
      </c>
      <c r="AC3" s="18" t="s">
        <v>143</v>
      </c>
      <c r="AD3" s="19" t="s">
        <v>83</v>
      </c>
      <c r="AE3" s="19" t="s">
        <v>83</v>
      </c>
      <c r="AF3" s="19" t="s">
        <v>145</v>
      </c>
      <c r="AG3"/>
      <c r="AH3"/>
      <c r="AI3"/>
      <c r="AJ3" t="s">
        <v>15</v>
      </c>
      <c r="AK3"/>
      <c r="AL3">
        <v>467</v>
      </c>
      <c r="AM3" t="s">
        <v>91</v>
      </c>
      <c r="AN3"/>
      <c r="AO3" s="18" t="s">
        <v>151</v>
      </c>
      <c r="AP3" s="18" t="s">
        <v>152</v>
      </c>
      <c r="AQ3" s="18" t="s">
        <v>153</v>
      </c>
      <c r="AR3" s="19" t="s">
        <v>170</v>
      </c>
      <c r="AS3" s="20" t="s">
        <v>171</v>
      </c>
      <c r="AT3" s="20" t="s">
        <v>171</v>
      </c>
      <c r="AU3" s="18" t="s">
        <v>172</v>
      </c>
      <c r="AV3" s="18" t="s">
        <v>173</v>
      </c>
      <c r="AW3" s="18">
        <f t="shared" si="0"/>
        <v>59</v>
      </c>
      <c r="AX3" s="20" t="s">
        <v>158</v>
      </c>
      <c r="AY3" s="20" t="s">
        <v>159</v>
      </c>
      <c r="AZ3" s="20" t="s">
        <v>160</v>
      </c>
      <c r="BA3" s="21" t="s">
        <v>161</v>
      </c>
      <c r="BB3" s="18"/>
      <c r="BC3" s="20" t="s">
        <v>162</v>
      </c>
      <c r="BD3" s="20" t="s">
        <v>163</v>
      </c>
      <c r="BE3" s="18"/>
      <c r="BF3" s="18"/>
      <c r="BG3" s="18"/>
      <c r="BH3" s="20" t="s">
        <v>174</v>
      </c>
      <c r="BI3" s="18"/>
      <c r="BJ3" s="19"/>
      <c r="BK3" s="18"/>
      <c r="BL3" s="20" t="s">
        <v>165</v>
      </c>
      <c r="BM3" s="20" t="s">
        <v>166</v>
      </c>
      <c r="BN3" s="20" t="s">
        <v>167</v>
      </c>
      <c r="BO3" s="20" t="s">
        <v>168</v>
      </c>
      <c r="BP3" s="18"/>
      <c r="BQ3" s="18" t="s">
        <v>175</v>
      </c>
      <c r="BR3" s="18"/>
      <c r="BS3" s="18"/>
      <c r="BT3" s="18"/>
      <c r="BU3" s="18"/>
      <c r="BV3" s="18"/>
      <c r="BW3" s="18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200</v>
      </c>
    </row>
    <row r="4" spans="1:111" ht="12" customHeight="1" x14ac:dyDescent="0.25">
      <c r="A4" s="15" t="s">
        <v>104</v>
      </c>
      <c r="B4" t="s">
        <v>128</v>
      </c>
      <c r="C4" t="s">
        <v>113</v>
      </c>
      <c r="D4" t="s">
        <v>8</v>
      </c>
      <c r="E4" s="18" t="s">
        <v>139</v>
      </c>
      <c r="F4" t="s">
        <v>8</v>
      </c>
      <c r="G4" s="18" t="s">
        <v>141</v>
      </c>
      <c r="H4" s="16" t="s">
        <v>73</v>
      </c>
      <c r="I4"/>
      <c r="J4"/>
      <c r="K4"/>
      <c r="L4"/>
      <c r="M4"/>
      <c r="N4"/>
      <c r="O4"/>
      <c r="P4"/>
      <c r="Q4"/>
      <c r="R4"/>
      <c r="S4"/>
      <c r="T4"/>
      <c r="U4">
        <v>3</v>
      </c>
      <c r="V4">
        <v>3</v>
      </c>
      <c r="W4" t="s">
        <v>11</v>
      </c>
      <c r="X4" t="s">
        <v>126</v>
      </c>
      <c r="Y4" s="18" t="s">
        <v>142</v>
      </c>
      <c r="Z4" s="17" t="s">
        <v>77</v>
      </c>
      <c r="AA4" t="s">
        <v>77</v>
      </c>
      <c r="AB4" s="19" t="s">
        <v>77</v>
      </c>
      <c r="AC4" s="18" t="s">
        <v>143</v>
      </c>
      <c r="AD4" s="19" t="s">
        <v>77</v>
      </c>
      <c r="AE4" s="19" t="s">
        <v>77</v>
      </c>
      <c r="AF4" s="19" t="s">
        <v>146</v>
      </c>
      <c r="AG4"/>
      <c r="AH4"/>
      <c r="AI4"/>
      <c r="AJ4" t="s">
        <v>79</v>
      </c>
      <c r="AK4"/>
      <c r="AL4">
        <v>467</v>
      </c>
      <c r="AM4" t="s">
        <v>45</v>
      </c>
      <c r="AN4"/>
      <c r="AO4" s="18" t="s">
        <v>151</v>
      </c>
      <c r="AP4" s="18" t="s">
        <v>152</v>
      </c>
      <c r="AQ4" s="18" t="s">
        <v>153</v>
      </c>
      <c r="AR4" s="19" t="s">
        <v>176</v>
      </c>
      <c r="AS4" s="20" t="s">
        <v>177</v>
      </c>
      <c r="AT4" s="20" t="s">
        <v>177</v>
      </c>
      <c r="AU4" s="18" t="s">
        <v>178</v>
      </c>
      <c r="AV4" s="18" t="s">
        <v>179</v>
      </c>
      <c r="AW4" s="18">
        <f t="shared" si="0"/>
        <v>59</v>
      </c>
      <c r="AX4" s="20" t="s">
        <v>158</v>
      </c>
      <c r="AY4" s="20" t="s">
        <v>159</v>
      </c>
      <c r="AZ4" s="20" t="s">
        <v>160</v>
      </c>
      <c r="BA4" s="21" t="s">
        <v>161</v>
      </c>
      <c r="BB4" s="18"/>
      <c r="BC4" s="20" t="s">
        <v>162</v>
      </c>
      <c r="BD4" s="20" t="s">
        <v>180</v>
      </c>
      <c r="BE4" s="18"/>
      <c r="BF4" s="18"/>
      <c r="BG4" s="18"/>
      <c r="BH4" s="20" t="s">
        <v>164</v>
      </c>
      <c r="BI4" s="18"/>
      <c r="BJ4" s="19"/>
      <c r="BK4" s="18"/>
      <c r="BL4" s="20" t="s">
        <v>165</v>
      </c>
      <c r="BM4" s="20" t="s">
        <v>166</v>
      </c>
      <c r="BN4" s="20" t="s">
        <v>167</v>
      </c>
      <c r="BO4" s="20" t="s">
        <v>168</v>
      </c>
      <c r="BP4" s="18"/>
      <c r="BQ4" s="18" t="s">
        <v>181</v>
      </c>
      <c r="BR4" s="18"/>
      <c r="BS4" s="18"/>
      <c r="BT4" s="18"/>
      <c r="BU4" s="18"/>
      <c r="BV4" s="18"/>
      <c r="BW4" s="18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200</v>
      </c>
    </row>
    <row r="5" spans="1:111" ht="12" customHeight="1" x14ac:dyDescent="0.25">
      <c r="A5" s="15" t="s">
        <v>104</v>
      </c>
      <c r="B5" t="s">
        <v>128</v>
      </c>
      <c r="C5" t="s">
        <v>113</v>
      </c>
      <c r="D5" t="s">
        <v>8</v>
      </c>
      <c r="E5" s="18" t="s">
        <v>139</v>
      </c>
      <c r="F5" t="s">
        <v>8</v>
      </c>
      <c r="G5" s="18" t="s">
        <v>141</v>
      </c>
      <c r="H5" s="16" t="s">
        <v>73</v>
      </c>
      <c r="I5"/>
      <c r="J5"/>
      <c r="K5"/>
      <c r="L5"/>
      <c r="M5"/>
      <c r="N5"/>
      <c r="O5"/>
      <c r="P5"/>
      <c r="Q5"/>
      <c r="R5"/>
      <c r="S5"/>
      <c r="T5"/>
      <c r="U5">
        <v>4</v>
      </c>
      <c r="V5">
        <v>4</v>
      </c>
      <c r="W5" t="s">
        <v>11</v>
      </c>
      <c r="X5" t="s">
        <v>126</v>
      </c>
      <c r="Y5" s="18" t="s">
        <v>142</v>
      </c>
      <c r="Z5" s="17" t="s">
        <v>97</v>
      </c>
      <c r="AA5" t="s">
        <v>97</v>
      </c>
      <c r="AB5" s="19" t="s">
        <v>97</v>
      </c>
      <c r="AC5" s="18" t="s">
        <v>143</v>
      </c>
      <c r="AD5" s="19" t="s">
        <v>97</v>
      </c>
      <c r="AE5" s="19" t="s">
        <v>97</v>
      </c>
      <c r="AF5" s="19" t="s">
        <v>147</v>
      </c>
      <c r="AG5"/>
      <c r="AH5"/>
      <c r="AI5"/>
      <c r="AJ5" t="s">
        <v>43</v>
      </c>
      <c r="AK5"/>
      <c r="AL5">
        <v>467</v>
      </c>
      <c r="AM5" t="s">
        <v>101</v>
      </c>
      <c r="AN5"/>
      <c r="AO5" s="18" t="s">
        <v>151</v>
      </c>
      <c r="AP5" s="18" t="s">
        <v>152</v>
      </c>
      <c r="AQ5" s="18" t="s">
        <v>153</v>
      </c>
      <c r="AR5" s="19" t="s">
        <v>182</v>
      </c>
      <c r="AS5" s="20" t="s">
        <v>183</v>
      </c>
      <c r="AT5" s="20" t="s">
        <v>183</v>
      </c>
      <c r="AU5" s="18" t="s">
        <v>184</v>
      </c>
      <c r="AV5" s="18" t="s">
        <v>185</v>
      </c>
      <c r="AW5" s="18">
        <f t="shared" si="0"/>
        <v>60</v>
      </c>
      <c r="AX5" s="20" t="s">
        <v>158</v>
      </c>
      <c r="AY5" s="20" t="s">
        <v>159</v>
      </c>
      <c r="AZ5" s="20" t="s">
        <v>186</v>
      </c>
      <c r="BA5" s="21" t="s">
        <v>161</v>
      </c>
      <c r="BB5" s="18"/>
      <c r="BC5" s="20" t="s">
        <v>162</v>
      </c>
      <c r="BD5" s="20" t="s">
        <v>163</v>
      </c>
      <c r="BE5" s="18"/>
      <c r="BF5" s="18"/>
      <c r="BG5" s="18"/>
      <c r="BH5" s="20" t="s">
        <v>164</v>
      </c>
      <c r="BI5" s="18"/>
      <c r="BJ5" s="19"/>
      <c r="BK5" s="18"/>
      <c r="BL5" s="20" t="s">
        <v>165</v>
      </c>
      <c r="BM5" s="20" t="s">
        <v>166</v>
      </c>
      <c r="BN5" s="20" t="s">
        <v>167</v>
      </c>
      <c r="BO5" s="20" t="s">
        <v>168</v>
      </c>
      <c r="BP5" s="18"/>
      <c r="BQ5" s="18" t="s">
        <v>187</v>
      </c>
      <c r="BR5" s="18"/>
      <c r="BS5" s="18"/>
      <c r="BT5" s="18"/>
      <c r="BU5" s="18"/>
      <c r="BV5" s="18"/>
      <c r="BW5" s="18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200</v>
      </c>
    </row>
    <row r="6" spans="1:111" ht="12" customHeight="1" x14ac:dyDescent="0.25">
      <c r="A6" s="15" t="s">
        <v>104</v>
      </c>
      <c r="B6" t="s">
        <v>128</v>
      </c>
      <c r="C6" t="s">
        <v>113</v>
      </c>
      <c r="D6" t="s">
        <v>8</v>
      </c>
      <c r="E6" s="18" t="s">
        <v>140</v>
      </c>
      <c r="F6" t="s">
        <v>8</v>
      </c>
      <c r="G6" s="18" t="s">
        <v>141</v>
      </c>
      <c r="H6" s="16" t="s">
        <v>73</v>
      </c>
      <c r="I6"/>
      <c r="J6"/>
      <c r="K6"/>
      <c r="L6"/>
      <c r="M6"/>
      <c r="N6"/>
      <c r="O6"/>
      <c r="P6"/>
      <c r="Q6"/>
      <c r="R6"/>
      <c r="S6"/>
      <c r="T6"/>
      <c r="U6">
        <v>5</v>
      </c>
      <c r="V6">
        <v>5</v>
      </c>
      <c r="W6" t="s">
        <v>11</v>
      </c>
      <c r="X6" t="s">
        <v>126</v>
      </c>
      <c r="Y6" s="18" t="s">
        <v>142</v>
      </c>
      <c r="Z6" s="17" t="s">
        <v>71</v>
      </c>
      <c r="AA6" t="s">
        <v>71</v>
      </c>
      <c r="AB6" s="19" t="s">
        <v>71</v>
      </c>
      <c r="AC6" s="18" t="s">
        <v>143</v>
      </c>
      <c r="AD6" s="19" t="s">
        <v>71</v>
      </c>
      <c r="AE6" s="19" t="s">
        <v>71</v>
      </c>
      <c r="AF6" s="19" t="s">
        <v>148</v>
      </c>
      <c r="AG6"/>
      <c r="AH6"/>
      <c r="AI6"/>
      <c r="AJ6" t="s">
        <v>109</v>
      </c>
      <c r="AK6"/>
      <c r="AL6">
        <v>467</v>
      </c>
      <c r="AM6" t="s">
        <v>25</v>
      </c>
      <c r="AN6"/>
      <c r="AO6" s="18" t="s">
        <v>151</v>
      </c>
      <c r="AP6" s="18" t="s">
        <v>152</v>
      </c>
      <c r="AQ6" s="18" t="s">
        <v>153</v>
      </c>
      <c r="AR6" s="18" t="s">
        <v>109</v>
      </c>
      <c r="AS6" s="20" t="s">
        <v>188</v>
      </c>
      <c r="AT6" s="20" t="s">
        <v>188</v>
      </c>
      <c r="AU6" s="18" t="s">
        <v>189</v>
      </c>
      <c r="AV6" s="18" t="s">
        <v>190</v>
      </c>
      <c r="AW6" s="18">
        <f t="shared" si="0"/>
        <v>60</v>
      </c>
      <c r="AX6" s="20" t="s">
        <v>158</v>
      </c>
      <c r="AY6" s="20" t="s">
        <v>159</v>
      </c>
      <c r="AZ6" s="20" t="s">
        <v>186</v>
      </c>
      <c r="BA6" s="21" t="s">
        <v>161</v>
      </c>
      <c r="BB6" s="18"/>
      <c r="BC6" s="20" t="s">
        <v>162</v>
      </c>
      <c r="BD6" s="20" t="s">
        <v>163</v>
      </c>
      <c r="BE6" s="18"/>
      <c r="BF6" s="18"/>
      <c r="BG6" s="18"/>
      <c r="BH6" s="20" t="s">
        <v>174</v>
      </c>
      <c r="BI6" s="18"/>
      <c r="BJ6" s="18"/>
      <c r="BK6" s="18"/>
      <c r="BL6" s="20" t="s">
        <v>165</v>
      </c>
      <c r="BM6" s="20" t="s">
        <v>166</v>
      </c>
      <c r="BN6" s="20" t="s">
        <v>167</v>
      </c>
      <c r="BO6" s="20" t="s">
        <v>168</v>
      </c>
      <c r="BP6" s="18"/>
      <c r="BQ6" s="18" t="s">
        <v>191</v>
      </c>
      <c r="BR6" s="18"/>
      <c r="BS6" s="18"/>
      <c r="BT6" s="18"/>
      <c r="BU6" s="18"/>
      <c r="BV6" s="18"/>
      <c r="BW6" s="18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200</v>
      </c>
    </row>
    <row r="7" spans="1:111" ht="12" customHeight="1" x14ac:dyDescent="0.25">
      <c r="A7" s="15" t="s">
        <v>104</v>
      </c>
      <c r="B7" t="s">
        <v>128</v>
      </c>
      <c r="C7" t="s">
        <v>113</v>
      </c>
      <c r="D7" t="s">
        <v>8</v>
      </c>
      <c r="E7" s="18" t="s">
        <v>140</v>
      </c>
      <c r="F7" t="s">
        <v>8</v>
      </c>
      <c r="G7" s="18" t="s">
        <v>141</v>
      </c>
      <c r="H7" s="16" t="s">
        <v>73</v>
      </c>
      <c r="I7"/>
      <c r="J7"/>
      <c r="K7"/>
      <c r="L7"/>
      <c r="M7"/>
      <c r="N7"/>
      <c r="O7"/>
      <c r="P7"/>
      <c r="Q7"/>
      <c r="R7"/>
      <c r="S7"/>
      <c r="T7"/>
      <c r="U7">
        <v>6</v>
      </c>
      <c r="V7">
        <v>6</v>
      </c>
      <c r="W7" t="s">
        <v>11</v>
      </c>
      <c r="X7" t="s">
        <v>126</v>
      </c>
      <c r="Y7" s="18" t="s">
        <v>142</v>
      </c>
      <c r="Z7" s="17" t="s">
        <v>136</v>
      </c>
      <c r="AA7" t="s">
        <v>136</v>
      </c>
      <c r="AB7" s="19" t="s">
        <v>136</v>
      </c>
      <c r="AC7" s="18" t="s">
        <v>143</v>
      </c>
      <c r="AD7" s="19" t="s">
        <v>136</v>
      </c>
      <c r="AE7" s="19" t="s">
        <v>136</v>
      </c>
      <c r="AF7" s="19" t="s">
        <v>149</v>
      </c>
      <c r="AG7"/>
      <c r="AH7"/>
      <c r="AI7"/>
      <c r="AJ7" t="s">
        <v>98</v>
      </c>
      <c r="AK7"/>
      <c r="AL7">
        <v>467</v>
      </c>
      <c r="AM7" t="s">
        <v>86</v>
      </c>
      <c r="AN7"/>
      <c r="AO7" s="18" t="s">
        <v>151</v>
      </c>
      <c r="AP7" s="18" t="s">
        <v>152</v>
      </c>
      <c r="AQ7" s="18" t="s">
        <v>153</v>
      </c>
      <c r="AR7" s="18" t="s">
        <v>98</v>
      </c>
      <c r="AS7" s="20" t="s">
        <v>192</v>
      </c>
      <c r="AT7" s="20" t="s">
        <v>192</v>
      </c>
      <c r="AU7" s="18" t="s">
        <v>193</v>
      </c>
      <c r="AV7" s="18" t="s">
        <v>194</v>
      </c>
      <c r="AW7" s="18">
        <f t="shared" si="0"/>
        <v>60</v>
      </c>
      <c r="AX7" s="20" t="s">
        <v>158</v>
      </c>
      <c r="AY7" s="20" t="s">
        <v>159</v>
      </c>
      <c r="AZ7" s="20" t="s">
        <v>186</v>
      </c>
      <c r="BA7" s="21" t="s">
        <v>161</v>
      </c>
      <c r="BB7" s="18"/>
      <c r="BC7" s="20" t="s">
        <v>162</v>
      </c>
      <c r="BD7" s="20" t="s">
        <v>180</v>
      </c>
      <c r="BE7" s="18"/>
      <c r="BF7" s="18"/>
      <c r="BG7" s="18"/>
      <c r="BH7" s="20" t="s">
        <v>164</v>
      </c>
      <c r="BI7" s="18"/>
      <c r="BJ7" s="18"/>
      <c r="BK7" s="18"/>
      <c r="BL7" s="20" t="s">
        <v>165</v>
      </c>
      <c r="BM7" s="20" t="s">
        <v>166</v>
      </c>
      <c r="BN7" s="20" t="s">
        <v>167</v>
      </c>
      <c r="BO7" s="20" t="s">
        <v>168</v>
      </c>
      <c r="BP7" s="18"/>
      <c r="BQ7" s="18" t="s">
        <v>195</v>
      </c>
      <c r="BR7" s="18"/>
      <c r="BS7" s="18"/>
      <c r="BT7" s="18"/>
      <c r="BU7" s="18"/>
      <c r="BV7" s="18"/>
      <c r="BW7" s="18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200</v>
      </c>
    </row>
    <row r="8" spans="1:111" ht="12" customHeight="1" x14ac:dyDescent="0.25">
      <c r="A8" s="15" t="s">
        <v>104</v>
      </c>
      <c r="B8" t="s">
        <v>128</v>
      </c>
      <c r="C8" t="s">
        <v>113</v>
      </c>
      <c r="D8" t="s">
        <v>8</v>
      </c>
      <c r="E8" s="18" t="s">
        <v>140</v>
      </c>
      <c r="F8" t="s">
        <v>8</v>
      </c>
      <c r="G8" s="18" t="s">
        <v>141</v>
      </c>
      <c r="H8" s="16" t="s">
        <v>73</v>
      </c>
      <c r="I8"/>
      <c r="J8"/>
      <c r="K8"/>
      <c r="L8"/>
      <c r="M8"/>
      <c r="N8"/>
      <c r="O8"/>
      <c r="P8"/>
      <c r="Q8"/>
      <c r="R8"/>
      <c r="S8"/>
      <c r="T8"/>
      <c r="U8">
        <v>7</v>
      </c>
      <c r="V8">
        <v>7</v>
      </c>
      <c r="W8" t="s">
        <v>11</v>
      </c>
      <c r="X8" t="s">
        <v>126</v>
      </c>
      <c r="Y8" s="18" t="s">
        <v>142</v>
      </c>
      <c r="Z8" s="17" t="s">
        <v>76</v>
      </c>
      <c r="AA8" t="s">
        <v>76</v>
      </c>
      <c r="AB8" s="19" t="s">
        <v>76</v>
      </c>
      <c r="AC8" s="18" t="s">
        <v>143</v>
      </c>
      <c r="AD8" s="19" t="s">
        <v>76</v>
      </c>
      <c r="AE8" s="19" t="s">
        <v>76</v>
      </c>
      <c r="AF8" s="19" t="s">
        <v>150</v>
      </c>
      <c r="AG8"/>
      <c r="AH8"/>
      <c r="AI8"/>
      <c r="AJ8" t="s">
        <v>67</v>
      </c>
      <c r="AK8"/>
      <c r="AL8">
        <v>467</v>
      </c>
      <c r="AM8" t="s">
        <v>138</v>
      </c>
      <c r="AN8"/>
      <c r="AO8" s="18" t="s">
        <v>151</v>
      </c>
      <c r="AP8" s="18" t="s">
        <v>152</v>
      </c>
      <c r="AQ8" s="18" t="s">
        <v>153</v>
      </c>
      <c r="AR8" s="18" t="s">
        <v>67</v>
      </c>
      <c r="AS8" s="20" t="s">
        <v>196</v>
      </c>
      <c r="AT8" s="20" t="s">
        <v>196</v>
      </c>
      <c r="AU8" s="18" t="s">
        <v>197</v>
      </c>
      <c r="AV8" s="18" t="s">
        <v>198</v>
      </c>
      <c r="AW8" s="18">
        <f t="shared" si="0"/>
        <v>60</v>
      </c>
      <c r="AX8" s="20" t="s">
        <v>158</v>
      </c>
      <c r="AY8" s="20" t="s">
        <v>159</v>
      </c>
      <c r="AZ8" s="20" t="s">
        <v>186</v>
      </c>
      <c r="BA8" s="21" t="s">
        <v>161</v>
      </c>
      <c r="BB8" s="18"/>
      <c r="BC8" s="20" t="s">
        <v>162</v>
      </c>
      <c r="BD8" s="20" t="s">
        <v>180</v>
      </c>
      <c r="BE8" s="18"/>
      <c r="BF8" s="18"/>
      <c r="BG8" s="18"/>
      <c r="BH8" s="20" t="s">
        <v>174</v>
      </c>
      <c r="BI8" s="18"/>
      <c r="BJ8" s="18"/>
      <c r="BK8" s="18"/>
      <c r="BL8" s="20" t="s">
        <v>165</v>
      </c>
      <c r="BM8" s="20" t="s">
        <v>166</v>
      </c>
      <c r="BN8" s="20" t="s">
        <v>167</v>
      </c>
      <c r="BO8" s="20" t="s">
        <v>168</v>
      </c>
      <c r="BP8" s="18"/>
      <c r="BQ8" s="18" t="s">
        <v>199</v>
      </c>
      <c r="BR8" s="18"/>
      <c r="BS8" s="18"/>
      <c r="BT8" s="18"/>
      <c r="BU8" s="18"/>
      <c r="BV8" s="18"/>
      <c r="BW8" s="1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200</v>
      </c>
    </row>
  </sheetData>
  <autoFilter ref="A1:DG8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2023-07-20T12:21:35Z</dcterms:modified>
</cp:coreProperties>
</file>