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Snowmed\7th Sep\"/>
    </mc:Choice>
  </mc:AlternateContent>
  <bookViews>
    <workbookView xWindow="0" yWindow="0" windowWidth="19200" windowHeight="6620"/>
  </bookViews>
  <sheets>
    <sheet name="Sheet1" sheetId="1" r:id="rId1"/>
    <sheet name="Sheet2" sheetId="2" r:id="rId2"/>
    <sheet name="Sheet3" sheetId="3" r:id="rId3"/>
  </sheets>
  <calcPr calcId="162913"/>
  <webPublishing codePage="0"/>
</workbook>
</file>

<file path=xl/calcChain.xml><?xml version="1.0" encoding="utf-8"?>
<calcChain xmlns="http://schemas.openxmlformats.org/spreadsheetml/2006/main">
  <c r="BU18" i="1" l="1"/>
  <c r="BU17" i="1"/>
  <c r="BU16" i="1"/>
  <c r="BU15" i="1"/>
  <c r="BU14" i="1"/>
  <c r="BU13" i="1"/>
  <c r="BU12" i="1"/>
  <c r="BU11" i="1"/>
  <c r="BU10" i="1"/>
  <c r="BU9" i="1"/>
  <c r="BU8" i="1"/>
  <c r="BU7" i="1"/>
  <c r="BU6" i="1"/>
  <c r="BU5" i="1"/>
  <c r="BU4" i="1"/>
  <c r="BU3" i="1"/>
  <c r="BU2" i="1"/>
</calcChain>
</file>

<file path=xl/sharedStrings.xml><?xml version="1.0" encoding="utf-8"?>
<sst xmlns="http://schemas.openxmlformats.org/spreadsheetml/2006/main" count="1353" uniqueCount="527">
  <si>
    <t>558255</t>
  </si>
  <si>
    <t>TUBE ENDTRCHL CUFFED 8.0MM</t>
  </si>
  <si>
    <t>102914</t>
  </si>
  <si>
    <t>SMKM0372</t>
  </si>
  <si>
    <t>RefCat</t>
  </si>
  <si>
    <t>102924</t>
  </si>
  <si>
    <t>GDWIRE VASC 182CM .014IN LGHT</t>
  </si>
  <si>
    <t>MEDLINE INDUSTRIES INC</t>
  </si>
  <si>
    <t>500987</t>
  </si>
  <si>
    <t>Sterile</t>
  </si>
  <si>
    <t>506099</t>
  </si>
  <si>
    <t>SV105L</t>
  </si>
  <si>
    <t>ITEM</t>
  </si>
  <si>
    <t>Tissue</t>
  </si>
  <si>
    <t>BSMH_SIZE</t>
  </si>
  <si>
    <t>Classification Remarks</t>
  </si>
  <si>
    <t>Corrected By</t>
  </si>
  <si>
    <t>301-PRO2LT</t>
  </si>
  <si>
    <t>C1781</t>
  </si>
  <si>
    <t>K12T-12443</t>
  </si>
  <si>
    <t>15868518</t>
  </si>
  <si>
    <t>HCPCS_1</t>
  </si>
  <si>
    <t>HCPCS_2</t>
  </si>
  <si>
    <t>Location</t>
  </si>
  <si>
    <t>https://www.medline.com/media/catalog/sku/DYN/DYNJAETC60S_PRI01.JPG</t>
  </si>
  <si>
    <t>5976884</t>
  </si>
  <si>
    <t>50749756025633</t>
  </si>
  <si>
    <t>42271913</t>
  </si>
  <si>
    <t>SterilizationMethod</t>
  </si>
  <si>
    <t>Material</t>
  </si>
  <si>
    <t>MANUF-DIVISION</t>
  </si>
  <si>
    <t>DE Code</t>
  </si>
  <si>
    <t>42181608</t>
  </si>
  <si>
    <t>H74934949072</t>
  </si>
  <si>
    <t>ContainsLatex</t>
  </si>
  <si>
    <t>Job No</t>
  </si>
  <si>
    <t>SUT VICRYL 0 18" TIES VIL</t>
  </si>
  <si>
    <t>Short Desc 30</t>
  </si>
  <si>
    <t>Laryngeal mask airway, single-use</t>
  </si>
  <si>
    <t>42295306</t>
  </si>
  <si>
    <t>ITEMMAST#ALT-UOM-3</t>
  </si>
  <si>
    <t>PrimaryDimension(IDXODXWXHXDXTHKXL)</t>
  </si>
  <si>
    <t>BrandName_1</t>
  </si>
  <si>
    <t>Sort Code</t>
  </si>
  <si>
    <t>10888277724754</t>
  </si>
  <si>
    <t>ITEMMAST#PURCH-MAJCL</t>
  </si>
  <si>
    <t>VEN-ITEM</t>
  </si>
  <si>
    <t>MESH HERNIA PARIETENE 45X30CM</t>
  </si>
  <si>
    <t>Description Duplicate</t>
  </si>
  <si>
    <t>500990</t>
  </si>
  <si>
    <t>ITEMMAST#ALT-UOM-CONV-1</t>
  </si>
  <si>
    <t>LUM</t>
  </si>
  <si>
    <t>ITEMMAST#ALT-UOM-CONV-3</t>
  </si>
  <si>
    <t>ITEMMAST#ALT-UOM-CONV-2</t>
  </si>
  <si>
    <t>ITEMMAST#ALT-UOM-CONV-4</t>
  </si>
  <si>
    <t>UNSPSC v24.0301</t>
  </si>
  <si>
    <t>Long Description Creation | UNSPSC Classification</t>
  </si>
  <si>
    <t>BSMH Long 254 Desc</t>
  </si>
  <si>
    <t>SOURCEMARK</t>
  </si>
  <si>
    <t>BX</t>
  </si>
  <si>
    <t>Latex</t>
  </si>
  <si>
    <t>102913</t>
  </si>
  <si>
    <t>EA/1 CA/50</t>
  </si>
  <si>
    <t>500989</t>
  </si>
  <si>
    <t>Customer Code</t>
  </si>
  <si>
    <t>URL</t>
  </si>
  <si>
    <t>10678259</t>
  </si>
  <si>
    <t>LOOP VESSEL SURGIMATE MINI RED</t>
  </si>
  <si>
    <t>BSMH_Volume/Weight</t>
  </si>
  <si>
    <t>102915</t>
  </si>
  <si>
    <t>GDWIRE VASC 185CM .014IN SPRG</t>
  </si>
  <si>
    <t>40906385</t>
  </si>
  <si>
    <t>Quality A/R</t>
  </si>
  <si>
    <t>10888277724815</t>
  </si>
  <si>
    <t>Accepted Date</t>
  </si>
  <si>
    <t>42271904</t>
  </si>
  <si>
    <t>47449</t>
  </si>
  <si>
    <t>BSMH_Location</t>
  </si>
  <si>
    <t>Production User</t>
  </si>
  <si>
    <t>102900</t>
  </si>
  <si>
    <t>102920</t>
  </si>
  <si>
    <t>Volume/Weight</t>
  </si>
  <si>
    <t>Remarks</t>
  </si>
  <si>
    <t>https://api.edirx.com/workflowfileuploads/documentconsole/746BCF34-9D9E-4C98-8DFC-DF6CCF98FECE.jpg</t>
  </si>
  <si>
    <t>42295513</t>
  </si>
  <si>
    <t>Potential Duplicate</t>
  </si>
  <si>
    <t>SUBN</t>
  </si>
  <si>
    <t>A hollow cylinder inserted orally or nasally into the trachea to provide an unobstructed airway to convey gases and vapours to and from the lungs during anaesthesia, resuscitation, and other situations where the patient is not properly ventilated; it does not include an antimicrobial agent(s). The device may: 1) be packaged with a connector that will attach to a breathing circuit or manual resuscitator; 2) have a distal inflatable cuff to seal against the tracheal wall; 3) be radiopaque; and 4) have a built-in pilot balloon for cuff pressure monitoring. It is available in various diameters and lengths for adult and paediatric patients. This is a single-use device.</t>
  </si>
  <si>
    <t>BOSTON SCIENTIFIC CORP</t>
  </si>
  <si>
    <t>36</t>
  </si>
  <si>
    <t>Start Date</t>
  </si>
  <si>
    <t>ITEMMAST#ALT-UOM-1</t>
  </si>
  <si>
    <t>CHJ</t>
  </si>
  <si>
    <t>ACUMEN IQ</t>
  </si>
  <si>
    <t>Ref#</t>
  </si>
  <si>
    <t>20888277724775</t>
  </si>
  <si>
    <t>SlNo</t>
  </si>
  <si>
    <t>MANUF-NBR</t>
  </si>
  <si>
    <t>397115</t>
  </si>
  <si>
    <t>M0372</t>
  </si>
  <si>
    <t>QE Comments</t>
  </si>
  <si>
    <t>ITEMMAST#PURCH-MINCL</t>
  </si>
  <si>
    <t>PDG</t>
  </si>
  <si>
    <t>4078167</t>
  </si>
  <si>
    <t>DYNJAETC80S</t>
  </si>
  <si>
    <t>ProdigoReferenceID</t>
  </si>
  <si>
    <t>A nonimplantable cord intended to be used during a surgical procedure to assist a surgeon to identify, retract and occlude blood vessels, tendons and nerves. It is constructed of synthetic polymer and is typically coloured to facilitate visualization. This is a single-use device.</t>
  </si>
  <si>
    <t>EA/1 CA/5</t>
  </si>
  <si>
    <t/>
  </si>
  <si>
    <t>42271903</t>
  </si>
  <si>
    <t>41300710</t>
  </si>
  <si>
    <t>EA/1 BX/30</t>
  </si>
  <si>
    <t>EA/1 BX/10</t>
  </si>
  <si>
    <t>Verified MFR Num</t>
  </si>
  <si>
    <t>EDWARDS LIFESCIENCES</t>
  </si>
  <si>
    <t>Len</t>
  </si>
  <si>
    <t>20888277724812</t>
  </si>
  <si>
    <t>MERIT MEDICAL</t>
  </si>
  <si>
    <t>SE Code</t>
  </si>
  <si>
    <t>UOMSpecific4</t>
  </si>
  <si>
    <t>ETHS113H</t>
  </si>
  <si>
    <t>Yes</t>
  </si>
  <si>
    <t>S113</t>
  </si>
  <si>
    <t>ETHICON SUTURE</t>
  </si>
  <si>
    <t>TRI ANIM/UNITED HOSP SUPPLY</t>
  </si>
  <si>
    <t>SENSOR BP ACUMEN IQ 60IN/152CM</t>
  </si>
  <si>
    <t>Modifier</t>
  </si>
  <si>
    <t>LEMAITRE VASCULAR INC</t>
  </si>
  <si>
    <t>33934207</t>
  </si>
  <si>
    <t>EA/1 BX/36    S113H LTXFREE</t>
  </si>
  <si>
    <t>MANUF-CODE</t>
  </si>
  <si>
    <t>PARIETENE</t>
  </si>
  <si>
    <t>H74934949052</t>
  </si>
  <si>
    <t>BSMH_SecondaryDimension(IDXODXLXWXHXDXTHK)</t>
  </si>
  <si>
    <t>DEROYAL</t>
  </si>
  <si>
    <t>https://api.edirx.com/workflowfileuploads/documentconsole/E0D12F51-D14D-45DC-B9EA-A8AF5C65AB72.JPG</t>
  </si>
  <si>
    <t>603289</t>
  </si>
  <si>
    <t>APVENMAST#VENDOR-VNAME</t>
  </si>
  <si>
    <t>LEMAITRE VASCULAR</t>
  </si>
  <si>
    <t>GMDN_Definition</t>
  </si>
  <si>
    <t>ETHJ106T</t>
  </si>
  <si>
    <t>DEROYAL INDUSTRIES</t>
  </si>
  <si>
    <t>ITEMMAST#DESCRIPTION2</t>
  </si>
  <si>
    <t>ITEMMAST#DESCRIPTION</t>
  </si>
  <si>
    <t>ALL</t>
  </si>
  <si>
    <t>BSMH_Adjective</t>
  </si>
  <si>
    <t>CE Code</t>
  </si>
  <si>
    <t>Disposable</t>
  </si>
  <si>
    <t>MASK O2 PRO2 ADLT ORAL</t>
  </si>
  <si>
    <t>Sort Comment</t>
  </si>
  <si>
    <t>102921</t>
  </si>
  <si>
    <t>MRISafetyStatus</t>
  </si>
  <si>
    <t>COVIDIEN</t>
  </si>
  <si>
    <t>MESH HERNIA SYMBOTEX 25X20CM</t>
  </si>
  <si>
    <t>BSMH_PrimaryDimension(IDXODXLXWXHXDXTHK)</t>
  </si>
  <si>
    <t>Packaging Comment</t>
  </si>
  <si>
    <t>AIQS6C502</t>
  </si>
  <si>
    <t>EA/1</t>
  </si>
  <si>
    <t>C1769</t>
  </si>
  <si>
    <t>940001</t>
  </si>
  <si>
    <t>TRI ANIM HEALTH SVCS INC</t>
  </si>
  <si>
    <t>No</t>
  </si>
  <si>
    <t>EDWARDS LIFESCIENCES INC</t>
  </si>
  <si>
    <t>Activities</t>
  </si>
  <si>
    <t>QE Code</t>
  </si>
  <si>
    <t>TUBE ENDTRCHL CUFFED 5.0MM</t>
  </si>
  <si>
    <t>24</t>
  </si>
  <si>
    <t>CA</t>
  </si>
  <si>
    <t>30</t>
  </si>
  <si>
    <t>Conc</t>
  </si>
  <si>
    <t>TUBE ENDTRCHL CUFFED 6.0MM</t>
  </si>
  <si>
    <t>20888277724751</t>
  </si>
  <si>
    <t>EA</t>
  </si>
  <si>
    <t>00813799007231</t>
  </si>
  <si>
    <t>42203404</t>
  </si>
  <si>
    <t>Size</t>
  </si>
  <si>
    <t>Orlando Long 300 Desc</t>
  </si>
  <si>
    <t>Status</t>
  </si>
  <si>
    <t>BOSTON SCIENTIFIC</t>
  </si>
  <si>
    <t>EA/1 BX/24     J106T</t>
  </si>
  <si>
    <t>504001</t>
  </si>
  <si>
    <t>ASIS Description (Long  Desc 4000)</t>
  </si>
  <si>
    <t>Verified MFR Name</t>
  </si>
  <si>
    <t>https://api.edirx.com/WorkflowFileUploads/DocumentConsole/FD2F0B0D-AD60-4CE6-A740-720DC2EF40FF.jpg</t>
  </si>
  <si>
    <t>BSMH_Material</t>
  </si>
  <si>
    <t>615006</t>
  </si>
  <si>
    <t>1883597</t>
  </si>
  <si>
    <t>BSMH_Modifier</t>
  </si>
  <si>
    <t>MEDLINE</t>
  </si>
  <si>
    <t>EA/1 LTXFREE</t>
  </si>
  <si>
    <t>41300712</t>
  </si>
  <si>
    <t>41300713</t>
  </si>
  <si>
    <t>Color</t>
  </si>
  <si>
    <t>Surgical vessel loop</t>
  </si>
  <si>
    <t>2180111</t>
  </si>
  <si>
    <t>2999483</t>
  </si>
  <si>
    <t>https://api.edirx.com/WorkflowFileUploads/DocumentConsole/487D3481-358F-4663-AC21-436A093E40E6.jpg</t>
  </si>
  <si>
    <t>https://api.edirx.com/WorkflowFileUploads/DocumentConsole/51DA6CB1-10D8-43F1-89CE-9FE2104C9C73.jpg</t>
  </si>
  <si>
    <t>A curved tube with a distal inflatable cuff/mask intended to be used in inhalational anaesthesia and resuscitation to facilitate and secure airway patency for the delivery and exchange of gases in spontaneously breathing and ventilated patients. It is inserted into the hypopharynx above the glottis to create a seal and to prevent the tongue from obstructing the anatomical airway. It may include a 15 mm connector that attaches to a breathing circuit or manual resuscitator, be radiopaque, and have a built-in pilot balloon for cuff pressure monitoring. It is available in various sizes/designs and is typically made of silicone/plastic materials. This is a single-use device.</t>
  </si>
  <si>
    <t>Endobronchial tube</t>
  </si>
  <si>
    <t>BSMH_Brandname</t>
  </si>
  <si>
    <t>BAY</t>
  </si>
  <si>
    <t>BONE</t>
  </si>
  <si>
    <t>A</t>
  </si>
  <si>
    <t>36257179</t>
  </si>
  <si>
    <t>102922</t>
  </si>
  <si>
    <t>SterilizationPriorToUse</t>
  </si>
  <si>
    <t>EA/1 BX/5</t>
  </si>
  <si>
    <t>H7491216001J2</t>
  </si>
  <si>
    <t>UOMSpecific3</t>
  </si>
  <si>
    <t>MASK LRYNGL ESOPH AIRWY SZ 2.5</t>
  </si>
  <si>
    <t>BSMH_NOUN</t>
  </si>
  <si>
    <t>GlobalUNSPSC</t>
  </si>
  <si>
    <t>VENDOR</t>
  </si>
  <si>
    <t>552761</t>
  </si>
  <si>
    <t>J106</t>
  </si>
  <si>
    <t>FORTE</t>
  </si>
  <si>
    <t>32727364</t>
  </si>
  <si>
    <t>SOURCEMARK LLC</t>
  </si>
  <si>
    <t>DYNJAETC60S</t>
  </si>
  <si>
    <t>SYMBOTEX</t>
  </si>
  <si>
    <t>41300711</t>
  </si>
  <si>
    <t>BrandName</t>
  </si>
  <si>
    <t>10</t>
  </si>
  <si>
    <t>ITEMMAST#ACTIVE-STATUS</t>
  </si>
  <si>
    <t>UOMSpecific2</t>
  </si>
  <si>
    <t>50</t>
  </si>
  <si>
    <t>SYM2520</t>
  </si>
  <si>
    <t>ITEMMAST#ALT-UOM-4</t>
  </si>
  <si>
    <t>BSMH_Gender</t>
  </si>
  <si>
    <t>Noun</t>
  </si>
  <si>
    <t>Basic endotracheal tube, single-use</t>
  </si>
  <si>
    <t>RefName</t>
  </si>
  <si>
    <t>Production User Comments</t>
  </si>
  <si>
    <t>Final</t>
  </si>
  <si>
    <t>BSMH_AGE</t>
  </si>
  <si>
    <t>SUT GUT CHR 2-0 54"</t>
  </si>
  <si>
    <t>33930916</t>
  </si>
  <si>
    <t>Unspecified</t>
  </si>
  <si>
    <t>MRI Compatible</t>
  </si>
  <si>
    <t>10888277724778</t>
  </si>
  <si>
    <t>Short Desc</t>
  </si>
  <si>
    <t>KIT PROC THORA/PARA</t>
  </si>
  <si>
    <t>00749756025638</t>
  </si>
  <si>
    <t>DYNJAETC50S</t>
  </si>
  <si>
    <t>Secondary Dimension(IDXODXWXHXDXTHKXL)</t>
  </si>
  <si>
    <t>Property</t>
  </si>
  <si>
    <t>BSMH_Property</t>
  </si>
  <si>
    <t>10813799007245</t>
  </si>
  <si>
    <t>PPM4530</t>
  </si>
  <si>
    <t>CE Comments</t>
  </si>
  <si>
    <t>ITEMMAST#ALT-UOM-2</t>
  </si>
  <si>
    <t>DeviceSterile</t>
  </si>
  <si>
    <t>L4002</t>
  </si>
  <si>
    <t>30-712</t>
  </si>
  <si>
    <t>0</t>
  </si>
  <si>
    <t>1</t>
  </si>
  <si>
    <t>500986</t>
  </si>
  <si>
    <t>ASC</t>
  </si>
  <si>
    <t>47130</t>
  </si>
  <si>
    <t>5</t>
  </si>
  <si>
    <t>Production Comments</t>
  </si>
  <si>
    <t>Miscellaneous</t>
  </si>
  <si>
    <t>ALLOGRAFT VASC 75-79CM SAPHEN</t>
  </si>
  <si>
    <t>UOMSpecific1</t>
  </si>
  <si>
    <t>DYNJAETC40S</t>
  </si>
  <si>
    <t>GMDN_Name</t>
  </si>
  <si>
    <t>ImageURL</t>
  </si>
  <si>
    <t>015-0147</t>
  </si>
  <si>
    <t>BSMH_Packaging for drugs and solutions</t>
  </si>
  <si>
    <t>MEDLINE INDUSTRIES</t>
  </si>
  <si>
    <t>102919</t>
  </si>
  <si>
    <t>500988</t>
  </si>
  <si>
    <t>A hollow cylinder that is designed for oral insertion via the trachea and into a lung to maintain airway patency and/or to deliver anaesthetic inhalation agents or other medical gases, and secure ventilation. It is typically made of plastic, rubber, or silicone and may be packaged with a connector that attaches to a breathing circuit and is available in two basic configurations: 1) a double lumen tube with independent cuffs at the distal end for ventilation of the left or right bronchi; or 2) a twin lumen tube with independent cuffs for selective lung ventilation during thoracic surgery or postoperative care when independent lung ventilation is indicated. This is a single-use device.</t>
  </si>
  <si>
    <t>102923</t>
  </si>
  <si>
    <t>Potential / Duplicate Across Consolidated</t>
  </si>
  <si>
    <t>SE Comments</t>
  </si>
  <si>
    <t>https://api.edirx.com/workflowfileuploads/documentconsole/5479729C-A965-4C57-BBF3-C0616ADBE9EA.jpg</t>
  </si>
  <si>
    <t>TUBE ENDTRCHL CUFFED 4.0MM</t>
  </si>
  <si>
    <t>HCPCS Description_1</t>
  </si>
  <si>
    <t>MERIT MEDICAL SYSTEMS INC</t>
  </si>
  <si>
    <t>EDWARDS LIFESCIENCES CORP</t>
  </si>
  <si>
    <t>ETHICON INC</t>
  </si>
  <si>
    <t>MEDTRONIC INC</t>
  </si>
  <si>
    <t>TRI-ANIM HEALTH SERVICES INC</t>
  </si>
  <si>
    <t>DEROYAL INDUSTRIES INC</t>
  </si>
  <si>
    <t>S-113</t>
  </si>
  <si>
    <t xml:space="preserve"> 12160-01J</t>
  </si>
  <si>
    <t>34949-05</t>
  </si>
  <si>
    <t>34949-07</t>
  </si>
  <si>
    <t>K12T12443</t>
  </si>
  <si>
    <t>MERIT MEDICAL_K12T12443</t>
  </si>
  <si>
    <t>MEDLINE_DYNJAETC40S</t>
  </si>
  <si>
    <t>MEDLINE_DYNJAETC60S</t>
  </si>
  <si>
    <t>EDWARDS</t>
  </si>
  <si>
    <t>EDWARDS_AIQS6C502</t>
  </si>
  <si>
    <t>MEDLINE_DYNJAETC50S</t>
  </si>
  <si>
    <t>SOURCEMARK_M0372</t>
  </si>
  <si>
    <t>JNJ</t>
  </si>
  <si>
    <t>JNJ_J106</t>
  </si>
  <si>
    <t>JNJ_S113</t>
  </si>
  <si>
    <t>BOSTON</t>
  </si>
  <si>
    <t xml:space="preserve"> 1216001J</t>
  </si>
  <si>
    <t>BOSTON_ 1216001J</t>
  </si>
  <si>
    <t>BOSTON_3494905</t>
  </si>
  <si>
    <t>MEDTRONIC</t>
  </si>
  <si>
    <t>MEDTRONIC_PPM4530</t>
  </si>
  <si>
    <t>TRI-ANIM</t>
  </si>
  <si>
    <t>301PRO2LT</t>
  </si>
  <si>
    <t>TRI-ANIM_301PRO2LT</t>
  </si>
  <si>
    <t>LEMAITRE VASCULAR_SV105L</t>
  </si>
  <si>
    <t>DEROYAL_30712</t>
  </si>
  <si>
    <t>BOSTON_3494907</t>
  </si>
  <si>
    <t>MEDTRONIC_SYM2520</t>
  </si>
  <si>
    <t>MEDLINE_DYNJAETC80S</t>
  </si>
  <si>
    <t>42142537  Thoracentesis sets or trays</t>
  </si>
  <si>
    <t>42271903  Endotracheal tubes</t>
  </si>
  <si>
    <t>42181608  Blood pressure measuring instruments accessories</t>
  </si>
  <si>
    <t>42271909  Artificial airway accessories</t>
  </si>
  <si>
    <t>42312201  Sutures</t>
  </si>
  <si>
    <t>42203404  Vascular imaging guidewires</t>
  </si>
  <si>
    <t>42295513  Surgical mesh or tissue barriers</t>
  </si>
  <si>
    <t>42271708  Medical oxygen masks or parts</t>
  </si>
  <si>
    <t>42296006  Vascular grafts</t>
  </si>
  <si>
    <t>42295306  Surgical vessel loops or retraction tapes</t>
  </si>
  <si>
    <t>Cuffed Endotracheal Tubes with Preloaded Stylets 4 mm</t>
  </si>
  <si>
    <t>Cuffed Endotracheal Tubes with Preloaded Stylets 6 mm</t>
  </si>
  <si>
    <t>Acumen IQ sensor with TruWave disposable pressure transducer and VAMP adult system</t>
  </si>
  <si>
    <t>Cuffed Endotracheal Tubes with Preloaded Stylets 5 mm</t>
  </si>
  <si>
    <t>Curved Laryngeal Mask SourceMark 14 mL Cuff Size 2.5 Single Patient Use</t>
  </si>
  <si>
    <t>0 VICRYL Violet Braided 18inch</t>
  </si>
  <si>
    <t>Ethicon S-113 Suture Absorbable 6515-00-616-9450</t>
  </si>
  <si>
    <t xml:space="preserve">CHOICE PT Floppy Guidewire </t>
  </si>
  <si>
    <t>FORTE Moderate Support Marker Wire</t>
  </si>
  <si>
    <t>Parietene Macroporous Mesh</t>
  </si>
  <si>
    <t>Adult O2 Mask - EtCO2 - M2M</t>
  </si>
  <si>
    <t>RestoreFlow Step</t>
  </si>
  <si>
    <t>Vessel Loops, Red Mini, 2/Card</t>
  </si>
  <si>
    <t>FORTE Moderate Support Guidewire</t>
  </si>
  <si>
    <t>Symbotex Composite Mesh, 15 x 20 cm</t>
  </si>
  <si>
    <t>Cuffed Endotracheal Tubes with Preloaded Stylets 8 mm</t>
  </si>
  <si>
    <t xml:space="preserve">PROCEDURE KIT, THORACENTESIS/PARACENTESIS </t>
  </si>
  <si>
    <t xml:space="preserve">KIT, PROCEDURE , THORACENTESIS/PARACENTESIS </t>
  </si>
  <si>
    <t xml:space="preserve">KIT, PROC , THORACENTESIS/PARACENTESIS </t>
  </si>
  <si>
    <t>KIT, PROC , TRCNTS/PARACENTESIS</t>
  </si>
  <si>
    <t>KIT</t>
  </si>
  <si>
    <t>PROCEDURE KIT</t>
  </si>
  <si>
    <t xml:space="preserve">PROCEDURE </t>
  </si>
  <si>
    <t xml:space="preserve">THORACENTESIS/PARACENTESIS </t>
  </si>
  <si>
    <t>URL NOT FOUND</t>
  </si>
  <si>
    <t>TUBE, ENDOTRACHEAL, CUFFED, 4 MMX6 FR, WITH PRELOADED STYLET, PVC, LATEX FREE, DISPOSABLE</t>
  </si>
  <si>
    <t>TUBE, ENDOTRACHEAL, 4MMX6FR, PVC, CUFFED, WITH PRELOADED STYLET, LATEX FREE, DISPOSABLE</t>
  </si>
  <si>
    <t>TUBE, ENDTRCHL, 4MMX6FR, PVC, CUFFED, W/ PRELOADED STYLET, LTXFREE, DISP</t>
  </si>
  <si>
    <t>TUBE, ENDTRCHL, 4MMX6FR, CUFFED</t>
  </si>
  <si>
    <t>TUBE</t>
  </si>
  <si>
    <t>ENDOTRACHEAL</t>
  </si>
  <si>
    <t>CUFFED</t>
  </si>
  <si>
    <t>4MMX6FR</t>
  </si>
  <si>
    <t>4 MMX6 FR</t>
  </si>
  <si>
    <t>PVC</t>
  </si>
  <si>
    <t>CUFFED, WITH PRELOADED STYLET</t>
  </si>
  <si>
    <t>WITH PRELOADED STYLET</t>
  </si>
  <si>
    <t>LATEX FREE</t>
  </si>
  <si>
    <t>DISPOSABLE</t>
  </si>
  <si>
    <t>https://punchout.medline.com/sku/item/MDPDYNJAETC40S;ecomsessionid=mUFqx1yC3vW8pZMUJ-WmZgSr76MOfH1SgNYa2LJV.OCB02-b2b?skuIndex=S3&amp;question=&amp;flowType=&amp;indexCount=</t>
  </si>
  <si>
    <t>TUBE, ENDOTRACHEAL, CUFFED, 6 MMX10 FR, WITH PRELOADED STYLET, PVC, STERILE, LATEX FREE, DISPOSABLE</t>
  </si>
  <si>
    <t>TUBE, ENDOTRACHEAL, 6MMX10FR, PVC, CUFFED, WITH PRELOADED STYLET, STERILE, LATEX FREE, DISPOSABLE</t>
  </si>
  <si>
    <t>TUBE, ENDTRCHL, 6MMX10FR, PVC, CUFFED, W/ PRELOADED STYLET, STRL, LTXFREE, DISP</t>
  </si>
  <si>
    <t>TUBE, ENDTRCHL, 6MMX10FR, CUFFED</t>
  </si>
  <si>
    <t>6MMX10FR</t>
  </si>
  <si>
    <t>6 MMX10 FR</t>
  </si>
  <si>
    <t>STERILE</t>
  </si>
  <si>
    <t>https://punchout.medline.com/sku/item/MDPDYNJAETC60S;ecomsessionid=mUFqx1yC3vW8pZMUJ-WmZgSr76MOfH1SgNYa2LJV.OCB02-b2b?skuIndex=S9&amp;question=&amp;flowType=&amp;indexCount=, https://accessgudid.nlm.nih.gov/devices/10888277724778</t>
  </si>
  <si>
    <t>SENSOR, BLOOD PRESSURE, HYPOTENSION, WITH TRUWAVE PRESSURE TRANSDUCER, VAMP ADULT SYSTEM, ACUMEN IQ, DISPOSABLE</t>
  </si>
  <si>
    <t>SENSOR, BLOOD PRESSURE, ACUMEN IQ, 60IN, HYPOTENSION, WITH TRUWAVE PRESSURE TRANSDUCER, VAMP ADULT SYSTEM, DISPOSABLE</t>
  </si>
  <si>
    <t>SENSOR, BP, ACUMEN IQ, 60IN, HYPOTENSION, W/ TRWVE PRESS TRNSDUCR, VAMP ADLT SYS, DISP</t>
  </si>
  <si>
    <t>SENSOR, BP, ACUMEN IQ, 60IN</t>
  </si>
  <si>
    <t>SENSOR</t>
  </si>
  <si>
    <t>BLOOD PRESSURE</t>
  </si>
  <si>
    <t>HYPOTENSION</t>
  </si>
  <si>
    <t>60IN</t>
  </si>
  <si>
    <t>HYPOTENSION, WITH TRUWAVE PRESSURE TRANSDUCER, VAMP ADULT SYSTEM</t>
  </si>
  <si>
    <t>WITH TRUWAVE PRESSURE TRANSDUCER, VAMP ADULT SYSTEM</t>
  </si>
  <si>
    <t>152CM</t>
  </si>
  <si>
    <t>https://www.edwards.com/healthcare-professionals/products-services/predictive-monitoring/acumen-iq-sensor</t>
  </si>
  <si>
    <t>TUBE, ENDOTRACHEAL, CUFFED, 5 MMX10 FR, WITH PRELOADED STYLET, PVC, LATEX FREE, DISPOSABLE</t>
  </si>
  <si>
    <t>TUBE, ENDOTRACHEAL, 5MMX10FR, PVC, CUFFED, WITH PRELOADED STYLET, LATEX FREE, DISPOSABLE</t>
  </si>
  <si>
    <t>TUBE, ENDTRCHL, 5MMX10FR, PVC, CUFFED, W/ PRELOADED STYLET, LTXFREE, DISP</t>
  </si>
  <si>
    <t>TUBE, ENDTRCHL, 5MMX10FR, CUFFED</t>
  </si>
  <si>
    <t>5MMX10FR</t>
  </si>
  <si>
    <t>5 MMX10 FR</t>
  </si>
  <si>
    <t>https://punchout.medline.com/sku/item/MDPDYNJAETC50S;ecomsessionid=mUFqx1yC3vW8pZMUJ-WmZgSr76MOfH1SgNYa2LJV.OCB02-b2b?skuIndex=S5&amp;question=&amp;flowType=&amp;indexCount=</t>
  </si>
  <si>
    <t>MASK, LARYNGEAL, CURVED, 2.5, 14 ML, CUFF, ESOPHAGEAL AIRWAY, CLEAR/GREEN, STERILE, LATEX, DISPOSABLE</t>
  </si>
  <si>
    <t>MASK, LARYNGEAL, 2.5, 14ML, ABS PLASTIC, POLYCARBONATE, SILICONE, CLEAR/GREEN, CURVED, CUFF, ESOPHAGEAL AIRWAY, STERILE, LATEX, DISPOSABLE</t>
  </si>
  <si>
    <t>MASK, LRYNGL, 2.5, 14ML, ABS PLSTC, POLYCARBONATE, SIL, CLEAR/GREEN, CRVD, CUFF, ESPGHL AIRWY, STRL, LTX, DISP</t>
  </si>
  <si>
    <t>MASK, LRYNGL, 2.5, 14ML, CUFF, STRL</t>
  </si>
  <si>
    <t>MASK</t>
  </si>
  <si>
    <t>LARYNGEAL</t>
  </si>
  <si>
    <t>CURVED</t>
  </si>
  <si>
    <t>14ML</t>
  </si>
  <si>
    <t>14 ML</t>
  </si>
  <si>
    <t>ABS PLASTIC, POLYCARBONATE, SILICONE</t>
  </si>
  <si>
    <t>CLEAR/GREEN</t>
  </si>
  <si>
    <t>CURVED, CUFF, ESOPHAGEAL AIRWAY</t>
  </si>
  <si>
    <t>CUFF, ESOPHAGEAL AIRWAY</t>
  </si>
  <si>
    <t>LATEX</t>
  </si>
  <si>
    <t>https://mms.mckesson.com/product/778461/Sourcemark-M0372, https://accessgudid.nlm.nih.gov/devices/00813799007231</t>
  </si>
  <si>
    <t>SUTURE, ABSORBABLE, BRAIDED, 0, 18 IN, TIES, VIOLET, VICRYL</t>
  </si>
  <si>
    <t>SUTURE, ABSORBABLE, VICRYL, 0, 18IN, VIOLET, BRAIDED, TIES</t>
  </si>
  <si>
    <t>SUT, ABSBL, VICRYL, 0, 18IN, VIOLET, BRAID, TIES</t>
  </si>
  <si>
    <t>SUT, ABSBL, VICRYL, 0, 18IN, VIOLET</t>
  </si>
  <si>
    <t>SUTURE</t>
  </si>
  <si>
    <t>ABSORBABLE</t>
  </si>
  <si>
    <t>VICRYL</t>
  </si>
  <si>
    <t>BRAIDED</t>
  </si>
  <si>
    <t>18IN</t>
  </si>
  <si>
    <t>18 IN</t>
  </si>
  <si>
    <t>VIOLET</t>
  </si>
  <si>
    <t>BRAIDED, TIES</t>
  </si>
  <si>
    <t>TIES</t>
  </si>
  <si>
    <t>https://imedsales.com/products/ethicon-j106-0-vicryl-violet-braided-18inch-x</t>
  </si>
  <si>
    <t>SUTURE, ABSORBABLE, 2-0, 54 IN, CHROMIC GUT, STERILE</t>
  </si>
  <si>
    <t>SUTURE, ABSORBABLE, 2-0, 54IN, CHROMIC GUT, STERILE</t>
  </si>
  <si>
    <t>SUT, ABSBL, 2-0, 54IN, CHRGUT, STRL</t>
  </si>
  <si>
    <t>2-0</t>
  </si>
  <si>
    <t>54IN</t>
  </si>
  <si>
    <t>54 IN</t>
  </si>
  <si>
    <t>CHROMIC GUT</t>
  </si>
  <si>
    <t>https://www.recycledgoods.com/ethicon-s-113-suture-absorbable-6515-00-616-9450/</t>
  </si>
  <si>
    <t>GUIDEWIRE, VASCULAR, J TIP, 35 CM, 0.014 INX182 CM, FLOPPY LIGHT RAIL, SUPPORT, HYDROPHILIC COATED, CHOICE PT</t>
  </si>
  <si>
    <t>GUIDEWIRE, VASCULAR, CHOICE PT, 35CM, 0.014INX182CM, HYDROPHILIC COATED, J TIP, FLOPPY, LIGHT RAIL, SUPPORT</t>
  </si>
  <si>
    <t>GDWR, VASC, CHOICE PT, 35CM, 0.014INX182CM, HYDROPHILIC COATD, J TIP, FLOPPY, LIGHT RAIL, SPPRT</t>
  </si>
  <si>
    <t>GDWR, VASC, CHOICE, 0.014INX182CM</t>
  </si>
  <si>
    <t>GUIDEWIRE</t>
  </si>
  <si>
    <t>VASCULAR</t>
  </si>
  <si>
    <t>CHOICE PT</t>
  </si>
  <si>
    <t>J TIP</t>
  </si>
  <si>
    <t>35CM</t>
  </si>
  <si>
    <t>35 CM</t>
  </si>
  <si>
    <t>0.014INX182CM</t>
  </si>
  <si>
    <t>0.014 INX182 CM</t>
  </si>
  <si>
    <t>HYDROPHILIC COATED</t>
  </si>
  <si>
    <t>J TIP, FLOPPY, LIGHT RAIL, SUPPORT</t>
  </si>
  <si>
    <t>FLOPPY LIGHT RAIL, SUPPORT</t>
  </si>
  <si>
    <t>SHAPE, 5 PER BOX</t>
  </si>
  <si>
    <t>https://www.bostonscientific.com/content/dam/bostonscientific/Interventional%20Cardiology/general/Resources/Product-Catalog/Boston-Scientific-IC-2016-US-Product-Catalog.pdf</t>
  </si>
  <si>
    <t>GUIDEWIRE, VASCULAR, STRAIGHT, 2 CM, 0.014 INX185 CM, FLOPPY, MARKER, MODERATE RAIL SUPPORT, UNIBODY, STAINLESS STEEL, SILICONE, FORTE</t>
  </si>
  <si>
    <t>GUIDEWIRE, VASCULAR, FORTE, 2CM, 0.014INX185CM, STAINLESS STEEL, SILICONE, STRAIGHT, FLOPPY, MARKER, MODERATE RAIL SUPPORT, UNIBODY</t>
  </si>
  <si>
    <t>GDWR, VASC, FORTE, 2CM, 0.014INX185CM, SS, SIL, STRT, FLOPPY, MRKR, MODERATE RAIL SPPRT, UNBDY</t>
  </si>
  <si>
    <t>GDWR, VASC, FORTE, 0.014INX185CM</t>
  </si>
  <si>
    <t>STRAIGHT</t>
  </si>
  <si>
    <t>2CM</t>
  </si>
  <si>
    <t>2 CM</t>
  </si>
  <si>
    <t>0.014INX185CM</t>
  </si>
  <si>
    <t>0.014 INX185 CM</t>
  </si>
  <si>
    <t>STAINLESS STEEL, SILICONE</t>
  </si>
  <si>
    <t>STRAIGHT, FLOPPY, MARKER, MODERATE RAIL SUPPORT, UNIBODY</t>
  </si>
  <si>
    <t>FLOPPY, MARKER, MODERATE RAIL SUPPORT, UNIBODY</t>
  </si>
  <si>
    <t>MESH, HERNIA, 45X30 CM, MACROPOROUS, NON ABSORBABLE, KNITTED, POLYPROPYLENE, STERILE, PARIETENE, LATEX FREE</t>
  </si>
  <si>
    <t>MESH, HERNIA, PARIETENE, 30X45CM, KNITTED, POLYPROPYLENE, MACROPOROUS, NON ABSORBABLE, STERILE, LATEX FREE</t>
  </si>
  <si>
    <t>MESH, HERNIA, PARIETENE, 30X45CM, KNITTED, POLYPRPLN, MACROPOROUS, NON ABSBL, STRL, LTXFREE</t>
  </si>
  <si>
    <t>MESH, HERNIA, PARIETENE, 30X45CM</t>
  </si>
  <si>
    <t>MESH</t>
  </si>
  <si>
    <t>HERNIA</t>
  </si>
  <si>
    <t>30X45CM</t>
  </si>
  <si>
    <t>45X30 CM</t>
  </si>
  <si>
    <t>KNITTED, POLYPROPYLENE</t>
  </si>
  <si>
    <t>MACROPOROUS, NON ABSORBABLE</t>
  </si>
  <si>
    <t>https://www.medtronic.com/covidien/en-gb/products/hernia-repair/mesh-products/parietene-macroporous-mesh.html#</t>
  </si>
  <si>
    <t>MASK, OXYGEN, ADULT, ORAL, PRO2, HIGH CONCENTRATION, ETCO2-M2M, NON STERILE, LATEX FREE</t>
  </si>
  <si>
    <t>MASK, O2, ADLT, ORAL, PRO2, HI CONCEN, ETCO2-M2M, NON STRL, LTXFREE</t>
  </si>
  <si>
    <t>MASK, O2, ADLT, PRO2, ETCO2-M2M</t>
  </si>
  <si>
    <t>OXYGEN</t>
  </si>
  <si>
    <t>ADULT</t>
  </si>
  <si>
    <t>ORAL</t>
  </si>
  <si>
    <t>PRO2, HIGH CONCENTRATION, ETCO2-M2M</t>
  </si>
  <si>
    <t>NON STERILE</t>
  </si>
  <si>
    <t>30/BX DM0051</t>
  </si>
  <si>
    <t>https://www.tri-anim.com/ths/medias/THS-CPX-PrO2-Brochure.pdf?context=bWFzdGVyfHByb2R1Y3RTM21lZGlhVEhTUGRmc3w0OTI1ODQ4fGFwcGxpY2F0aW9uL3BkZnxwcm9kdWN0UzNtZWRpYVRIU1BkZnMvaGY4L2hlMC84OTkxMDY4OTQ2NDYyLnBkZnw3ZGU3NGI4YWEzYTNhODAyNzJmM2RiNTVkZDNiYTA2ZjkzYzA4YjI3NWNhNGE2ZGE1YzUyNWU1M2MzM2VhNzli, https://accessgudid.nlm.nih.gov/devices/00810094574802</t>
  </si>
  <si>
    <t>ALLOGRAFT, VASCULAR, 70-79 CM, SAPHENOUS VEIN, RESTOREFLOW</t>
  </si>
  <si>
    <t>ALLOGRAFT, VASCULAR, RESTOREFLOW, 70-79CM, SAPHENOUS VEIN</t>
  </si>
  <si>
    <t>ALGRF, VASC, RESTOREFLOW, 70-79CM, SAPHENOUS VEIN</t>
  </si>
  <si>
    <t>ALLOGRAFT, VASC, RSTRFLW, 70-79CM</t>
  </si>
  <si>
    <t>ALLOGRAFT</t>
  </si>
  <si>
    <t>RESTOREFLOW</t>
  </si>
  <si>
    <t>70-79CM</t>
  </si>
  <si>
    <t>70-79 CM</t>
  </si>
  <si>
    <t>SAPHENOUS VEIN</t>
  </si>
  <si>
    <t>https://www.lemaitre.com/instructions-use</t>
  </si>
  <si>
    <t>LOOP, VESSEL, MINI, 0.05X16 IN, RADIOPAQUE, SILICONE, RED, STERILE, LATEX FREE</t>
  </si>
  <si>
    <t>LOOP, VESSEL, MINI, 0.05X16IN, SILICONE, RED, RADIOPAQUE, STERILE, LATEX FREE</t>
  </si>
  <si>
    <t>LOOP, VESSEL, MNI, 0.05X16IN, SIL, RED, RADOPQ, STRL, LTXFREE</t>
  </si>
  <si>
    <t>LOOP, VESSEL, MNI, 0.05X16IN, RED</t>
  </si>
  <si>
    <t>LOOP</t>
  </si>
  <si>
    <t>VESSEL</t>
  </si>
  <si>
    <t>MINI</t>
  </si>
  <si>
    <t>0.05X16IN</t>
  </si>
  <si>
    <t>0.05X16 IN</t>
  </si>
  <si>
    <t>SILICONE</t>
  </si>
  <si>
    <t>RED</t>
  </si>
  <si>
    <t>RADIOPAQUE</t>
  </si>
  <si>
    <t>https://www.deroyal.com/products/search-catalog-item/catalog-item-preview/ac-surgical-vessel-loops, https://accessgudid.nlm.nih.gov/devices/00749756025638</t>
  </si>
  <si>
    <t>GUIDEWIRE, VASCULAR, STRAIGHT, 2 CM, 0.014 INX185 CM, MODERATE RAIL SUPPORT, STAINLESS STEEL, SILICONE, FORTE</t>
  </si>
  <si>
    <t>GUIDEWIRE, VASCULAR, FORTE, 2CM, 0.014INX185CM, STAINLESS STEEL, SILICONE, STRAIGHT, MODERATE RAIL SUPPORT</t>
  </si>
  <si>
    <t>GDWR, VASC, FORTE, 2CM, 0.014INX185CM, SS, SIL, STRT, MODERATE RAIL SPPRT</t>
  </si>
  <si>
    <t>STRAIGHT, MODERATE RAIL SUPPORT</t>
  </si>
  <si>
    <t>MODERATE RAIL SUPPORT</t>
  </si>
  <si>
    <t>5/PK</t>
  </si>
  <si>
    <t>MESH, HERNIA, RECTANGLE, 25X20 CM, COLLAGEN FILM, STERILE, SYMBOTEX, LATEX</t>
  </si>
  <si>
    <t>MESH, HERNIA, SYMBOTEX, 20X25CM, COLLAGEN FILM, RECTANGLE,  INTRAPERITONEAL, MONOFILAMENT, ABSORBABLE FILM, COMPOSITE, FOR HERNIA REPAIR, STERILE, LATEX</t>
  </si>
  <si>
    <t>MESH, HERNIA, SYMBOTEX, 20X25CM, CLGN FILM, RECTANGLE,  INTRAPERITONEAL, MONOFILAMENT, ABSBL FILM, COMPOSITE, FOR HERNIA REPAIR, STRL, LTX</t>
  </si>
  <si>
    <t>MESH, HERNIA, SYMBOTEX, 20X25CM</t>
  </si>
  <si>
    <t>RECTANGLE</t>
  </si>
  <si>
    <t>20X25CM</t>
  </si>
  <si>
    <t>25X20 CM</t>
  </si>
  <si>
    <t>COLLAGEN FILM</t>
  </si>
  <si>
    <t>RECTANGLE,  INTRAPERITONEAL, MONOFILAMENT, ABSORBABLE FILM, COMPOSITE, FOR HERNIA REPAIR</t>
  </si>
  <si>
    <t>https://www.medtronic.com/covidien/en-us/products/hernia-repair/symbotex-composite-mesh.html, https://mms.mckesson.com/product/872893/Medtronic-MITG-SYM2520, https://accessgudid.nlm.nih.gov/devices/10884521190481</t>
  </si>
  <si>
    <t>TUBE, ENDOTRACHEAL, CUFFED, 8 MMX14 FR, WITH PRELOADED STYLET, PVC, STERILE, LATEX FREE, DISPOSABLE</t>
  </si>
  <si>
    <t>TUBE, ENDOTRACHEAL, 8MMX14FR, PVC, CUFFED, WITH PRELOADED STYLET, STERILE, LATEX FREE, DISPOSABLE</t>
  </si>
  <si>
    <t>TUBE, ENDTRCHL, 8MMX14FR, PVC, CUFFED, W/ PRELOADED STYLET, STRL, LTXFREE, DISP</t>
  </si>
  <si>
    <t>TUBE, ENDTRCHL, 8MMX14FR, CUFFED</t>
  </si>
  <si>
    <t>8MMX14FR</t>
  </si>
  <si>
    <t>8 MMX14 FR</t>
  </si>
  <si>
    <t>https://www.bettymills.com/cuffed-endotracheal-tubes-with-preloaded-stylets-10-each-per-box-medline-dynjaetc80s, https://medexsupply.com/endotracheal-tube-with-preloaded-stylet-cuffed-8-0-mm-14-fr/, https://accessgudid.nlm.nih.gov/devices/10888277724815</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</si>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</sst>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3"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u/>
      <sz val="11"/>
      <color theme="1"/>
      <name val="Calibri"/>
      <family val="2"/>
      <scheme val="minor"/>
    </font>
    <font>
      <b/>
      <sz val="11"/>
      <color theme="1"/>
      <name val="Calibri"/>
      <family val="2"/>
      <scheme val="minor"/>
    </font>
    <font>
      <b/>
      <sz val="10"/>
      <color theme="0"/>
      <name val="Calibri"/>
      <family val="2"/>
      <scheme val="minor"/>
    </font>
    <font>
      <sz val="11"/>
      <color rgb="FF031B4E"/>
      <name val="Arial"/>
      <family val="2"/>
    </font>
    <font>
      <sz val="10"/>
      <color theme="1"/>
      <name val="Calibri"/>
      <family val="2"/>
      <scheme val="minor"/>
    </font>
    <font>
      <u/>
      <sz val="11"/>
      <color theme="10"/>
      <name val="Calibri"/>
      <family val="2"/>
    </font>
    <font>
      <u/>
      <sz val="10"/>
      <color theme="10"/>
      <name val="Calibri"/>
      <family val="2"/>
    </font>
  </fonts>
  <fills count="14">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CC"/>
        <bgColor indexed="64"/>
      </patternFill>
    </fill>
    <fill>
      <patternFill patternType="solid">
        <fgColor theme="2"/>
        <bgColor indexed="64"/>
      </patternFill>
    </fill>
    <fill>
      <patternFill patternType="solid">
        <fgColor theme="2" tint="-9.9978637043366805E-2"/>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3">
    <border>
      <left/>
      <right/>
      <top/>
      <bottom/>
      <diagonal/>
    </border>
    <border>
      <left/>
      <right/>
      <top/>
      <bottom/>
      <diagonal/>
    </border>
    <border>
      <left/>
      <right/>
      <top style="medium">
        <color auto="1"/>
      </top>
      <bottom style="thin">
        <color auto="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11" fillId="0" borderId="1" applyNumberFormat="0" applyFill="0" applyBorder="0" applyAlignment="0" applyProtection="0">
      <alignment vertical="top"/>
      <protection locked="0"/>
    </xf>
  </cellStyleXfs>
  <cellXfs count="26">
    <xf numFmtId="0" fontId="0" fillId="0" borderId="1" xfId="0"/>
    <xf numFmtId="0" fontId="2" fillId="0" borderId="1" xfId="0" applyFont="1"/>
    <xf numFmtId="0" fontId="3" fillId="2" borderId="0" xfId="6" applyFont="1" applyFill="1" applyAlignment="1">
      <alignment horizontal="left" vertical="center"/>
    </xf>
    <xf numFmtId="49" fontId="3" fillId="2" borderId="0" xfId="6" applyNumberFormat="1" applyFont="1" applyFill="1" applyAlignment="1">
      <alignment horizontal="left" vertical="center"/>
    </xf>
    <xf numFmtId="0" fontId="4" fillId="3" borderId="0" xfId="0" applyFont="1" applyFill="1" applyBorder="1" applyAlignment="1">
      <alignment vertical="center"/>
    </xf>
    <xf numFmtId="49" fontId="5" fillId="4" borderId="0" xfId="0" applyNumberFormat="1" applyFont="1" applyFill="1" applyBorder="1" applyAlignment="1">
      <alignment horizontal="left" vertical="center"/>
    </xf>
    <xf numFmtId="49" fontId="6" fillId="5" borderId="0" xfId="0" applyNumberFormat="1" applyFont="1" applyFill="1" applyBorder="1" applyAlignment="1">
      <alignment horizontal="left"/>
    </xf>
    <xf numFmtId="49" fontId="5" fillId="3" borderId="0" xfId="0" applyNumberFormat="1" applyFont="1" applyFill="1" applyBorder="1" applyAlignment="1">
      <alignment horizontal="left" vertical="center"/>
    </xf>
    <xf numFmtId="0" fontId="6" fillId="6" borderId="2" xfId="0" applyFont="1" applyFill="1" applyBorder="1" applyAlignment="1">
      <alignment horizontal="center"/>
    </xf>
    <xf numFmtId="49" fontId="6" fillId="6" borderId="0" xfId="0" applyNumberFormat="1" applyFont="1" applyFill="1" applyBorder="1" applyAlignment="1">
      <alignment horizontal="left"/>
    </xf>
    <xf numFmtId="0" fontId="7" fillId="6" borderId="2" xfId="0" applyFont="1" applyFill="1" applyBorder="1" applyAlignment="1">
      <alignment horizontal="center"/>
    </xf>
    <xf numFmtId="49" fontId="6" fillId="0" borderId="0" xfId="0" applyNumberFormat="1" applyFont="1" applyBorder="1" applyAlignment="1">
      <alignment horizontal="left"/>
    </xf>
    <xf numFmtId="49" fontId="6" fillId="7" borderId="0" xfId="0" applyNumberFormat="1" applyFont="1" applyFill="1" applyBorder="1" applyAlignment="1">
      <alignment horizontal="left"/>
    </xf>
    <xf numFmtId="49" fontId="5" fillId="8" borderId="0" xfId="0" applyNumberFormat="1" applyFont="1" applyFill="1" applyBorder="1" applyAlignment="1">
      <alignment horizontal="left" vertical="center"/>
    </xf>
    <xf numFmtId="49" fontId="4" fillId="9" borderId="0" xfId="0" applyNumberFormat="1" applyFont="1" applyFill="1" applyBorder="1" applyAlignment="1">
      <alignment horizontal="left" vertical="center"/>
    </xf>
    <xf numFmtId="0" fontId="8" fillId="10" borderId="0" xfId="0" applyFont="1" applyFill="1" applyBorder="1" applyAlignment="1">
      <alignment horizontal="left" vertical="center"/>
    </xf>
    <xf numFmtId="0" fontId="3" fillId="11" borderId="0" xfId="0" applyFont="1" applyFill="1" applyBorder="1" applyAlignment="1">
      <alignment horizontal="left" vertical="center"/>
    </xf>
    <xf numFmtId="0" fontId="4" fillId="12" borderId="0" xfId="0" applyFont="1" applyFill="1" applyBorder="1" applyAlignment="1">
      <alignment horizontal="left" vertical="center"/>
    </xf>
    <xf numFmtId="0" fontId="5" fillId="13" borderId="0" xfId="0" applyFont="1" applyFill="1" applyBorder="1" applyAlignment="1">
      <alignment horizontal="left" vertical="center"/>
    </xf>
    <xf numFmtId="49" fontId="5" fillId="0" borderId="0" xfId="0" applyNumberFormat="1" applyFont="1" applyBorder="1" applyAlignment="1">
      <alignment horizontal="left" vertical="center"/>
    </xf>
    <xf numFmtId="0" fontId="9" fillId="0" borderId="0" xfId="0" applyFont="1" applyBorder="1"/>
    <xf numFmtId="0" fontId="10" fillId="0" borderId="1" xfId="0" applyFont="1" applyAlignment="1">
      <alignment horizontal="left"/>
    </xf>
    <xf numFmtId="0" fontId="10" fillId="0" borderId="1" xfId="0" applyFont="1" applyBorder="1" applyAlignment="1">
      <alignment horizontal="left" vertical="center"/>
    </xf>
    <xf numFmtId="17" fontId="10" fillId="0" borderId="1" xfId="0" quotePrefix="1" applyNumberFormat="1" applyFont="1" applyAlignment="1">
      <alignment horizontal="left"/>
    </xf>
    <xf numFmtId="0" fontId="10" fillId="0" borderId="1" xfId="0" applyNumberFormat="1" applyFont="1" applyAlignment="1">
      <alignment horizontal="left"/>
    </xf>
    <xf numFmtId="0" fontId="12" fillId="0" borderId="1" xfId="7" applyFont="1" applyAlignment="1" applyProtection="1">
      <alignment horizontal="left"/>
    </xf>
  </cellXfs>
  <cellStyles count="8">
    <cellStyle name="Comma" xfId="4"/>
    <cellStyle name="Comma [0]" xfId="5"/>
    <cellStyle name="Currency" xfId="2"/>
    <cellStyle name="Currency [0]" xfId="3"/>
    <cellStyle name="Hyperlink" xfId="7" builtinId="8"/>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s.mckesson.com/product/872893/Medtronic-MITG-SYM25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18"/>
  <sheetViews>
    <sheetView tabSelected="1" workbookViewId="0"/>
  </sheetViews>
  <sheetFormatPr defaultColWidth="9.1328125" defaultRowHeight="12.25" x14ac:dyDescent="0.65"/>
  <cols>
    <col min="1" max="1" width="14.26953125" style="1" customWidth="1"/>
    <col min="2" max="2" width="9.86328125" style="1" customWidth="1"/>
    <col min="3" max="3" width="8.26953125" style="1" customWidth="1"/>
    <col min="4" max="4" width="12.86328125" style="1" customWidth="1"/>
    <col min="5" max="5" width="14.86328125" style="1" customWidth="1"/>
    <col min="6" max="6" width="23.86328125" style="1" customWidth="1"/>
    <col min="7" max="7" width="49.86328125" style="1" customWidth="1"/>
    <col min="8" max="8" width="8.40625" style="1" customWidth="1"/>
    <col min="9" max="9" width="13" style="1" customWidth="1"/>
    <col min="10" max="10" width="9.86328125" style="1" customWidth="1"/>
    <col min="11" max="11" width="13.7265625" style="1" customWidth="1"/>
    <col min="12" max="12" width="8.54296875" style="1" customWidth="1"/>
    <col min="13" max="13" width="8.7265625" style="1" customWidth="1"/>
    <col min="14" max="14" width="13.26953125" style="1" customWidth="1"/>
    <col min="15" max="15" width="12.26953125" style="1" customWidth="1"/>
    <col min="16" max="16" width="10.1328125" style="1" customWidth="1"/>
    <col min="17" max="17" width="13.54296875" style="1" customWidth="1"/>
    <col min="18" max="18" width="11.1328125" style="1" customWidth="1"/>
    <col min="19" max="19" width="5.7265625" style="1" customWidth="1"/>
    <col min="20" max="20" width="8.1328125" style="1" customWidth="1"/>
    <col min="21" max="21" width="9.7265625" style="1" customWidth="1"/>
    <col min="22" max="22" width="29.7265625" style="1" customWidth="1"/>
    <col min="23" max="23" width="15.26953125" style="1" customWidth="1"/>
    <col min="24" max="24" width="29.86328125" style="1" customWidth="1"/>
    <col min="25" max="25" width="18.1328125" style="1" customWidth="1"/>
    <col min="26" max="26" width="17.40625" style="1" customWidth="1"/>
    <col min="27" max="27" width="15.26953125" style="1" customWidth="1"/>
    <col min="28" max="28" width="16.54296875" style="1" customWidth="1"/>
    <col min="29" max="29" width="9.40625" style="1" customWidth="1"/>
    <col min="30" max="30" width="7.26953125" style="1" customWidth="1"/>
    <col min="31" max="31" width="5.54296875" style="1" customWidth="1"/>
    <col min="32" max="32" width="5.86328125" style="1" customWidth="1"/>
    <col min="33" max="33" width="33.86328125" style="1" customWidth="1"/>
    <col min="34" max="34" width="26.40625" style="1" customWidth="1"/>
    <col min="35" max="35" width="26.26953125" style="1" customWidth="1"/>
    <col min="36" max="37" width="25.54296875" style="1" customWidth="1"/>
    <col min="38" max="38" width="22.86328125" style="1" customWidth="1"/>
    <col min="39" max="39" width="28.7265625" style="1" customWidth="1"/>
    <col min="40" max="40" width="22.86328125" style="1" customWidth="1"/>
    <col min="41" max="41" width="28.7265625" style="1" customWidth="1"/>
    <col min="42" max="42" width="22.86328125" style="1" customWidth="1"/>
    <col min="43" max="43" width="28.7265625" style="1" customWidth="1"/>
    <col min="44" max="44" width="22.86328125" style="1" customWidth="1"/>
    <col min="45" max="45" width="28.7265625" style="1" customWidth="1"/>
    <col min="46" max="46" width="20" style="1" customWidth="1"/>
    <col min="47" max="48" width="16.26953125" style="1" customWidth="1"/>
    <col min="49" max="50" width="14.7265625" style="1" customWidth="1"/>
    <col min="51" max="51" width="16.26953125" style="1" customWidth="1"/>
    <col min="52" max="52" width="99.1328125" style="1" customWidth="1"/>
    <col min="53" max="53" width="33.40625" style="1" customWidth="1"/>
    <col min="54" max="54" width="255.7265625" style="1" customWidth="1"/>
    <col min="55" max="55" width="13.86328125" style="1" customWidth="1"/>
    <col min="56" max="56" width="20" style="1" customWidth="1"/>
    <col min="57" max="57" width="22.54296875" style="1" customWidth="1"/>
    <col min="58" max="58" width="14.7265625" style="1" customWidth="1"/>
    <col min="59" max="59" width="16.86328125" style="1" customWidth="1"/>
    <col min="60" max="60" width="7.54296875" style="1" customWidth="1"/>
    <col min="61" max="61" width="15.1328125" style="1" customWidth="1"/>
    <col min="62" max="62" width="9.86328125" style="1" customWidth="1"/>
    <col min="63" max="63" width="14.7265625" style="1" customWidth="1"/>
    <col min="64" max="64" width="16.1328125" style="1" customWidth="1"/>
    <col min="65" max="65" width="9" style="1" customWidth="1"/>
    <col min="66" max="66" width="18.40625" style="1" customWidth="1"/>
    <col min="67" max="67" width="29" style="1" customWidth="1"/>
    <col min="68" max="68" width="5.7265625" style="1" customWidth="1"/>
    <col min="69" max="69" width="18.40625" style="1" customWidth="1"/>
    <col min="70" max="70" width="20.1328125" style="1" customWidth="1"/>
    <col min="71" max="71" width="10.40625" style="1" customWidth="1"/>
    <col min="72" max="72" width="12.86328125" style="1" customWidth="1"/>
    <col min="73" max="73" width="5" style="1" customWidth="1"/>
    <col min="74" max="74" width="6.40625" style="1" customWidth="1"/>
    <col min="75" max="75" width="12.54296875" style="1" customWidth="1"/>
    <col min="76" max="76" width="8.86328125" style="1" customWidth="1"/>
    <col min="77" max="77" width="14.26953125" style="1" customWidth="1"/>
    <col min="78" max="78" width="11.40625" style="1" customWidth="1"/>
    <col min="79" max="79" width="16.7265625" style="1" customWidth="1"/>
    <col min="80" max="80" width="15" style="1" customWidth="1"/>
    <col min="81" max="81" width="5.1328125" style="1" customWidth="1"/>
    <col min="82" max="82" width="10.54296875" style="1" customWidth="1"/>
    <col min="83" max="83" width="10.7265625" style="1" customWidth="1"/>
    <col min="84" max="84" width="35.7265625" style="1" customWidth="1"/>
    <col min="85" max="85" width="41.54296875" style="1" customWidth="1"/>
    <col min="86" max="86" width="38.1328125" style="1" customWidth="1"/>
    <col min="87" max="87" width="43.7265625" style="1" customWidth="1"/>
    <col min="88" max="88" width="14.86328125" style="1" customWidth="1"/>
    <col min="89" max="89" width="20.26953125" style="1" customWidth="1"/>
    <col min="90" max="90" width="13.40625" style="1" customWidth="1"/>
    <col min="91" max="91" width="8.7265625" style="1" customWidth="1"/>
    <col min="92" max="92" width="14.1328125" style="1" customWidth="1"/>
    <col min="93" max="93" width="8.7265625" style="1" customWidth="1"/>
    <col min="94" max="94" width="14.1328125" style="1" customWidth="1"/>
    <col min="95" max="95" width="6.26953125" style="1" customWidth="1"/>
    <col min="96" max="96" width="9.1328125" style="1" customWidth="1"/>
    <col min="97" max="97" width="14.7265625" style="1" customWidth="1"/>
    <col min="98" max="98" width="7.26953125" style="1" customWidth="1"/>
    <col min="99" max="99" width="6.40625" style="1" customWidth="1"/>
    <col min="100" max="100" width="10.40625" style="1" customWidth="1"/>
    <col min="101" max="101" width="33.40625" style="1" customWidth="1"/>
    <col min="102" max="102" width="13" style="1" customWidth="1"/>
    <col min="103" max="103" width="5.1328125" style="1" customWidth="1"/>
    <col min="104" max="104" width="17.1328125" style="1" customWidth="1"/>
    <col min="105" max="105" width="18.86328125" style="1" customWidth="1"/>
    <col min="106" max="106" width="18" style="1" customWidth="1"/>
    <col min="107" max="107" width="8.86328125" style="1" customWidth="1"/>
    <col min="108" max="108" width="19.26953125" style="1" customWidth="1"/>
    <col min="109" max="109" width="34.40625" style="1" customWidth="1"/>
    <col min="110" max="110" width="19.86328125" style="1" customWidth="1"/>
    <col min="111" max="111" width="18.54296875" style="1" customWidth="1"/>
    <col min="112" max="112" width="9.1328125" style="1" customWidth="1"/>
    <col min="113" max="16384" width="9.1328125" style="1"/>
  </cols>
  <sheetData>
    <row r="1" spans="1:111" ht="12" customHeight="1" x14ac:dyDescent="0.75">
      <c r="A1" s="2" t="s">
        <v>64</v>
      </c>
      <c r="B1" s="3" t="s">
        <v>35</v>
      </c>
      <c r="C1" s="2" t="s">
        <v>118</v>
      </c>
      <c r="D1" s="2" t="s">
        <v>276</v>
      </c>
      <c r="E1" s="4" t="s">
        <v>78</v>
      </c>
      <c r="F1" s="4" t="s">
        <v>233</v>
      </c>
      <c r="G1" s="4" t="s">
        <v>163</v>
      </c>
      <c r="H1" s="2" t="s">
        <v>146</v>
      </c>
      <c r="I1" s="2" t="s">
        <v>250</v>
      </c>
      <c r="J1" s="2" t="s">
        <v>43</v>
      </c>
      <c r="K1" s="2" t="s">
        <v>149</v>
      </c>
      <c r="L1" s="2" t="s">
        <v>31</v>
      </c>
      <c r="M1" s="2" t="s">
        <v>164</v>
      </c>
      <c r="N1" s="2" t="s">
        <v>100</v>
      </c>
      <c r="O1" s="2" t="s">
        <v>16</v>
      </c>
      <c r="P1" s="2" t="s">
        <v>90</v>
      </c>
      <c r="Q1" s="2" t="s">
        <v>74</v>
      </c>
      <c r="R1" s="2" t="s">
        <v>72</v>
      </c>
      <c r="S1" s="5" t="s">
        <v>96</v>
      </c>
      <c r="T1" s="6" t="s">
        <v>12</v>
      </c>
      <c r="U1" s="6" t="s">
        <v>213</v>
      </c>
      <c r="V1" s="6" t="s">
        <v>137</v>
      </c>
      <c r="W1" s="6" t="s">
        <v>46</v>
      </c>
      <c r="X1" s="6" t="s">
        <v>130</v>
      </c>
      <c r="Y1" s="6" t="s">
        <v>30</v>
      </c>
      <c r="Z1" s="5" t="s">
        <v>182</v>
      </c>
      <c r="AA1" s="6" t="s">
        <v>97</v>
      </c>
      <c r="AB1" s="5" t="s">
        <v>113</v>
      </c>
      <c r="AC1" s="7" t="s">
        <v>232</v>
      </c>
      <c r="AD1" s="7" t="s">
        <v>4</v>
      </c>
      <c r="AE1" s="7" t="s">
        <v>94</v>
      </c>
      <c r="AF1" s="7" t="s">
        <v>169</v>
      </c>
      <c r="AG1" s="6" t="s">
        <v>143</v>
      </c>
      <c r="AH1" s="8" t="s">
        <v>142</v>
      </c>
      <c r="AI1" s="9" t="s">
        <v>224</v>
      </c>
      <c r="AJ1" s="10" t="s">
        <v>45</v>
      </c>
      <c r="AK1" s="10" t="s">
        <v>101</v>
      </c>
      <c r="AL1" s="6" t="s">
        <v>91</v>
      </c>
      <c r="AM1" s="6" t="s">
        <v>50</v>
      </c>
      <c r="AN1" s="6" t="s">
        <v>251</v>
      </c>
      <c r="AO1" s="6" t="s">
        <v>53</v>
      </c>
      <c r="AP1" s="6" t="s">
        <v>40</v>
      </c>
      <c r="AQ1" s="6" t="s">
        <v>52</v>
      </c>
      <c r="AR1" s="6" t="s">
        <v>228</v>
      </c>
      <c r="AS1" s="6" t="s">
        <v>54</v>
      </c>
      <c r="AT1" s="11" t="s">
        <v>105</v>
      </c>
      <c r="AU1" s="11" t="s">
        <v>264</v>
      </c>
      <c r="AV1" s="11" t="s">
        <v>225</v>
      </c>
      <c r="AW1" s="11" t="s">
        <v>209</v>
      </c>
      <c r="AX1" s="11" t="s">
        <v>119</v>
      </c>
      <c r="AY1" s="11" t="s">
        <v>51</v>
      </c>
      <c r="AZ1" s="11" t="s">
        <v>267</v>
      </c>
      <c r="BA1" s="11" t="s">
        <v>266</v>
      </c>
      <c r="BB1" s="11" t="s">
        <v>139</v>
      </c>
      <c r="BC1" s="11" t="s">
        <v>252</v>
      </c>
      <c r="BD1" s="11" t="s">
        <v>28</v>
      </c>
      <c r="BE1" s="11" t="s">
        <v>206</v>
      </c>
      <c r="BF1" s="11" t="s">
        <v>34</v>
      </c>
      <c r="BG1" s="11" t="s">
        <v>151</v>
      </c>
      <c r="BH1" s="11" t="s">
        <v>13</v>
      </c>
      <c r="BI1" s="12" t="s">
        <v>212</v>
      </c>
      <c r="BJ1" s="12" t="s">
        <v>21</v>
      </c>
      <c r="BK1" s="12" t="s">
        <v>42</v>
      </c>
      <c r="BL1" s="5" t="s">
        <v>55</v>
      </c>
      <c r="BM1" s="13" t="s">
        <v>22</v>
      </c>
      <c r="BN1" s="13" t="s">
        <v>279</v>
      </c>
      <c r="BO1" s="14" t="s">
        <v>181</v>
      </c>
      <c r="BP1" s="14" t="s">
        <v>234</v>
      </c>
      <c r="BQ1" s="5" t="s">
        <v>57</v>
      </c>
      <c r="BR1" s="5" t="s">
        <v>176</v>
      </c>
      <c r="BS1" s="5" t="s">
        <v>241</v>
      </c>
      <c r="BT1" s="5" t="s">
        <v>37</v>
      </c>
      <c r="BU1" s="14" t="s">
        <v>115</v>
      </c>
      <c r="BV1" s="15" t="s">
        <v>230</v>
      </c>
      <c r="BW1" s="16" t="s">
        <v>211</v>
      </c>
      <c r="BX1" s="15" t="s">
        <v>126</v>
      </c>
      <c r="BY1" s="16" t="s">
        <v>187</v>
      </c>
      <c r="BZ1" s="15" t="s">
        <v>222</v>
      </c>
      <c r="CA1" s="16" t="s">
        <v>200</v>
      </c>
      <c r="CB1" s="16" t="s">
        <v>145</v>
      </c>
      <c r="CC1" s="15" t="s">
        <v>175</v>
      </c>
      <c r="CD1" s="16" t="s">
        <v>14</v>
      </c>
      <c r="CE1" s="16" t="s">
        <v>235</v>
      </c>
      <c r="CF1" s="15" t="s">
        <v>41</v>
      </c>
      <c r="CG1" s="16" t="s">
        <v>154</v>
      </c>
      <c r="CH1" s="15" t="s">
        <v>245</v>
      </c>
      <c r="CI1" s="16" t="s">
        <v>133</v>
      </c>
      <c r="CJ1" s="15" t="s">
        <v>81</v>
      </c>
      <c r="CK1" s="16" t="s">
        <v>68</v>
      </c>
      <c r="CL1" s="16" t="s">
        <v>229</v>
      </c>
      <c r="CM1" s="15" t="s">
        <v>29</v>
      </c>
      <c r="CN1" s="16" t="s">
        <v>184</v>
      </c>
      <c r="CO1" s="15" t="s">
        <v>23</v>
      </c>
      <c r="CP1" s="16" t="s">
        <v>77</v>
      </c>
      <c r="CQ1" s="15" t="s">
        <v>192</v>
      </c>
      <c r="CR1" s="15" t="s">
        <v>246</v>
      </c>
      <c r="CS1" s="16" t="s">
        <v>247</v>
      </c>
      <c r="CT1" s="15" t="s">
        <v>9</v>
      </c>
      <c r="CU1" s="15" t="s">
        <v>60</v>
      </c>
      <c r="CV1" s="15" t="s">
        <v>147</v>
      </c>
      <c r="CW1" s="16" t="s">
        <v>269</v>
      </c>
      <c r="CX1" s="15" t="s">
        <v>262</v>
      </c>
      <c r="CY1" s="17" t="s">
        <v>65</v>
      </c>
      <c r="CZ1" s="18" t="s">
        <v>85</v>
      </c>
      <c r="DA1" s="18" t="s">
        <v>48</v>
      </c>
      <c r="DB1" s="18" t="s">
        <v>155</v>
      </c>
      <c r="DC1" s="19" t="s">
        <v>82</v>
      </c>
      <c r="DD1" s="19" t="s">
        <v>15</v>
      </c>
      <c r="DE1" s="19" t="s">
        <v>275</v>
      </c>
      <c r="DF1" s="1" t="s">
        <v>177</v>
      </c>
      <c r="DG1" s="1" t="s">
        <v>261</v>
      </c>
    </row>
    <row r="2" spans="1:111" ht="12" customHeight="1" x14ac:dyDescent="0.75">
      <c r="A2" t="s">
        <v>102</v>
      </c>
      <c r="B2" t="s">
        <v>268</v>
      </c>
      <c r="C2" t="s">
        <v>92</v>
      </c>
      <c r="D2" t="s">
        <v>526</v>
      </c>
      <c r="E2" t="s">
        <v>92</v>
      </c>
      <c r="F2" t="s">
        <v>526</v>
      </c>
      <c r="G2" s="20" t="s">
        <v>56</v>
      </c>
      <c r="H2"/>
      <c r="I2"/>
      <c r="J2"/>
      <c r="K2"/>
      <c r="L2"/>
      <c r="M2"/>
      <c r="N2"/>
      <c r="O2"/>
      <c r="P2"/>
      <c r="Q2"/>
      <c r="R2"/>
      <c r="S2">
        <v>1</v>
      </c>
      <c r="T2" t="s">
        <v>80</v>
      </c>
      <c r="U2" t="s">
        <v>10</v>
      </c>
      <c r="V2" t="s">
        <v>117</v>
      </c>
      <c r="W2" t="s">
        <v>19</v>
      </c>
      <c r="X2" t="s">
        <v>117</v>
      </c>
      <c r="Y2" t="s">
        <v>108</v>
      </c>
      <c r="Z2" s="21" t="s">
        <v>280</v>
      </c>
      <c r="AA2" t="s">
        <v>19</v>
      </c>
      <c r="AB2" s="21" t="s">
        <v>19</v>
      </c>
      <c r="AC2" s="21" t="s">
        <v>117</v>
      </c>
      <c r="AD2" s="21" t="s">
        <v>19</v>
      </c>
      <c r="AE2" s="21" t="s">
        <v>290</v>
      </c>
      <c r="AF2" s="21" t="s">
        <v>291</v>
      </c>
      <c r="AG2" t="s">
        <v>242</v>
      </c>
      <c r="AH2" t="s">
        <v>107</v>
      </c>
      <c r="AI2" t="s">
        <v>203</v>
      </c>
      <c r="AJ2" t="s">
        <v>201</v>
      </c>
      <c r="AK2" t="s">
        <v>108</v>
      </c>
      <c r="AL2" t="s">
        <v>172</v>
      </c>
      <c r="AM2" t="s">
        <v>256</v>
      </c>
      <c r="AN2" t="s">
        <v>167</v>
      </c>
      <c r="AO2" t="s">
        <v>260</v>
      </c>
      <c r="AP2" t="s">
        <v>108</v>
      </c>
      <c r="AQ2" t="s">
        <v>255</v>
      </c>
      <c r="AR2" t="s">
        <v>108</v>
      </c>
      <c r="AS2" t="s">
        <v>255</v>
      </c>
      <c r="AT2" t="s">
        <v>191</v>
      </c>
      <c r="AU2" t="s">
        <v>108</v>
      </c>
      <c r="AV2" t="s">
        <v>108</v>
      </c>
      <c r="AW2" t="s">
        <v>108</v>
      </c>
      <c r="AX2" t="s">
        <v>108</v>
      </c>
      <c r="AY2" t="s">
        <v>108</v>
      </c>
      <c r="AZ2" t="s">
        <v>108</v>
      </c>
      <c r="BA2" t="s">
        <v>108</v>
      </c>
      <c r="BB2" t="s">
        <v>108</v>
      </c>
      <c r="BC2" t="s">
        <v>108</v>
      </c>
      <c r="BD2" t="s">
        <v>108</v>
      </c>
      <c r="BE2" t="s">
        <v>108</v>
      </c>
      <c r="BF2" t="s">
        <v>108</v>
      </c>
      <c r="BG2" t="s">
        <v>108</v>
      </c>
      <c r="BH2" t="s">
        <v>108</v>
      </c>
      <c r="BI2" t="s">
        <v>108</v>
      </c>
      <c r="BJ2" t="s">
        <v>108</v>
      </c>
      <c r="BK2" t="s">
        <v>108</v>
      </c>
      <c r="BL2" s="22" t="s">
        <v>315</v>
      </c>
      <c r="BM2" s="21"/>
      <c r="BN2" s="21"/>
      <c r="BO2" s="21" t="s">
        <v>242</v>
      </c>
      <c r="BP2"/>
      <c r="BQ2" s="21" t="s">
        <v>341</v>
      </c>
      <c r="BR2" s="21" t="s">
        <v>342</v>
      </c>
      <c r="BS2" t="s">
        <v>343</v>
      </c>
      <c r="BT2" t="s">
        <v>344</v>
      </c>
      <c r="BU2" s="21">
        <f>LEN(SUBSTITUTE(BT2, ", ",","))</f>
        <v>29</v>
      </c>
      <c r="BV2" s="21" t="s">
        <v>345</v>
      </c>
      <c r="BW2" s="21" t="s">
        <v>346</v>
      </c>
      <c r="BX2" s="21" t="s">
        <v>347</v>
      </c>
      <c r="BY2" s="21"/>
      <c r="BZ2" s="21"/>
      <c r="CA2" s="21"/>
      <c r="CB2" s="21" t="s">
        <v>348</v>
      </c>
      <c r="CC2" s="21"/>
      <c r="CD2" s="21"/>
      <c r="CE2" s="21"/>
      <c r="CF2" s="21"/>
      <c r="CG2" s="21"/>
      <c r="CH2" s="21"/>
      <c r="CI2" s="21"/>
      <c r="CJ2" s="21"/>
      <c r="CK2" s="21"/>
      <c r="CL2" s="21"/>
      <c r="CM2" s="21"/>
      <c r="CN2" s="21"/>
      <c r="CO2" s="21"/>
      <c r="CP2" s="21"/>
      <c r="CQ2" s="21"/>
      <c r="CR2" s="21" t="s">
        <v>348</v>
      </c>
      <c r="CS2" s="21"/>
      <c r="CT2" s="21"/>
      <c r="CU2" s="21"/>
      <c r="CV2" s="21"/>
      <c r="CW2" s="21"/>
      <c r="CX2" s="21"/>
      <c r="CY2" s="21" t="s">
        <v>349</v>
      </c>
      <c r="CZ2" s="21"/>
      <c r="DA2" s="21"/>
      <c r="DB2" s="21"/>
      <c r="DC2"/>
      <c r="DD2"/>
      <c r="DE2"/>
      <c r="DF2" s="1" t="s">
        <v>525</v>
      </c>
      <c r="DG2" s="1" t="s">
        <v>525</v>
      </c>
    </row>
    <row r="3" spans="1:111" ht="12" customHeight="1" x14ac:dyDescent="0.75">
      <c r="A3" t="s">
        <v>102</v>
      </c>
      <c r="B3" t="s">
        <v>268</v>
      </c>
      <c r="C3" t="s">
        <v>92</v>
      </c>
      <c r="D3" t="s">
        <v>526</v>
      </c>
      <c r="E3" t="s">
        <v>92</v>
      </c>
      <c r="F3" t="s">
        <v>526</v>
      </c>
      <c r="G3" s="20" t="s">
        <v>56</v>
      </c>
      <c r="H3"/>
      <c r="I3"/>
      <c r="J3"/>
      <c r="K3"/>
      <c r="L3"/>
      <c r="M3"/>
      <c r="N3"/>
      <c r="O3"/>
      <c r="P3"/>
      <c r="Q3"/>
      <c r="R3"/>
      <c r="S3">
        <v>2</v>
      </c>
      <c r="T3" t="s">
        <v>257</v>
      </c>
      <c r="U3" t="s">
        <v>180</v>
      </c>
      <c r="V3" t="s">
        <v>7</v>
      </c>
      <c r="W3" t="s">
        <v>265</v>
      </c>
      <c r="X3" t="s">
        <v>270</v>
      </c>
      <c r="Y3" t="s">
        <v>108</v>
      </c>
      <c r="Z3" s="21" t="s">
        <v>7</v>
      </c>
      <c r="AA3" t="s">
        <v>265</v>
      </c>
      <c r="AB3" s="21" t="s">
        <v>265</v>
      </c>
      <c r="AC3" s="21" t="s">
        <v>188</v>
      </c>
      <c r="AD3" s="21" t="s">
        <v>265</v>
      </c>
      <c r="AE3" s="21" t="s">
        <v>265</v>
      </c>
      <c r="AF3" s="21" t="s">
        <v>292</v>
      </c>
      <c r="AG3" t="s">
        <v>278</v>
      </c>
      <c r="AH3" t="s">
        <v>112</v>
      </c>
      <c r="AI3" t="s">
        <v>203</v>
      </c>
      <c r="AJ3" t="s">
        <v>258</v>
      </c>
      <c r="AK3" t="s">
        <v>108</v>
      </c>
      <c r="AL3" t="s">
        <v>172</v>
      </c>
      <c r="AM3" t="s">
        <v>256</v>
      </c>
      <c r="AN3" t="s">
        <v>59</v>
      </c>
      <c r="AO3" t="s">
        <v>223</v>
      </c>
      <c r="AP3" t="s">
        <v>108</v>
      </c>
      <c r="AQ3" t="s">
        <v>255</v>
      </c>
      <c r="AR3" t="s">
        <v>108</v>
      </c>
      <c r="AS3" t="s">
        <v>255</v>
      </c>
      <c r="AT3" t="s">
        <v>204</v>
      </c>
      <c r="AU3" t="s">
        <v>108</v>
      </c>
      <c r="AV3" t="s">
        <v>108</v>
      </c>
      <c r="AW3" t="s">
        <v>108</v>
      </c>
      <c r="AX3" t="s">
        <v>108</v>
      </c>
      <c r="AY3" t="s">
        <v>108</v>
      </c>
      <c r="AZ3" t="s">
        <v>108</v>
      </c>
      <c r="BA3" t="s">
        <v>108</v>
      </c>
      <c r="BB3" t="s">
        <v>108</v>
      </c>
      <c r="BC3" t="s">
        <v>108</v>
      </c>
      <c r="BD3" t="s">
        <v>108</v>
      </c>
      <c r="BE3" t="s">
        <v>108</v>
      </c>
      <c r="BF3" t="s">
        <v>108</v>
      </c>
      <c r="BG3" t="s">
        <v>108</v>
      </c>
      <c r="BH3" t="s">
        <v>108</v>
      </c>
      <c r="BI3" t="s">
        <v>109</v>
      </c>
      <c r="BJ3" t="s">
        <v>108</v>
      </c>
      <c r="BK3" t="s">
        <v>108</v>
      </c>
      <c r="BL3" s="22" t="s">
        <v>316</v>
      </c>
      <c r="BM3" s="21"/>
      <c r="BN3" s="21"/>
      <c r="BO3" s="21" t="s">
        <v>325</v>
      </c>
      <c r="BP3"/>
      <c r="BQ3" s="21" t="s">
        <v>350</v>
      </c>
      <c r="BR3" s="21" t="s">
        <v>351</v>
      </c>
      <c r="BS3" t="s">
        <v>352</v>
      </c>
      <c r="BT3" t="s">
        <v>353</v>
      </c>
      <c r="BU3" s="21">
        <f t="shared" ref="BU3:BU18" si="0">LEN(SUBSTITUTE(BT3, ", ",","))</f>
        <v>28</v>
      </c>
      <c r="BV3" s="21" t="s">
        <v>354</v>
      </c>
      <c r="BW3" s="21" t="s">
        <v>354</v>
      </c>
      <c r="BX3" s="21" t="s">
        <v>355</v>
      </c>
      <c r="BY3" s="21" t="s">
        <v>355</v>
      </c>
      <c r="BZ3" s="21"/>
      <c r="CA3" s="21"/>
      <c r="CB3" s="21" t="s">
        <v>356</v>
      </c>
      <c r="CC3" s="21"/>
      <c r="CD3" s="21"/>
      <c r="CE3" s="21"/>
      <c r="CF3" s="21" t="s">
        <v>357</v>
      </c>
      <c r="CG3" s="21" t="s">
        <v>358</v>
      </c>
      <c r="CH3" s="21"/>
      <c r="CI3" s="21"/>
      <c r="CJ3" s="21"/>
      <c r="CK3" s="21"/>
      <c r="CL3" s="21"/>
      <c r="CM3" s="21" t="s">
        <v>359</v>
      </c>
      <c r="CN3" s="21" t="s">
        <v>359</v>
      </c>
      <c r="CO3" s="21"/>
      <c r="CP3" s="21"/>
      <c r="CQ3" s="21"/>
      <c r="CR3" s="21" t="s">
        <v>360</v>
      </c>
      <c r="CS3" s="21" t="s">
        <v>361</v>
      </c>
      <c r="CT3" s="21"/>
      <c r="CU3" s="21" t="s">
        <v>362</v>
      </c>
      <c r="CV3" s="21" t="s">
        <v>363</v>
      </c>
      <c r="CW3" s="21"/>
      <c r="CX3" s="21"/>
      <c r="CY3" s="21" t="s">
        <v>364</v>
      </c>
      <c r="CZ3" s="21"/>
      <c r="DA3" s="21"/>
      <c r="DB3" s="21"/>
      <c r="DC3"/>
      <c r="DD3"/>
      <c r="DE3"/>
      <c r="DF3" s="1" t="s">
        <v>525</v>
      </c>
      <c r="DG3" s="1" t="s">
        <v>525</v>
      </c>
    </row>
    <row r="4" spans="1:111" ht="12" customHeight="1" x14ac:dyDescent="0.75">
      <c r="A4" t="s">
        <v>102</v>
      </c>
      <c r="B4" t="s">
        <v>268</v>
      </c>
      <c r="C4" t="s">
        <v>92</v>
      </c>
      <c r="D4" t="s">
        <v>526</v>
      </c>
      <c r="E4" t="s">
        <v>92</v>
      </c>
      <c r="F4" t="s">
        <v>526</v>
      </c>
      <c r="G4" s="20" t="s">
        <v>56</v>
      </c>
      <c r="H4"/>
      <c r="I4"/>
      <c r="J4"/>
      <c r="K4"/>
      <c r="L4"/>
      <c r="M4"/>
      <c r="N4"/>
      <c r="O4"/>
      <c r="P4"/>
      <c r="Q4"/>
      <c r="R4"/>
      <c r="S4">
        <v>5</v>
      </c>
      <c r="T4" t="s">
        <v>272</v>
      </c>
      <c r="U4" t="s">
        <v>180</v>
      </c>
      <c r="V4" t="s">
        <v>7</v>
      </c>
      <c r="W4" t="s">
        <v>219</v>
      </c>
      <c r="X4" t="s">
        <v>270</v>
      </c>
      <c r="Y4" t="s">
        <v>108</v>
      </c>
      <c r="Z4" s="21" t="s">
        <v>7</v>
      </c>
      <c r="AA4" t="s">
        <v>219</v>
      </c>
      <c r="AB4" s="21" t="s">
        <v>219</v>
      </c>
      <c r="AC4" s="21" t="s">
        <v>188</v>
      </c>
      <c r="AD4" s="21" t="s">
        <v>219</v>
      </c>
      <c r="AE4" s="21" t="s">
        <v>219</v>
      </c>
      <c r="AF4" s="21" t="s">
        <v>293</v>
      </c>
      <c r="AG4" t="s">
        <v>170</v>
      </c>
      <c r="AH4" t="s">
        <v>112</v>
      </c>
      <c r="AI4" t="s">
        <v>203</v>
      </c>
      <c r="AJ4" t="s">
        <v>258</v>
      </c>
      <c r="AK4" t="s">
        <v>108</v>
      </c>
      <c r="AL4" t="s">
        <v>172</v>
      </c>
      <c r="AM4" t="s">
        <v>256</v>
      </c>
      <c r="AN4" t="s">
        <v>59</v>
      </c>
      <c r="AO4" t="s">
        <v>223</v>
      </c>
      <c r="AP4" t="s">
        <v>108</v>
      </c>
      <c r="AQ4" t="s">
        <v>255</v>
      </c>
      <c r="AR4" t="s">
        <v>108</v>
      </c>
      <c r="AS4" t="s">
        <v>255</v>
      </c>
      <c r="AT4" t="s">
        <v>20</v>
      </c>
      <c r="AU4" t="s">
        <v>240</v>
      </c>
      <c r="AV4" t="s">
        <v>95</v>
      </c>
      <c r="AW4" t="s">
        <v>108</v>
      </c>
      <c r="AX4" t="s">
        <v>108</v>
      </c>
      <c r="AY4" t="s">
        <v>240</v>
      </c>
      <c r="AZ4" t="s">
        <v>24</v>
      </c>
      <c r="BA4" t="s">
        <v>231</v>
      </c>
      <c r="BB4" t="s">
        <v>87</v>
      </c>
      <c r="BC4" t="s">
        <v>121</v>
      </c>
      <c r="BD4" t="s">
        <v>108</v>
      </c>
      <c r="BE4" t="s">
        <v>161</v>
      </c>
      <c r="BF4" t="s">
        <v>161</v>
      </c>
      <c r="BG4" t="s">
        <v>238</v>
      </c>
      <c r="BH4" t="s">
        <v>161</v>
      </c>
      <c r="BI4" t="s">
        <v>75</v>
      </c>
      <c r="BJ4" t="s">
        <v>108</v>
      </c>
      <c r="BK4" t="s">
        <v>188</v>
      </c>
      <c r="BL4" s="22" t="s">
        <v>316</v>
      </c>
      <c r="BM4" s="21"/>
      <c r="BN4" s="21"/>
      <c r="BO4" s="21" t="s">
        <v>326</v>
      </c>
      <c r="BP4"/>
      <c r="BQ4" s="21" t="s">
        <v>365</v>
      </c>
      <c r="BR4" s="21" t="s">
        <v>366</v>
      </c>
      <c r="BS4" t="s">
        <v>367</v>
      </c>
      <c r="BT4" t="s">
        <v>368</v>
      </c>
      <c r="BU4" s="21">
        <f t="shared" si="0"/>
        <v>29</v>
      </c>
      <c r="BV4" s="21" t="s">
        <v>354</v>
      </c>
      <c r="BW4" s="21" t="s">
        <v>354</v>
      </c>
      <c r="BX4" s="21" t="s">
        <v>355</v>
      </c>
      <c r="BY4" s="21" t="s">
        <v>355</v>
      </c>
      <c r="BZ4" s="21"/>
      <c r="CA4" s="21"/>
      <c r="CB4" s="21" t="s">
        <v>356</v>
      </c>
      <c r="CC4" s="21"/>
      <c r="CD4" s="21"/>
      <c r="CE4" s="21"/>
      <c r="CF4" s="21" t="s">
        <v>369</v>
      </c>
      <c r="CG4" s="21" t="s">
        <v>370</v>
      </c>
      <c r="CH4" s="21"/>
      <c r="CI4" s="21"/>
      <c r="CJ4" s="21"/>
      <c r="CK4" s="21"/>
      <c r="CL4" s="21"/>
      <c r="CM4" s="21" t="s">
        <v>359</v>
      </c>
      <c r="CN4" s="21" t="s">
        <v>359</v>
      </c>
      <c r="CO4" s="21"/>
      <c r="CP4" s="21"/>
      <c r="CQ4" s="21"/>
      <c r="CR4" s="21" t="s">
        <v>360</v>
      </c>
      <c r="CS4" s="21" t="s">
        <v>361</v>
      </c>
      <c r="CT4" s="21" t="s">
        <v>371</v>
      </c>
      <c r="CU4" s="21" t="s">
        <v>362</v>
      </c>
      <c r="CV4" s="21" t="s">
        <v>363</v>
      </c>
      <c r="CW4" s="21"/>
      <c r="CX4" s="21"/>
      <c r="CY4" s="21" t="s">
        <v>372</v>
      </c>
      <c r="CZ4" s="21"/>
      <c r="DA4" s="21"/>
      <c r="DB4" s="21"/>
      <c r="DC4"/>
      <c r="DD4"/>
      <c r="DE4"/>
      <c r="DF4" s="1" t="s">
        <v>525</v>
      </c>
      <c r="DG4" s="1" t="s">
        <v>525</v>
      </c>
    </row>
    <row r="5" spans="1:111" ht="12" customHeight="1" x14ac:dyDescent="0.75">
      <c r="A5" t="s">
        <v>102</v>
      </c>
      <c r="B5" t="s">
        <v>268</v>
      </c>
      <c r="C5" t="s">
        <v>92</v>
      </c>
      <c r="D5" t="s">
        <v>526</v>
      </c>
      <c r="E5" t="s">
        <v>92</v>
      </c>
      <c r="F5" t="s">
        <v>526</v>
      </c>
      <c r="G5" s="20" t="s">
        <v>56</v>
      </c>
      <c r="H5"/>
      <c r="I5"/>
      <c r="J5"/>
      <c r="K5"/>
      <c r="L5"/>
      <c r="M5"/>
      <c r="N5"/>
      <c r="O5"/>
      <c r="P5"/>
      <c r="Q5"/>
      <c r="R5"/>
      <c r="S5">
        <v>6</v>
      </c>
      <c r="T5" t="s">
        <v>205</v>
      </c>
      <c r="U5" t="s">
        <v>159</v>
      </c>
      <c r="V5" t="s">
        <v>162</v>
      </c>
      <c r="W5" t="s">
        <v>156</v>
      </c>
      <c r="X5" t="s">
        <v>114</v>
      </c>
      <c r="Y5" t="s">
        <v>108</v>
      </c>
      <c r="Z5" s="21" t="s">
        <v>281</v>
      </c>
      <c r="AA5" t="s">
        <v>156</v>
      </c>
      <c r="AB5" s="21" t="s">
        <v>156</v>
      </c>
      <c r="AC5" s="21" t="s">
        <v>294</v>
      </c>
      <c r="AD5" s="21" t="s">
        <v>156</v>
      </c>
      <c r="AE5" s="21" t="s">
        <v>156</v>
      </c>
      <c r="AF5" s="21" t="s">
        <v>295</v>
      </c>
      <c r="AG5" t="s">
        <v>125</v>
      </c>
      <c r="AH5" t="s">
        <v>107</v>
      </c>
      <c r="AI5" t="s">
        <v>203</v>
      </c>
      <c r="AJ5" t="s">
        <v>144</v>
      </c>
      <c r="AK5" t="s">
        <v>108</v>
      </c>
      <c r="AL5" t="s">
        <v>172</v>
      </c>
      <c r="AM5" t="s">
        <v>256</v>
      </c>
      <c r="AN5" t="s">
        <v>167</v>
      </c>
      <c r="AO5" t="s">
        <v>260</v>
      </c>
      <c r="AP5" t="s">
        <v>108</v>
      </c>
      <c r="AQ5" t="s">
        <v>255</v>
      </c>
      <c r="AR5" t="s">
        <v>108</v>
      </c>
      <c r="AS5" t="s">
        <v>255</v>
      </c>
      <c r="AT5" t="s">
        <v>217</v>
      </c>
      <c r="AU5" t="s">
        <v>108</v>
      </c>
      <c r="AV5" t="s">
        <v>108</v>
      </c>
      <c r="AW5" t="s">
        <v>108</v>
      </c>
      <c r="AX5" t="s">
        <v>108</v>
      </c>
      <c r="AY5" t="s">
        <v>108</v>
      </c>
      <c r="AZ5" t="s">
        <v>108</v>
      </c>
      <c r="BA5" t="s">
        <v>108</v>
      </c>
      <c r="BB5" t="s">
        <v>108</v>
      </c>
      <c r="BC5" t="s">
        <v>108</v>
      </c>
      <c r="BD5" t="s">
        <v>108</v>
      </c>
      <c r="BE5" t="s">
        <v>108</v>
      </c>
      <c r="BF5" t="s">
        <v>108</v>
      </c>
      <c r="BG5" t="s">
        <v>108</v>
      </c>
      <c r="BH5" t="s">
        <v>108</v>
      </c>
      <c r="BI5" t="s">
        <v>32</v>
      </c>
      <c r="BJ5" t="s">
        <v>108</v>
      </c>
      <c r="BK5" t="s">
        <v>93</v>
      </c>
      <c r="BL5" s="22" t="s">
        <v>317</v>
      </c>
      <c r="BM5" s="21"/>
      <c r="BN5" s="21"/>
      <c r="BO5" s="21" t="s">
        <v>327</v>
      </c>
      <c r="BP5"/>
      <c r="BQ5" s="22" t="s">
        <v>373</v>
      </c>
      <c r="BR5" s="22" t="s">
        <v>374</v>
      </c>
      <c r="BS5" t="s">
        <v>375</v>
      </c>
      <c r="BT5" t="s">
        <v>376</v>
      </c>
      <c r="BU5" s="21">
        <f t="shared" si="0"/>
        <v>24</v>
      </c>
      <c r="BV5" s="22" t="s">
        <v>377</v>
      </c>
      <c r="BW5" s="22" t="s">
        <v>377</v>
      </c>
      <c r="BX5" s="22" t="s">
        <v>378</v>
      </c>
      <c r="BY5" s="22" t="s">
        <v>378</v>
      </c>
      <c r="BZ5" s="21" t="s">
        <v>93</v>
      </c>
      <c r="CA5" s="21" t="s">
        <v>93</v>
      </c>
      <c r="CB5" s="21" t="s">
        <v>379</v>
      </c>
      <c r="CC5" s="21"/>
      <c r="CD5" s="21"/>
      <c r="CE5" s="21"/>
      <c r="CF5" s="21" t="s">
        <v>380</v>
      </c>
      <c r="CG5" s="21"/>
      <c r="CH5" s="21"/>
      <c r="CI5" s="21"/>
      <c r="CJ5" s="21"/>
      <c r="CK5" s="21"/>
      <c r="CL5" s="21"/>
      <c r="CM5" s="21"/>
      <c r="CN5" s="21"/>
      <c r="CO5" s="21"/>
      <c r="CP5" s="21"/>
      <c r="CQ5" s="21"/>
      <c r="CR5" s="21" t="s">
        <v>381</v>
      </c>
      <c r="CS5" s="21" t="s">
        <v>382</v>
      </c>
      <c r="CT5" s="21"/>
      <c r="CU5" s="21"/>
      <c r="CV5" s="21" t="s">
        <v>363</v>
      </c>
      <c r="CW5" s="21"/>
      <c r="CX5" s="21" t="s">
        <v>383</v>
      </c>
      <c r="CY5" s="21" t="s">
        <v>384</v>
      </c>
      <c r="CZ5" s="21"/>
      <c r="DA5" s="21"/>
      <c r="DB5" s="21"/>
      <c r="DC5"/>
      <c r="DD5"/>
      <c r="DE5"/>
      <c r="DF5" s="1" t="s">
        <v>525</v>
      </c>
      <c r="DG5" s="1" t="s">
        <v>525</v>
      </c>
    </row>
    <row r="6" spans="1:111" ht="12" customHeight="1" x14ac:dyDescent="0.75">
      <c r="A6" t="s">
        <v>102</v>
      </c>
      <c r="B6" t="s">
        <v>268</v>
      </c>
      <c r="C6" t="s">
        <v>92</v>
      </c>
      <c r="D6" t="s">
        <v>526</v>
      </c>
      <c r="E6" t="s">
        <v>92</v>
      </c>
      <c r="F6" t="s">
        <v>526</v>
      </c>
      <c r="G6" s="20" t="s">
        <v>56</v>
      </c>
      <c r="H6"/>
      <c r="I6"/>
      <c r="J6"/>
      <c r="K6"/>
      <c r="L6"/>
      <c r="M6"/>
      <c r="N6"/>
      <c r="O6"/>
      <c r="P6"/>
      <c r="Q6"/>
      <c r="R6"/>
      <c r="S6">
        <v>9</v>
      </c>
      <c r="T6" t="s">
        <v>8</v>
      </c>
      <c r="U6" t="s">
        <v>180</v>
      </c>
      <c r="V6" t="s">
        <v>7</v>
      </c>
      <c r="W6" t="s">
        <v>244</v>
      </c>
      <c r="X6" t="s">
        <v>270</v>
      </c>
      <c r="Y6" t="s">
        <v>108</v>
      </c>
      <c r="Z6" s="21" t="s">
        <v>7</v>
      </c>
      <c r="AA6" t="s">
        <v>244</v>
      </c>
      <c r="AB6" s="21" t="s">
        <v>244</v>
      </c>
      <c r="AC6" s="21" t="s">
        <v>188</v>
      </c>
      <c r="AD6" s="21" t="s">
        <v>244</v>
      </c>
      <c r="AE6" s="21" t="s">
        <v>244</v>
      </c>
      <c r="AF6" s="21" t="s">
        <v>296</v>
      </c>
      <c r="AG6" t="s">
        <v>165</v>
      </c>
      <c r="AH6" t="s">
        <v>112</v>
      </c>
      <c r="AI6" t="s">
        <v>203</v>
      </c>
      <c r="AJ6" t="s">
        <v>258</v>
      </c>
      <c r="AK6" t="s">
        <v>108</v>
      </c>
      <c r="AL6" t="s">
        <v>172</v>
      </c>
      <c r="AM6" t="s">
        <v>256</v>
      </c>
      <c r="AN6" t="s">
        <v>59</v>
      </c>
      <c r="AO6" t="s">
        <v>223</v>
      </c>
      <c r="AP6" t="s">
        <v>108</v>
      </c>
      <c r="AQ6" t="s">
        <v>255</v>
      </c>
      <c r="AR6" t="s">
        <v>108</v>
      </c>
      <c r="AS6" t="s">
        <v>255</v>
      </c>
      <c r="AT6" t="s">
        <v>237</v>
      </c>
      <c r="AU6" t="s">
        <v>44</v>
      </c>
      <c r="AV6" t="s">
        <v>171</v>
      </c>
      <c r="AW6" t="s">
        <v>108</v>
      </c>
      <c r="AX6" t="s">
        <v>108</v>
      </c>
      <c r="AY6" t="s">
        <v>44</v>
      </c>
      <c r="AZ6" t="s">
        <v>108</v>
      </c>
      <c r="BA6" t="s">
        <v>199</v>
      </c>
      <c r="BB6" t="s">
        <v>273</v>
      </c>
      <c r="BC6" t="s">
        <v>121</v>
      </c>
      <c r="BD6" t="s">
        <v>108</v>
      </c>
      <c r="BE6" t="s">
        <v>161</v>
      </c>
      <c r="BF6" t="s">
        <v>161</v>
      </c>
      <c r="BG6" t="s">
        <v>238</v>
      </c>
      <c r="BH6" t="s">
        <v>161</v>
      </c>
      <c r="BI6" t="s">
        <v>75</v>
      </c>
      <c r="BJ6" t="s">
        <v>108</v>
      </c>
      <c r="BK6" t="s">
        <v>188</v>
      </c>
      <c r="BL6" s="22" t="s">
        <v>316</v>
      </c>
      <c r="BM6" s="21"/>
      <c r="BN6" s="21"/>
      <c r="BO6" s="21" t="s">
        <v>328</v>
      </c>
      <c r="BP6"/>
      <c r="BQ6" s="21" t="s">
        <v>385</v>
      </c>
      <c r="BR6" s="21" t="s">
        <v>386</v>
      </c>
      <c r="BS6" t="s">
        <v>387</v>
      </c>
      <c r="BT6" t="s">
        <v>388</v>
      </c>
      <c r="BU6" s="21">
        <f t="shared" si="0"/>
        <v>29</v>
      </c>
      <c r="BV6" s="21" t="s">
        <v>354</v>
      </c>
      <c r="BW6" s="21" t="s">
        <v>354</v>
      </c>
      <c r="BX6" s="21" t="s">
        <v>355</v>
      </c>
      <c r="BY6" s="21" t="s">
        <v>355</v>
      </c>
      <c r="BZ6" s="21"/>
      <c r="CA6" s="21"/>
      <c r="CB6" s="21" t="s">
        <v>356</v>
      </c>
      <c r="CC6" s="21"/>
      <c r="CD6" s="21"/>
      <c r="CE6" s="21"/>
      <c r="CF6" s="21" t="s">
        <v>389</v>
      </c>
      <c r="CG6" s="21" t="s">
        <v>390</v>
      </c>
      <c r="CH6" s="21"/>
      <c r="CI6" s="21"/>
      <c r="CJ6" s="21"/>
      <c r="CK6" s="21"/>
      <c r="CL6" s="21"/>
      <c r="CM6" s="21" t="s">
        <v>359</v>
      </c>
      <c r="CN6" s="21" t="s">
        <v>359</v>
      </c>
      <c r="CO6" s="21"/>
      <c r="CP6" s="21"/>
      <c r="CQ6" s="21"/>
      <c r="CR6" s="21" t="s">
        <v>360</v>
      </c>
      <c r="CS6" s="21" t="s">
        <v>361</v>
      </c>
      <c r="CT6" s="21"/>
      <c r="CU6" s="21" t="s">
        <v>362</v>
      </c>
      <c r="CV6" s="21" t="s">
        <v>363</v>
      </c>
      <c r="CW6" s="21"/>
      <c r="CX6" s="21"/>
      <c r="CY6" s="21" t="s">
        <v>391</v>
      </c>
      <c r="CZ6" s="21"/>
      <c r="DA6" s="21"/>
      <c r="DB6" s="21"/>
      <c r="DC6"/>
      <c r="DD6"/>
      <c r="DE6"/>
      <c r="DF6" s="1" t="s">
        <v>525</v>
      </c>
      <c r="DG6" s="1" t="s">
        <v>525</v>
      </c>
    </row>
    <row r="7" spans="1:111" ht="12" customHeight="1" x14ac:dyDescent="0.75">
      <c r="A7" t="s">
        <v>102</v>
      </c>
      <c r="B7" t="s">
        <v>268</v>
      </c>
      <c r="C7" t="s">
        <v>92</v>
      </c>
      <c r="D7" t="s">
        <v>526</v>
      </c>
      <c r="E7" t="s">
        <v>92</v>
      </c>
      <c r="F7" t="s">
        <v>526</v>
      </c>
      <c r="G7" s="20" t="s">
        <v>56</v>
      </c>
      <c r="H7"/>
      <c r="I7"/>
      <c r="J7"/>
      <c r="K7"/>
      <c r="L7"/>
      <c r="M7"/>
      <c r="N7"/>
      <c r="O7"/>
      <c r="P7"/>
      <c r="Q7"/>
      <c r="R7"/>
      <c r="S7">
        <v>14</v>
      </c>
      <c r="T7" t="s">
        <v>49</v>
      </c>
      <c r="U7" t="s">
        <v>180</v>
      </c>
      <c r="V7" t="s">
        <v>7</v>
      </c>
      <c r="W7" t="s">
        <v>3</v>
      </c>
      <c r="X7" t="s">
        <v>218</v>
      </c>
      <c r="Y7" t="s">
        <v>108</v>
      </c>
      <c r="Z7" s="21" t="s">
        <v>218</v>
      </c>
      <c r="AA7" t="s">
        <v>99</v>
      </c>
      <c r="AB7" s="21" t="s">
        <v>99</v>
      </c>
      <c r="AC7" s="21" t="s">
        <v>58</v>
      </c>
      <c r="AD7" s="21" t="s">
        <v>99</v>
      </c>
      <c r="AE7" s="21" t="s">
        <v>99</v>
      </c>
      <c r="AF7" s="21" t="s">
        <v>297</v>
      </c>
      <c r="AG7" t="s">
        <v>210</v>
      </c>
      <c r="AH7" t="s">
        <v>112</v>
      </c>
      <c r="AI7" t="s">
        <v>203</v>
      </c>
      <c r="AJ7" t="s">
        <v>258</v>
      </c>
      <c r="AK7" t="s">
        <v>108</v>
      </c>
      <c r="AL7" t="s">
        <v>172</v>
      </c>
      <c r="AM7" t="s">
        <v>256</v>
      </c>
      <c r="AN7" t="s">
        <v>59</v>
      </c>
      <c r="AO7" t="s">
        <v>223</v>
      </c>
      <c r="AP7" t="s">
        <v>108</v>
      </c>
      <c r="AQ7" t="s">
        <v>255</v>
      </c>
      <c r="AR7" t="s">
        <v>108</v>
      </c>
      <c r="AS7" t="s">
        <v>255</v>
      </c>
      <c r="AT7" t="s">
        <v>185</v>
      </c>
      <c r="AU7" t="s">
        <v>173</v>
      </c>
      <c r="AV7" t="s">
        <v>248</v>
      </c>
      <c r="AW7" t="s">
        <v>108</v>
      </c>
      <c r="AX7" t="s">
        <v>108</v>
      </c>
      <c r="AY7" t="s">
        <v>173</v>
      </c>
      <c r="AZ7" t="s">
        <v>108</v>
      </c>
      <c r="BA7" t="s">
        <v>38</v>
      </c>
      <c r="BB7" t="s">
        <v>198</v>
      </c>
      <c r="BC7" t="s">
        <v>121</v>
      </c>
      <c r="BD7" t="s">
        <v>108</v>
      </c>
      <c r="BE7" t="s">
        <v>161</v>
      </c>
      <c r="BF7" t="s">
        <v>161</v>
      </c>
      <c r="BG7" t="s">
        <v>238</v>
      </c>
      <c r="BH7" t="s">
        <v>161</v>
      </c>
      <c r="BI7" t="s">
        <v>27</v>
      </c>
      <c r="BJ7" t="s">
        <v>108</v>
      </c>
      <c r="BK7" t="s">
        <v>58</v>
      </c>
      <c r="BL7" s="22" t="s">
        <v>318</v>
      </c>
      <c r="BM7" s="21"/>
      <c r="BN7" s="21"/>
      <c r="BO7" s="21" t="s">
        <v>329</v>
      </c>
      <c r="BP7"/>
      <c r="BQ7" s="21" t="s">
        <v>392</v>
      </c>
      <c r="BR7" s="21" t="s">
        <v>393</v>
      </c>
      <c r="BS7" t="s">
        <v>394</v>
      </c>
      <c r="BT7" t="s">
        <v>395</v>
      </c>
      <c r="BU7" s="21">
        <f t="shared" si="0"/>
        <v>30</v>
      </c>
      <c r="BV7" s="21" t="s">
        <v>396</v>
      </c>
      <c r="BW7" s="21" t="s">
        <v>396</v>
      </c>
      <c r="BX7" s="21" t="s">
        <v>397</v>
      </c>
      <c r="BY7" s="21" t="s">
        <v>397</v>
      </c>
      <c r="BZ7" s="21"/>
      <c r="CA7" s="21"/>
      <c r="CB7" s="21" t="s">
        <v>398</v>
      </c>
      <c r="CC7" s="21">
        <v>2.5</v>
      </c>
      <c r="CD7" s="21">
        <v>2.5</v>
      </c>
      <c r="CE7" s="21"/>
      <c r="CF7" s="21"/>
      <c r="CG7" s="21"/>
      <c r="CH7" s="21"/>
      <c r="CI7" s="21"/>
      <c r="CJ7" s="21" t="s">
        <v>399</v>
      </c>
      <c r="CK7" s="21" t="s">
        <v>400</v>
      </c>
      <c r="CL7" s="21"/>
      <c r="CM7" s="21" t="s">
        <v>401</v>
      </c>
      <c r="CN7" s="21"/>
      <c r="CO7" s="21"/>
      <c r="CP7" s="21"/>
      <c r="CQ7" s="21" t="s">
        <v>402</v>
      </c>
      <c r="CR7" s="21" t="s">
        <v>403</v>
      </c>
      <c r="CS7" s="21" t="s">
        <v>404</v>
      </c>
      <c r="CT7" s="21" t="s">
        <v>371</v>
      </c>
      <c r="CU7" s="21" t="s">
        <v>405</v>
      </c>
      <c r="CV7" s="21" t="s">
        <v>363</v>
      </c>
      <c r="CW7" s="21"/>
      <c r="CX7" s="21"/>
      <c r="CY7" s="21" t="s">
        <v>406</v>
      </c>
      <c r="CZ7" s="21"/>
      <c r="DA7" s="21"/>
      <c r="DB7" s="21"/>
      <c r="DC7"/>
      <c r="DD7"/>
      <c r="DE7"/>
      <c r="DF7" s="1" t="s">
        <v>525</v>
      </c>
      <c r="DG7" s="1" t="s">
        <v>525</v>
      </c>
    </row>
    <row r="8" spans="1:111" ht="12" customHeight="1" x14ac:dyDescent="0.75">
      <c r="A8" t="s">
        <v>102</v>
      </c>
      <c r="B8" t="s">
        <v>268</v>
      </c>
      <c r="C8" t="s">
        <v>92</v>
      </c>
      <c r="D8" t="s">
        <v>526</v>
      </c>
      <c r="E8" t="s">
        <v>92</v>
      </c>
      <c r="F8" t="s">
        <v>526</v>
      </c>
      <c r="G8" s="20" t="s">
        <v>56</v>
      </c>
      <c r="H8"/>
      <c r="I8"/>
      <c r="J8"/>
      <c r="K8"/>
      <c r="L8"/>
      <c r="M8"/>
      <c r="N8"/>
      <c r="O8"/>
      <c r="P8"/>
      <c r="Q8"/>
      <c r="R8"/>
      <c r="S8">
        <v>15</v>
      </c>
      <c r="T8" t="s">
        <v>76</v>
      </c>
      <c r="U8" t="s">
        <v>180</v>
      </c>
      <c r="V8" t="s">
        <v>7</v>
      </c>
      <c r="W8" t="s">
        <v>140</v>
      </c>
      <c r="X8" t="s">
        <v>123</v>
      </c>
      <c r="Y8" t="s">
        <v>108</v>
      </c>
      <c r="Z8" s="21" t="s">
        <v>282</v>
      </c>
      <c r="AA8" t="s">
        <v>215</v>
      </c>
      <c r="AB8" s="21" t="s">
        <v>215</v>
      </c>
      <c r="AC8" s="21" t="s">
        <v>298</v>
      </c>
      <c r="AD8" s="21" t="s">
        <v>215</v>
      </c>
      <c r="AE8" s="21" t="s">
        <v>215</v>
      </c>
      <c r="AF8" s="21" t="s">
        <v>299</v>
      </c>
      <c r="AG8" t="s">
        <v>36</v>
      </c>
      <c r="AH8" t="s">
        <v>179</v>
      </c>
      <c r="AI8" t="s">
        <v>203</v>
      </c>
      <c r="AJ8" t="s">
        <v>144</v>
      </c>
      <c r="AK8" t="s">
        <v>108</v>
      </c>
      <c r="AL8" t="s">
        <v>172</v>
      </c>
      <c r="AM8" t="s">
        <v>256</v>
      </c>
      <c r="AN8" t="s">
        <v>59</v>
      </c>
      <c r="AO8" t="s">
        <v>166</v>
      </c>
      <c r="AP8" t="s">
        <v>108</v>
      </c>
      <c r="AQ8" t="s">
        <v>255</v>
      </c>
      <c r="AR8" t="s">
        <v>108</v>
      </c>
      <c r="AS8" t="s">
        <v>255</v>
      </c>
      <c r="AT8" t="s">
        <v>110</v>
      </c>
      <c r="AU8" t="s">
        <v>108</v>
      </c>
      <c r="AV8" t="s">
        <v>108</v>
      </c>
      <c r="AW8" t="s">
        <v>108</v>
      </c>
      <c r="AX8" t="s">
        <v>108</v>
      </c>
      <c r="AY8" t="s">
        <v>108</v>
      </c>
      <c r="AZ8" t="s">
        <v>108</v>
      </c>
      <c r="BA8" t="s">
        <v>108</v>
      </c>
      <c r="BB8" t="s">
        <v>108</v>
      </c>
      <c r="BC8" t="s">
        <v>108</v>
      </c>
      <c r="BD8" t="s">
        <v>108</v>
      </c>
      <c r="BE8" t="s">
        <v>108</v>
      </c>
      <c r="BF8" t="s">
        <v>108</v>
      </c>
      <c r="BG8" t="s">
        <v>108</v>
      </c>
      <c r="BH8" t="s">
        <v>108</v>
      </c>
      <c r="BI8" t="s">
        <v>108</v>
      </c>
      <c r="BJ8" t="s">
        <v>108</v>
      </c>
      <c r="BK8" t="s">
        <v>108</v>
      </c>
      <c r="BL8" s="22" t="s">
        <v>319</v>
      </c>
      <c r="BM8" s="21"/>
      <c r="BN8" s="21"/>
      <c r="BO8" s="21" t="s">
        <v>330</v>
      </c>
      <c r="BP8"/>
      <c r="BQ8" s="21" t="s">
        <v>407</v>
      </c>
      <c r="BR8" s="21" t="s">
        <v>408</v>
      </c>
      <c r="BS8" t="s">
        <v>409</v>
      </c>
      <c r="BT8" t="s">
        <v>410</v>
      </c>
      <c r="BU8" s="21">
        <f t="shared" si="0"/>
        <v>30</v>
      </c>
      <c r="BV8" s="21" t="s">
        <v>411</v>
      </c>
      <c r="BW8" s="21" t="s">
        <v>411</v>
      </c>
      <c r="BX8" s="22" t="s">
        <v>412</v>
      </c>
      <c r="BY8" s="22" t="s">
        <v>412</v>
      </c>
      <c r="BZ8" s="21" t="s">
        <v>413</v>
      </c>
      <c r="CA8" s="21" t="s">
        <v>413</v>
      </c>
      <c r="CB8" s="21" t="s">
        <v>414</v>
      </c>
      <c r="CC8" s="21">
        <v>0</v>
      </c>
      <c r="CD8" s="21">
        <v>0</v>
      </c>
      <c r="CE8" s="21"/>
      <c r="CF8" s="21" t="s">
        <v>415</v>
      </c>
      <c r="CG8" s="21" t="s">
        <v>416</v>
      </c>
      <c r="CH8" s="21"/>
      <c r="CI8" s="21"/>
      <c r="CJ8" s="21"/>
      <c r="CK8" s="21"/>
      <c r="CL8" s="21"/>
      <c r="CM8" s="21"/>
      <c r="CN8" s="21"/>
      <c r="CO8" s="21"/>
      <c r="CP8" s="21"/>
      <c r="CQ8" s="21" t="s">
        <v>417</v>
      </c>
      <c r="CR8" s="21" t="s">
        <v>418</v>
      </c>
      <c r="CS8" s="21" t="s">
        <v>419</v>
      </c>
      <c r="CT8" s="21"/>
      <c r="CU8" s="21"/>
      <c r="CV8" s="21"/>
      <c r="CW8" s="21"/>
      <c r="CX8" s="21"/>
      <c r="CY8" s="21" t="s">
        <v>420</v>
      </c>
      <c r="CZ8" s="21"/>
      <c r="DA8" s="21"/>
      <c r="DB8" s="21"/>
      <c r="DC8"/>
      <c r="DD8"/>
      <c r="DE8"/>
      <c r="DF8" s="1" t="s">
        <v>525</v>
      </c>
      <c r="DG8" s="1" t="s">
        <v>525</v>
      </c>
    </row>
    <row r="9" spans="1:111" ht="12" customHeight="1" x14ac:dyDescent="0.75">
      <c r="A9" t="s">
        <v>102</v>
      </c>
      <c r="B9" t="s">
        <v>268</v>
      </c>
      <c r="C9" t="s">
        <v>92</v>
      </c>
      <c r="D9" t="s">
        <v>526</v>
      </c>
      <c r="E9" t="s">
        <v>92</v>
      </c>
      <c r="F9" t="s">
        <v>526</v>
      </c>
      <c r="G9" s="20" t="s">
        <v>56</v>
      </c>
      <c r="H9"/>
      <c r="I9"/>
      <c r="J9"/>
      <c r="K9"/>
      <c r="L9"/>
      <c r="M9"/>
      <c r="N9"/>
      <c r="O9"/>
      <c r="P9"/>
      <c r="Q9"/>
      <c r="R9"/>
      <c r="S9">
        <v>16</v>
      </c>
      <c r="T9" t="s">
        <v>259</v>
      </c>
      <c r="U9" t="s">
        <v>180</v>
      </c>
      <c r="V9" t="s">
        <v>7</v>
      </c>
      <c r="W9" t="s">
        <v>120</v>
      </c>
      <c r="X9" t="s">
        <v>123</v>
      </c>
      <c r="Y9" t="s">
        <v>108</v>
      </c>
      <c r="Z9" s="21" t="s">
        <v>282</v>
      </c>
      <c r="AA9" t="s">
        <v>122</v>
      </c>
      <c r="AB9" s="21" t="s">
        <v>286</v>
      </c>
      <c r="AC9" s="21" t="s">
        <v>298</v>
      </c>
      <c r="AD9" s="21" t="s">
        <v>286</v>
      </c>
      <c r="AE9" s="21" t="s">
        <v>122</v>
      </c>
      <c r="AF9" s="21" t="s">
        <v>300</v>
      </c>
      <c r="AG9" t="s">
        <v>236</v>
      </c>
      <c r="AH9" t="s">
        <v>129</v>
      </c>
      <c r="AI9" t="s">
        <v>203</v>
      </c>
      <c r="AJ9" t="s">
        <v>144</v>
      </c>
      <c r="AK9" t="s">
        <v>108</v>
      </c>
      <c r="AL9" t="s">
        <v>172</v>
      </c>
      <c r="AM9" t="s">
        <v>256</v>
      </c>
      <c r="AN9" t="s">
        <v>59</v>
      </c>
      <c r="AO9" t="s">
        <v>89</v>
      </c>
      <c r="AP9" t="s">
        <v>108</v>
      </c>
      <c r="AQ9" t="s">
        <v>255</v>
      </c>
      <c r="AR9" t="s">
        <v>108</v>
      </c>
      <c r="AS9" t="s">
        <v>255</v>
      </c>
      <c r="AT9" t="s">
        <v>221</v>
      </c>
      <c r="AU9" t="s">
        <v>108</v>
      </c>
      <c r="AV9" t="s">
        <v>108</v>
      </c>
      <c r="AW9" t="s">
        <v>108</v>
      </c>
      <c r="AX9" t="s">
        <v>108</v>
      </c>
      <c r="AY9" t="s">
        <v>108</v>
      </c>
      <c r="AZ9" t="s">
        <v>108</v>
      </c>
      <c r="BA9" t="s">
        <v>108</v>
      </c>
      <c r="BB9" t="s">
        <v>108</v>
      </c>
      <c r="BC9" t="s">
        <v>108</v>
      </c>
      <c r="BD9" t="s">
        <v>108</v>
      </c>
      <c r="BE9" t="s">
        <v>108</v>
      </c>
      <c r="BF9" t="s">
        <v>108</v>
      </c>
      <c r="BG9" t="s">
        <v>108</v>
      </c>
      <c r="BH9" t="s">
        <v>108</v>
      </c>
      <c r="BI9" t="s">
        <v>108</v>
      </c>
      <c r="BJ9" t="s">
        <v>108</v>
      </c>
      <c r="BK9" t="s">
        <v>108</v>
      </c>
      <c r="BL9" s="22" t="s">
        <v>319</v>
      </c>
      <c r="BM9" s="21"/>
      <c r="BN9" s="21"/>
      <c r="BO9" s="21" t="s">
        <v>331</v>
      </c>
      <c r="BP9"/>
      <c r="BQ9" s="21" t="s">
        <v>421</v>
      </c>
      <c r="BR9" s="21" t="s">
        <v>422</v>
      </c>
      <c r="BS9" t="s">
        <v>423</v>
      </c>
      <c r="BT9" t="s">
        <v>423</v>
      </c>
      <c r="BU9" s="21">
        <f t="shared" si="0"/>
        <v>30</v>
      </c>
      <c r="BV9" s="21" t="s">
        <v>411</v>
      </c>
      <c r="BW9" s="21" t="s">
        <v>411</v>
      </c>
      <c r="BX9" s="22" t="s">
        <v>412</v>
      </c>
      <c r="BY9" s="22" t="s">
        <v>412</v>
      </c>
      <c r="BZ9" s="21"/>
      <c r="CA9" s="21"/>
      <c r="CB9" s="21"/>
      <c r="CC9" s="23" t="s">
        <v>424</v>
      </c>
      <c r="CD9" s="23" t="s">
        <v>424</v>
      </c>
      <c r="CE9" s="21"/>
      <c r="CF9" s="21" t="s">
        <v>425</v>
      </c>
      <c r="CG9" s="21" t="s">
        <v>426</v>
      </c>
      <c r="CH9" s="21"/>
      <c r="CI9" s="21"/>
      <c r="CJ9" s="21"/>
      <c r="CK9" s="21"/>
      <c r="CL9" s="21"/>
      <c r="CM9" s="21" t="s">
        <v>427</v>
      </c>
      <c r="CN9" s="21" t="s">
        <v>427</v>
      </c>
      <c r="CO9" s="21"/>
      <c r="CP9" s="21"/>
      <c r="CQ9" s="21"/>
      <c r="CR9" s="21"/>
      <c r="CS9" s="21"/>
      <c r="CT9" s="21" t="s">
        <v>371</v>
      </c>
      <c r="CU9" s="21"/>
      <c r="CV9" s="21"/>
      <c r="CW9" s="21"/>
      <c r="CX9" s="21"/>
      <c r="CY9" s="21" t="s">
        <v>428</v>
      </c>
      <c r="CZ9" s="21"/>
      <c r="DA9" s="21"/>
      <c r="DB9" s="21"/>
      <c r="DC9"/>
      <c r="DD9"/>
      <c r="DE9"/>
      <c r="DF9" s="1" t="s">
        <v>525</v>
      </c>
      <c r="DG9" s="1" t="s">
        <v>525</v>
      </c>
    </row>
    <row r="10" spans="1:111" ht="12" customHeight="1" x14ac:dyDescent="0.75">
      <c r="A10" t="s">
        <v>102</v>
      </c>
      <c r="B10" t="s">
        <v>268</v>
      </c>
      <c r="C10" t="s">
        <v>92</v>
      </c>
      <c r="D10" t="s">
        <v>526</v>
      </c>
      <c r="E10" t="s">
        <v>92</v>
      </c>
      <c r="F10" t="s">
        <v>526</v>
      </c>
      <c r="G10" s="20" t="s">
        <v>56</v>
      </c>
      <c r="H10"/>
      <c r="I10"/>
      <c r="J10"/>
      <c r="K10"/>
      <c r="L10"/>
      <c r="M10"/>
      <c r="N10"/>
      <c r="O10"/>
      <c r="P10"/>
      <c r="Q10"/>
      <c r="R10"/>
      <c r="S10">
        <v>18</v>
      </c>
      <c r="T10" t="s">
        <v>69</v>
      </c>
      <c r="U10" t="s">
        <v>0</v>
      </c>
      <c r="V10" t="s">
        <v>88</v>
      </c>
      <c r="W10" t="s">
        <v>208</v>
      </c>
      <c r="X10" t="s">
        <v>178</v>
      </c>
      <c r="Y10" t="s">
        <v>108</v>
      </c>
      <c r="Z10" s="21" t="s">
        <v>88</v>
      </c>
      <c r="AA10" t="s">
        <v>208</v>
      </c>
      <c r="AB10" s="21" t="s">
        <v>287</v>
      </c>
      <c r="AC10" s="21" t="s">
        <v>301</v>
      </c>
      <c r="AD10" s="21" t="s">
        <v>287</v>
      </c>
      <c r="AE10" s="21" t="s">
        <v>302</v>
      </c>
      <c r="AF10" s="21" t="s">
        <v>303</v>
      </c>
      <c r="AG10" t="s">
        <v>6</v>
      </c>
      <c r="AH10" t="s">
        <v>207</v>
      </c>
      <c r="AI10" t="s">
        <v>203</v>
      </c>
      <c r="AJ10" t="s">
        <v>144</v>
      </c>
      <c r="AK10" t="s">
        <v>108</v>
      </c>
      <c r="AL10" t="s">
        <v>172</v>
      </c>
      <c r="AM10" t="s">
        <v>256</v>
      </c>
      <c r="AN10" t="s">
        <v>59</v>
      </c>
      <c r="AO10" t="s">
        <v>260</v>
      </c>
      <c r="AP10" t="s">
        <v>108</v>
      </c>
      <c r="AQ10" t="s">
        <v>255</v>
      </c>
      <c r="AR10" t="s">
        <v>108</v>
      </c>
      <c r="AS10" t="s">
        <v>255</v>
      </c>
      <c r="AT10" t="s">
        <v>195</v>
      </c>
      <c r="AU10" t="s">
        <v>108</v>
      </c>
      <c r="AV10" t="s">
        <v>108</v>
      </c>
      <c r="AW10" t="s">
        <v>108</v>
      </c>
      <c r="AX10" t="s">
        <v>108</v>
      </c>
      <c r="AY10" t="s">
        <v>108</v>
      </c>
      <c r="AZ10" t="s">
        <v>277</v>
      </c>
      <c r="BA10" t="s">
        <v>108</v>
      </c>
      <c r="BB10" t="s">
        <v>108</v>
      </c>
      <c r="BC10" t="s">
        <v>108</v>
      </c>
      <c r="BD10" t="s">
        <v>108</v>
      </c>
      <c r="BE10" t="s">
        <v>108</v>
      </c>
      <c r="BF10" t="s">
        <v>108</v>
      </c>
      <c r="BG10" t="s">
        <v>108</v>
      </c>
      <c r="BH10" t="s">
        <v>108</v>
      </c>
      <c r="BI10" t="s">
        <v>174</v>
      </c>
      <c r="BJ10" t="s">
        <v>158</v>
      </c>
      <c r="BK10" t="s">
        <v>108</v>
      </c>
      <c r="BL10" s="22" t="s">
        <v>320</v>
      </c>
      <c r="BM10" s="22" t="s">
        <v>158</v>
      </c>
      <c r="BN10" s="21"/>
      <c r="BO10" s="21" t="s">
        <v>332</v>
      </c>
      <c r="BP10"/>
      <c r="BQ10" s="22" t="s">
        <v>429</v>
      </c>
      <c r="BR10" s="22" t="s">
        <v>430</v>
      </c>
      <c r="BS10" t="s">
        <v>431</v>
      </c>
      <c r="BT10" t="s">
        <v>432</v>
      </c>
      <c r="BU10" s="21">
        <f t="shared" si="0"/>
        <v>30</v>
      </c>
      <c r="BV10" s="22" t="s">
        <v>433</v>
      </c>
      <c r="BW10" s="22" t="s">
        <v>433</v>
      </c>
      <c r="BX10" s="22" t="s">
        <v>434</v>
      </c>
      <c r="BY10" s="22" t="s">
        <v>434</v>
      </c>
      <c r="BZ10" s="21" t="s">
        <v>435</v>
      </c>
      <c r="CA10" s="21" t="s">
        <v>435</v>
      </c>
      <c r="CB10" s="21" t="s">
        <v>436</v>
      </c>
      <c r="CC10" s="21" t="s">
        <v>437</v>
      </c>
      <c r="CD10" s="21" t="s">
        <v>438</v>
      </c>
      <c r="CE10" s="21"/>
      <c r="CF10" s="21" t="s">
        <v>439</v>
      </c>
      <c r="CG10" s="21" t="s">
        <v>440</v>
      </c>
      <c r="CH10" s="21"/>
      <c r="CI10" s="21"/>
      <c r="CJ10" s="21"/>
      <c r="CK10" s="21"/>
      <c r="CL10" s="21"/>
      <c r="CM10" s="22" t="s">
        <v>441</v>
      </c>
      <c r="CN10" s="22" t="s">
        <v>441</v>
      </c>
      <c r="CO10" s="21"/>
      <c r="CP10" s="21"/>
      <c r="CQ10" s="21"/>
      <c r="CR10" s="21" t="s">
        <v>442</v>
      </c>
      <c r="CS10" s="21" t="s">
        <v>443</v>
      </c>
      <c r="CT10" s="21"/>
      <c r="CU10" s="21"/>
      <c r="CV10" s="21"/>
      <c r="CW10" s="21"/>
      <c r="CX10" s="21" t="s">
        <v>444</v>
      </c>
      <c r="CY10" s="21" t="s">
        <v>445</v>
      </c>
      <c r="CZ10" s="21"/>
      <c r="DA10" s="21"/>
      <c r="DB10" s="21"/>
      <c r="DC10"/>
      <c r="DD10"/>
      <c r="DE10"/>
      <c r="DF10" s="1" t="s">
        <v>525</v>
      </c>
      <c r="DG10" s="1" t="s">
        <v>525</v>
      </c>
    </row>
    <row r="11" spans="1:111" ht="12" customHeight="1" x14ac:dyDescent="0.75">
      <c r="A11" t="s">
        <v>102</v>
      </c>
      <c r="B11" t="s">
        <v>268</v>
      </c>
      <c r="C11" t="s">
        <v>92</v>
      </c>
      <c r="D11" t="s">
        <v>526</v>
      </c>
      <c r="E11" t="s">
        <v>92</v>
      </c>
      <c r="F11" t="s">
        <v>526</v>
      </c>
      <c r="G11" s="20" t="s">
        <v>56</v>
      </c>
      <c r="H11"/>
      <c r="I11"/>
      <c r="J11"/>
      <c r="K11"/>
      <c r="L11"/>
      <c r="M11"/>
      <c r="N11"/>
      <c r="O11"/>
      <c r="P11"/>
      <c r="Q11"/>
      <c r="R11"/>
      <c r="S11">
        <v>19</v>
      </c>
      <c r="T11" t="s">
        <v>61</v>
      </c>
      <c r="U11" t="s">
        <v>0</v>
      </c>
      <c r="V11" t="s">
        <v>88</v>
      </c>
      <c r="W11" t="s">
        <v>132</v>
      </c>
      <c r="X11" t="s">
        <v>178</v>
      </c>
      <c r="Y11" t="s">
        <v>108</v>
      </c>
      <c r="Z11" s="21" t="s">
        <v>88</v>
      </c>
      <c r="AA11" t="s">
        <v>132</v>
      </c>
      <c r="AB11" s="21" t="s">
        <v>288</v>
      </c>
      <c r="AC11" s="21" t="s">
        <v>301</v>
      </c>
      <c r="AD11" s="21" t="s">
        <v>288</v>
      </c>
      <c r="AE11" s="21">
        <v>3494905</v>
      </c>
      <c r="AF11" s="21" t="s">
        <v>304</v>
      </c>
      <c r="AG11" t="s">
        <v>70</v>
      </c>
      <c r="AH11" t="s">
        <v>207</v>
      </c>
      <c r="AI11" t="s">
        <v>203</v>
      </c>
      <c r="AJ11" t="s">
        <v>144</v>
      </c>
      <c r="AK11" t="s">
        <v>108</v>
      </c>
      <c r="AL11" t="s">
        <v>172</v>
      </c>
      <c r="AM11" t="s">
        <v>256</v>
      </c>
      <c r="AN11" t="s">
        <v>59</v>
      </c>
      <c r="AO11" t="s">
        <v>260</v>
      </c>
      <c r="AP11" t="s">
        <v>108</v>
      </c>
      <c r="AQ11" t="s">
        <v>255</v>
      </c>
      <c r="AR11" t="s">
        <v>108</v>
      </c>
      <c r="AS11" t="s">
        <v>255</v>
      </c>
      <c r="AT11" t="s">
        <v>25</v>
      </c>
      <c r="AU11" t="s">
        <v>108</v>
      </c>
      <c r="AV11" t="s">
        <v>108</v>
      </c>
      <c r="AW11" t="s">
        <v>108</v>
      </c>
      <c r="AX11" t="s">
        <v>108</v>
      </c>
      <c r="AY11" t="s">
        <v>108</v>
      </c>
      <c r="AZ11" t="s">
        <v>183</v>
      </c>
      <c r="BA11" t="s">
        <v>108</v>
      </c>
      <c r="BB11" t="s">
        <v>108</v>
      </c>
      <c r="BC11" t="s">
        <v>108</v>
      </c>
      <c r="BD11" t="s">
        <v>108</v>
      </c>
      <c r="BE11" t="s">
        <v>108</v>
      </c>
      <c r="BF11" t="s">
        <v>108</v>
      </c>
      <c r="BG11" t="s">
        <v>108</v>
      </c>
      <c r="BH11" t="s">
        <v>108</v>
      </c>
      <c r="BI11" t="s">
        <v>174</v>
      </c>
      <c r="BJ11" t="s">
        <v>158</v>
      </c>
      <c r="BK11" t="s">
        <v>108</v>
      </c>
      <c r="BL11" s="22" t="s">
        <v>320</v>
      </c>
      <c r="BM11" s="22" t="s">
        <v>158</v>
      </c>
      <c r="BN11" s="21"/>
      <c r="BO11" s="21" t="s">
        <v>333</v>
      </c>
      <c r="BP11"/>
      <c r="BQ11" s="22" t="s">
        <v>446</v>
      </c>
      <c r="BR11" s="22" t="s">
        <v>447</v>
      </c>
      <c r="BS11" t="s">
        <v>448</v>
      </c>
      <c r="BT11" t="s">
        <v>449</v>
      </c>
      <c r="BU11" s="21">
        <f t="shared" si="0"/>
        <v>29</v>
      </c>
      <c r="BV11" s="22" t="s">
        <v>433</v>
      </c>
      <c r="BW11" s="22" t="s">
        <v>433</v>
      </c>
      <c r="BX11" s="22" t="s">
        <v>434</v>
      </c>
      <c r="BY11" s="22" t="s">
        <v>434</v>
      </c>
      <c r="BZ11" s="22" t="s">
        <v>216</v>
      </c>
      <c r="CA11" s="22" t="s">
        <v>216</v>
      </c>
      <c r="CB11" s="21" t="s">
        <v>450</v>
      </c>
      <c r="CC11" s="21" t="s">
        <v>451</v>
      </c>
      <c r="CD11" s="21" t="s">
        <v>452</v>
      </c>
      <c r="CE11" s="21"/>
      <c r="CF11" s="21" t="s">
        <v>453</v>
      </c>
      <c r="CG11" s="21" t="s">
        <v>454</v>
      </c>
      <c r="CH11" s="21"/>
      <c r="CI11" s="21"/>
      <c r="CJ11" s="21"/>
      <c r="CK11" s="21"/>
      <c r="CL11" s="21"/>
      <c r="CM11" s="21" t="s">
        <v>455</v>
      </c>
      <c r="CN11" s="21" t="s">
        <v>455</v>
      </c>
      <c r="CO11" s="21"/>
      <c r="CP11" s="21"/>
      <c r="CQ11" s="21"/>
      <c r="CR11" s="21" t="s">
        <v>456</v>
      </c>
      <c r="CS11" s="22" t="s">
        <v>457</v>
      </c>
      <c r="CT11" s="21"/>
      <c r="CU11" s="21"/>
      <c r="CV11" s="21"/>
      <c r="CW11" s="21"/>
      <c r="CX11" s="21"/>
      <c r="CY11" s="21" t="s">
        <v>445</v>
      </c>
      <c r="CZ11" s="21"/>
      <c r="DA11" s="21"/>
      <c r="DB11" s="21"/>
      <c r="DC11"/>
      <c r="DD11"/>
      <c r="DE11"/>
      <c r="DF11" s="1" t="s">
        <v>525</v>
      </c>
      <c r="DG11" s="1" t="s">
        <v>525</v>
      </c>
    </row>
    <row r="12" spans="1:111" ht="12" customHeight="1" x14ac:dyDescent="0.75">
      <c r="A12" t="s">
        <v>102</v>
      </c>
      <c r="B12" t="s">
        <v>268</v>
      </c>
      <c r="C12" t="s">
        <v>92</v>
      </c>
      <c r="D12" t="s">
        <v>526</v>
      </c>
      <c r="E12" t="s">
        <v>92</v>
      </c>
      <c r="F12" t="s">
        <v>526</v>
      </c>
      <c r="G12" s="20" t="s">
        <v>56</v>
      </c>
      <c r="H12"/>
      <c r="I12"/>
      <c r="J12"/>
      <c r="K12"/>
      <c r="L12"/>
      <c r="M12"/>
      <c r="N12"/>
      <c r="O12"/>
      <c r="P12"/>
      <c r="Q12"/>
      <c r="R12"/>
      <c r="S12">
        <v>21</v>
      </c>
      <c r="T12" t="s">
        <v>5</v>
      </c>
      <c r="U12" t="s">
        <v>180</v>
      </c>
      <c r="V12" t="s">
        <v>7</v>
      </c>
      <c r="W12" t="s">
        <v>249</v>
      </c>
      <c r="X12" t="s">
        <v>152</v>
      </c>
      <c r="Y12" t="s">
        <v>108</v>
      </c>
      <c r="Z12" s="21" t="s">
        <v>283</v>
      </c>
      <c r="AA12" t="s">
        <v>249</v>
      </c>
      <c r="AB12" s="21" t="s">
        <v>249</v>
      </c>
      <c r="AC12" s="21" t="s">
        <v>305</v>
      </c>
      <c r="AD12" s="21" t="s">
        <v>249</v>
      </c>
      <c r="AE12" s="21" t="s">
        <v>249</v>
      </c>
      <c r="AF12" s="21" t="s">
        <v>306</v>
      </c>
      <c r="AG12" t="s">
        <v>47</v>
      </c>
      <c r="AH12" t="s">
        <v>189</v>
      </c>
      <c r="AI12" t="s">
        <v>203</v>
      </c>
      <c r="AJ12" t="s">
        <v>144</v>
      </c>
      <c r="AK12" t="s">
        <v>108</v>
      </c>
      <c r="AL12" t="s">
        <v>172</v>
      </c>
      <c r="AM12" t="s">
        <v>256</v>
      </c>
      <c r="AN12" t="s">
        <v>108</v>
      </c>
      <c r="AO12" t="s">
        <v>255</v>
      </c>
      <c r="AP12" t="s">
        <v>108</v>
      </c>
      <c r="AQ12" t="s">
        <v>255</v>
      </c>
      <c r="AR12" t="s">
        <v>108</v>
      </c>
      <c r="AS12" t="s">
        <v>255</v>
      </c>
      <c r="AT12" t="s">
        <v>103</v>
      </c>
      <c r="AU12" t="s">
        <v>108</v>
      </c>
      <c r="AV12" t="s">
        <v>108</v>
      </c>
      <c r="AW12" t="s">
        <v>108</v>
      </c>
      <c r="AX12" t="s">
        <v>108</v>
      </c>
      <c r="AY12" t="s">
        <v>108</v>
      </c>
      <c r="AZ12" t="s">
        <v>197</v>
      </c>
      <c r="BA12" t="s">
        <v>108</v>
      </c>
      <c r="BB12" t="s">
        <v>108</v>
      </c>
      <c r="BC12" t="s">
        <v>108</v>
      </c>
      <c r="BD12" t="s">
        <v>108</v>
      </c>
      <c r="BE12" t="s">
        <v>108</v>
      </c>
      <c r="BF12" t="s">
        <v>108</v>
      </c>
      <c r="BG12" t="s">
        <v>108</v>
      </c>
      <c r="BH12" t="s">
        <v>108</v>
      </c>
      <c r="BI12" t="s">
        <v>84</v>
      </c>
      <c r="BJ12" t="s">
        <v>18</v>
      </c>
      <c r="BK12" t="s">
        <v>131</v>
      </c>
      <c r="BL12" s="22" t="s">
        <v>321</v>
      </c>
      <c r="BM12" s="21"/>
      <c r="BN12" s="21"/>
      <c r="BO12" s="21" t="s">
        <v>334</v>
      </c>
      <c r="BP12"/>
      <c r="BQ12" s="21" t="s">
        <v>458</v>
      </c>
      <c r="BR12" s="21" t="s">
        <v>459</v>
      </c>
      <c r="BS12" t="s">
        <v>460</v>
      </c>
      <c r="BT12" t="s">
        <v>461</v>
      </c>
      <c r="BU12" s="21">
        <f t="shared" si="0"/>
        <v>29</v>
      </c>
      <c r="BV12" s="21" t="s">
        <v>462</v>
      </c>
      <c r="BW12" s="21" t="s">
        <v>462</v>
      </c>
      <c r="BX12" s="21" t="s">
        <v>463</v>
      </c>
      <c r="BY12" s="21" t="s">
        <v>463</v>
      </c>
      <c r="BZ12" s="21" t="s">
        <v>131</v>
      </c>
      <c r="CA12" s="21" t="s">
        <v>131</v>
      </c>
      <c r="CB12" s="21"/>
      <c r="CC12" s="21"/>
      <c r="CD12" s="21"/>
      <c r="CE12" s="21"/>
      <c r="CF12" s="21" t="s">
        <v>464</v>
      </c>
      <c r="CG12" s="21" t="s">
        <v>465</v>
      </c>
      <c r="CH12" s="21"/>
      <c r="CI12" s="21"/>
      <c r="CJ12" s="21"/>
      <c r="CK12" s="21"/>
      <c r="CL12" s="21"/>
      <c r="CM12" s="22" t="s">
        <v>466</v>
      </c>
      <c r="CN12" s="22" t="s">
        <v>466</v>
      </c>
      <c r="CO12" s="21"/>
      <c r="CP12" s="21"/>
      <c r="CQ12" s="21"/>
      <c r="CR12" s="22" t="s">
        <v>467</v>
      </c>
      <c r="CS12" s="22" t="s">
        <v>467</v>
      </c>
      <c r="CT12" s="21" t="s">
        <v>371</v>
      </c>
      <c r="CU12" s="21" t="s">
        <v>362</v>
      </c>
      <c r="CV12" s="21"/>
      <c r="CW12" s="21"/>
      <c r="CX12" s="21"/>
      <c r="CY12" s="21" t="s">
        <v>468</v>
      </c>
      <c r="CZ12" s="21"/>
      <c r="DA12" s="21"/>
      <c r="DB12" s="21"/>
      <c r="DC12"/>
      <c r="DD12"/>
      <c r="DE12"/>
      <c r="DF12" s="1" t="s">
        <v>525</v>
      </c>
      <c r="DG12" s="1" t="s">
        <v>525</v>
      </c>
    </row>
    <row r="13" spans="1:111" ht="12" customHeight="1" x14ac:dyDescent="0.75">
      <c r="A13" t="s">
        <v>102</v>
      </c>
      <c r="B13" t="s">
        <v>268</v>
      </c>
      <c r="C13" t="s">
        <v>92</v>
      </c>
      <c r="D13" t="s">
        <v>526</v>
      </c>
      <c r="E13" t="s">
        <v>92</v>
      </c>
      <c r="F13" t="s">
        <v>526</v>
      </c>
      <c r="G13" s="20" t="s">
        <v>56</v>
      </c>
      <c r="H13"/>
      <c r="I13"/>
      <c r="J13"/>
      <c r="K13"/>
      <c r="L13"/>
      <c r="M13"/>
      <c r="N13"/>
      <c r="O13"/>
      <c r="P13"/>
      <c r="Q13"/>
      <c r="R13"/>
      <c r="S13">
        <v>23</v>
      </c>
      <c r="T13" t="s">
        <v>150</v>
      </c>
      <c r="U13" t="s">
        <v>214</v>
      </c>
      <c r="V13" t="s">
        <v>160</v>
      </c>
      <c r="W13" t="s">
        <v>17</v>
      </c>
      <c r="X13" t="s">
        <v>124</v>
      </c>
      <c r="Y13" t="s">
        <v>108</v>
      </c>
      <c r="Z13" s="21" t="s">
        <v>284</v>
      </c>
      <c r="AA13" t="s">
        <v>17</v>
      </c>
      <c r="AB13" s="21" t="s">
        <v>17</v>
      </c>
      <c r="AC13" s="21" t="s">
        <v>307</v>
      </c>
      <c r="AD13" s="21" t="s">
        <v>17</v>
      </c>
      <c r="AE13" s="21" t="s">
        <v>308</v>
      </c>
      <c r="AF13" s="21" t="s">
        <v>309</v>
      </c>
      <c r="AG13" t="s">
        <v>148</v>
      </c>
      <c r="AH13" t="s">
        <v>111</v>
      </c>
      <c r="AI13" t="s">
        <v>203</v>
      </c>
      <c r="AJ13" t="s">
        <v>201</v>
      </c>
      <c r="AK13" t="s">
        <v>86</v>
      </c>
      <c r="AL13" t="s">
        <v>172</v>
      </c>
      <c r="AM13" t="s">
        <v>256</v>
      </c>
      <c r="AN13" t="s">
        <v>59</v>
      </c>
      <c r="AO13" t="s">
        <v>168</v>
      </c>
      <c r="AP13" t="s">
        <v>108</v>
      </c>
      <c r="AQ13" t="s">
        <v>255</v>
      </c>
      <c r="AR13" t="s">
        <v>108</v>
      </c>
      <c r="AS13" t="s">
        <v>255</v>
      </c>
      <c r="AT13" t="s">
        <v>71</v>
      </c>
      <c r="AU13" t="s">
        <v>108</v>
      </c>
      <c r="AV13" t="s">
        <v>108</v>
      </c>
      <c r="AW13" t="s">
        <v>108</v>
      </c>
      <c r="AX13" t="s">
        <v>108</v>
      </c>
      <c r="AY13" t="s">
        <v>108</v>
      </c>
      <c r="AZ13" t="s">
        <v>108</v>
      </c>
      <c r="BA13" t="s">
        <v>108</v>
      </c>
      <c r="BB13" t="s">
        <v>108</v>
      </c>
      <c r="BC13" t="s">
        <v>108</v>
      </c>
      <c r="BD13" t="s">
        <v>108</v>
      </c>
      <c r="BE13" t="s">
        <v>108</v>
      </c>
      <c r="BF13" t="s">
        <v>108</v>
      </c>
      <c r="BG13" t="s">
        <v>108</v>
      </c>
      <c r="BH13" t="s">
        <v>108</v>
      </c>
      <c r="BI13" t="s">
        <v>108</v>
      </c>
      <c r="BJ13" t="s">
        <v>108</v>
      </c>
      <c r="BK13" t="s">
        <v>108</v>
      </c>
      <c r="BL13" s="22" t="s">
        <v>322</v>
      </c>
      <c r="BM13" s="21"/>
      <c r="BN13" s="21"/>
      <c r="BO13" s="21" t="s">
        <v>335</v>
      </c>
      <c r="BP13"/>
      <c r="BQ13" s="21" t="s">
        <v>469</v>
      </c>
      <c r="BR13" s="21" t="s">
        <v>469</v>
      </c>
      <c r="BS13" t="s">
        <v>470</v>
      </c>
      <c r="BT13" t="s">
        <v>471</v>
      </c>
      <c r="BU13" s="21">
        <f t="shared" si="0"/>
        <v>27</v>
      </c>
      <c r="BV13" s="21" t="s">
        <v>396</v>
      </c>
      <c r="BW13" s="21" t="s">
        <v>396</v>
      </c>
      <c r="BX13" s="21" t="s">
        <v>472</v>
      </c>
      <c r="BY13" s="21" t="s">
        <v>472</v>
      </c>
      <c r="BZ13" s="21"/>
      <c r="CA13" s="21"/>
      <c r="CB13" s="21"/>
      <c r="CC13" s="21" t="s">
        <v>473</v>
      </c>
      <c r="CD13" s="21"/>
      <c r="CE13" s="21" t="s">
        <v>473</v>
      </c>
      <c r="CF13" s="21"/>
      <c r="CG13" s="21"/>
      <c r="CH13" s="21"/>
      <c r="CI13" s="21"/>
      <c r="CJ13" s="21"/>
      <c r="CK13" s="21"/>
      <c r="CL13" s="21"/>
      <c r="CM13" s="21"/>
      <c r="CN13" s="21"/>
      <c r="CO13" s="21" t="s">
        <v>474</v>
      </c>
      <c r="CP13" s="21" t="s">
        <v>474</v>
      </c>
      <c r="CQ13" s="21"/>
      <c r="CR13" s="21" t="s">
        <v>475</v>
      </c>
      <c r="CS13" s="21" t="s">
        <v>475</v>
      </c>
      <c r="CT13" s="21" t="s">
        <v>476</v>
      </c>
      <c r="CU13" s="21" t="s">
        <v>362</v>
      </c>
      <c r="CV13" s="21"/>
      <c r="CW13" s="21"/>
      <c r="CX13" s="21" t="s">
        <v>477</v>
      </c>
      <c r="CY13" s="24" t="s">
        <v>478</v>
      </c>
      <c r="CZ13" s="21"/>
      <c r="DA13" s="21"/>
      <c r="DB13" s="21"/>
      <c r="DC13"/>
      <c r="DD13"/>
      <c r="DE13"/>
      <c r="DF13" s="1" t="s">
        <v>525</v>
      </c>
      <c r="DG13" s="1" t="s">
        <v>525</v>
      </c>
    </row>
    <row r="14" spans="1:111" ht="12" customHeight="1" x14ac:dyDescent="0.75">
      <c r="A14" t="s">
        <v>102</v>
      </c>
      <c r="B14" t="s">
        <v>268</v>
      </c>
      <c r="C14" t="s">
        <v>92</v>
      </c>
      <c r="D14" t="s">
        <v>526</v>
      </c>
      <c r="E14" t="s">
        <v>92</v>
      </c>
      <c r="F14" t="s">
        <v>526</v>
      </c>
      <c r="G14" s="20" t="s">
        <v>56</v>
      </c>
      <c r="H14"/>
      <c r="I14"/>
      <c r="J14"/>
      <c r="K14"/>
      <c r="L14"/>
      <c r="M14"/>
      <c r="N14"/>
      <c r="O14"/>
      <c r="P14"/>
      <c r="Q14"/>
      <c r="R14"/>
      <c r="S14">
        <v>26</v>
      </c>
      <c r="T14" t="s">
        <v>271</v>
      </c>
      <c r="U14" t="s">
        <v>136</v>
      </c>
      <c r="V14" t="s">
        <v>127</v>
      </c>
      <c r="W14" t="s">
        <v>11</v>
      </c>
      <c r="X14" t="s">
        <v>138</v>
      </c>
      <c r="Y14" t="s">
        <v>108</v>
      </c>
      <c r="Z14" s="21" t="s">
        <v>127</v>
      </c>
      <c r="AA14" t="s">
        <v>11</v>
      </c>
      <c r="AB14" s="21" t="s">
        <v>11</v>
      </c>
      <c r="AC14" s="21" t="s">
        <v>138</v>
      </c>
      <c r="AD14" s="21" t="s">
        <v>11</v>
      </c>
      <c r="AE14" s="21" t="s">
        <v>11</v>
      </c>
      <c r="AF14" s="21" t="s">
        <v>310</v>
      </c>
      <c r="AG14" t="s">
        <v>263</v>
      </c>
      <c r="AH14" t="s">
        <v>157</v>
      </c>
      <c r="AI14" t="s">
        <v>203</v>
      </c>
      <c r="AJ14" t="s">
        <v>202</v>
      </c>
      <c r="AK14" t="s">
        <v>144</v>
      </c>
      <c r="AL14" t="s">
        <v>172</v>
      </c>
      <c r="AM14" t="s">
        <v>256</v>
      </c>
      <c r="AN14" t="s">
        <v>108</v>
      </c>
      <c r="AO14" t="s">
        <v>255</v>
      </c>
      <c r="AP14" t="s">
        <v>108</v>
      </c>
      <c r="AQ14" t="s">
        <v>255</v>
      </c>
      <c r="AR14" t="s">
        <v>108</v>
      </c>
      <c r="AS14" t="s">
        <v>255</v>
      </c>
      <c r="AT14" t="s">
        <v>190</v>
      </c>
      <c r="AU14" t="s">
        <v>108</v>
      </c>
      <c r="AV14" t="s">
        <v>108</v>
      </c>
      <c r="AW14" t="s">
        <v>108</v>
      </c>
      <c r="AX14" t="s">
        <v>108</v>
      </c>
      <c r="AY14" t="s">
        <v>108</v>
      </c>
      <c r="AZ14" t="s">
        <v>108</v>
      </c>
      <c r="BA14" t="s">
        <v>108</v>
      </c>
      <c r="BB14" t="s">
        <v>108</v>
      </c>
      <c r="BC14" t="s">
        <v>108</v>
      </c>
      <c r="BD14" t="s">
        <v>108</v>
      </c>
      <c r="BE14" t="s">
        <v>108</v>
      </c>
      <c r="BF14" t="s">
        <v>108</v>
      </c>
      <c r="BG14" t="s">
        <v>108</v>
      </c>
      <c r="BH14" t="s">
        <v>108</v>
      </c>
      <c r="BI14" t="s">
        <v>108</v>
      </c>
      <c r="BJ14" t="s">
        <v>108</v>
      </c>
      <c r="BK14" t="s">
        <v>108</v>
      </c>
      <c r="BL14" s="22" t="s">
        <v>323</v>
      </c>
      <c r="BM14" s="21"/>
      <c r="BN14" s="21"/>
      <c r="BO14" s="21" t="s">
        <v>336</v>
      </c>
      <c r="BP14"/>
      <c r="BQ14" s="21" t="s">
        <v>479</v>
      </c>
      <c r="BR14" s="21" t="s">
        <v>480</v>
      </c>
      <c r="BS14" t="s">
        <v>481</v>
      </c>
      <c r="BT14" t="s">
        <v>482</v>
      </c>
      <c r="BU14" s="21">
        <f t="shared" si="0"/>
        <v>30</v>
      </c>
      <c r="BV14" s="21" t="s">
        <v>483</v>
      </c>
      <c r="BW14" s="21" t="s">
        <v>483</v>
      </c>
      <c r="BX14" s="21" t="s">
        <v>434</v>
      </c>
      <c r="BY14" s="21" t="s">
        <v>434</v>
      </c>
      <c r="BZ14" s="22" t="s">
        <v>484</v>
      </c>
      <c r="CA14" s="22" t="s">
        <v>484</v>
      </c>
      <c r="CB14" s="21"/>
      <c r="CC14" s="21"/>
      <c r="CD14" s="21"/>
      <c r="CE14" s="21"/>
      <c r="CF14" s="22" t="s">
        <v>485</v>
      </c>
      <c r="CG14" s="22" t="s">
        <v>486</v>
      </c>
      <c r="CH14" s="21"/>
      <c r="CI14" s="21"/>
      <c r="CJ14" s="21"/>
      <c r="CK14" s="21"/>
      <c r="CL14" s="21"/>
      <c r="CM14" s="21"/>
      <c r="CN14" s="21"/>
      <c r="CO14" s="22" t="s">
        <v>487</v>
      </c>
      <c r="CP14" s="22" t="s">
        <v>487</v>
      </c>
      <c r="CQ14" s="21"/>
      <c r="CR14" s="21"/>
      <c r="CS14" s="21"/>
      <c r="CT14" s="21"/>
      <c r="CU14" s="21"/>
      <c r="CV14" s="21"/>
      <c r="CW14" s="21"/>
      <c r="CX14" s="21"/>
      <c r="CY14" s="21" t="s">
        <v>488</v>
      </c>
      <c r="CZ14" s="21"/>
      <c r="DA14" s="21"/>
      <c r="DB14" s="21"/>
      <c r="DC14"/>
      <c r="DD14"/>
      <c r="DE14"/>
      <c r="DF14" s="1" t="s">
        <v>525</v>
      </c>
      <c r="DG14" s="1" t="s">
        <v>525</v>
      </c>
    </row>
    <row r="15" spans="1:111" ht="12" customHeight="1" x14ac:dyDescent="0.75">
      <c r="A15" t="s">
        <v>102</v>
      </c>
      <c r="B15" t="s">
        <v>268</v>
      </c>
      <c r="C15" t="s">
        <v>92</v>
      </c>
      <c r="D15" t="s">
        <v>526</v>
      </c>
      <c r="E15" t="s">
        <v>92</v>
      </c>
      <c r="F15" t="s">
        <v>526</v>
      </c>
      <c r="G15" s="20" t="s">
        <v>56</v>
      </c>
      <c r="H15"/>
      <c r="I15"/>
      <c r="J15"/>
      <c r="K15"/>
      <c r="L15"/>
      <c r="M15"/>
      <c r="N15"/>
      <c r="O15"/>
      <c r="P15"/>
      <c r="Q15"/>
      <c r="R15"/>
      <c r="S15">
        <v>27</v>
      </c>
      <c r="T15" t="s">
        <v>79</v>
      </c>
      <c r="U15" t="s">
        <v>98</v>
      </c>
      <c r="V15" t="s">
        <v>141</v>
      </c>
      <c r="W15" t="s">
        <v>254</v>
      </c>
      <c r="X15" t="s">
        <v>141</v>
      </c>
      <c r="Y15" t="s">
        <v>108</v>
      </c>
      <c r="Z15" s="21" t="s">
        <v>285</v>
      </c>
      <c r="AA15" t="s">
        <v>254</v>
      </c>
      <c r="AB15" s="21" t="s">
        <v>254</v>
      </c>
      <c r="AC15" s="21" t="s">
        <v>134</v>
      </c>
      <c r="AD15" s="21" t="s">
        <v>254</v>
      </c>
      <c r="AE15" s="21">
        <v>30712</v>
      </c>
      <c r="AF15" s="21" t="s">
        <v>311</v>
      </c>
      <c r="AG15" t="s">
        <v>67</v>
      </c>
      <c r="AH15" t="s">
        <v>62</v>
      </c>
      <c r="AI15" t="s">
        <v>203</v>
      </c>
      <c r="AJ15" t="s">
        <v>144</v>
      </c>
      <c r="AK15" t="s">
        <v>108</v>
      </c>
      <c r="AL15" t="s">
        <v>172</v>
      </c>
      <c r="AM15" t="s">
        <v>256</v>
      </c>
      <c r="AN15" t="s">
        <v>167</v>
      </c>
      <c r="AO15" t="s">
        <v>226</v>
      </c>
      <c r="AP15" t="s">
        <v>108</v>
      </c>
      <c r="AQ15" t="s">
        <v>255</v>
      </c>
      <c r="AR15" t="s">
        <v>108</v>
      </c>
      <c r="AS15" t="s">
        <v>255</v>
      </c>
      <c r="AT15" t="s">
        <v>194</v>
      </c>
      <c r="AU15" t="s">
        <v>243</v>
      </c>
      <c r="AV15" t="s">
        <v>26</v>
      </c>
      <c r="AW15" t="s">
        <v>108</v>
      </c>
      <c r="AX15" t="s">
        <v>108</v>
      </c>
      <c r="AY15" t="s">
        <v>243</v>
      </c>
      <c r="AZ15" t="s">
        <v>83</v>
      </c>
      <c r="BA15" t="s">
        <v>193</v>
      </c>
      <c r="BB15" t="s">
        <v>106</v>
      </c>
      <c r="BC15" t="s">
        <v>121</v>
      </c>
      <c r="BD15" t="s">
        <v>108</v>
      </c>
      <c r="BE15" t="s">
        <v>161</v>
      </c>
      <c r="BF15" t="s">
        <v>161</v>
      </c>
      <c r="BG15" t="s">
        <v>238</v>
      </c>
      <c r="BH15" t="s">
        <v>161</v>
      </c>
      <c r="BI15" t="s">
        <v>39</v>
      </c>
      <c r="BJ15" t="s">
        <v>253</v>
      </c>
      <c r="BK15" t="s">
        <v>134</v>
      </c>
      <c r="BL15" s="22" t="s">
        <v>324</v>
      </c>
      <c r="BM15" s="21"/>
      <c r="BN15" s="21"/>
      <c r="BO15" s="21" t="s">
        <v>337</v>
      </c>
      <c r="BP15"/>
      <c r="BQ15" s="21" t="s">
        <v>489</v>
      </c>
      <c r="BR15" s="21" t="s">
        <v>490</v>
      </c>
      <c r="BS15" t="s">
        <v>491</v>
      </c>
      <c r="BT15" t="s">
        <v>492</v>
      </c>
      <c r="BU15" s="21">
        <f t="shared" si="0"/>
        <v>29</v>
      </c>
      <c r="BV15" s="21" t="s">
        <v>493</v>
      </c>
      <c r="BW15" s="21" t="s">
        <v>493</v>
      </c>
      <c r="BX15" s="22" t="s">
        <v>494</v>
      </c>
      <c r="BY15" s="22" t="s">
        <v>494</v>
      </c>
      <c r="BZ15" s="21"/>
      <c r="CA15" s="21"/>
      <c r="CB15" s="21"/>
      <c r="CC15" s="21" t="s">
        <v>495</v>
      </c>
      <c r="CD15" s="21" t="s">
        <v>495</v>
      </c>
      <c r="CE15" s="21"/>
      <c r="CF15" s="21" t="s">
        <v>496</v>
      </c>
      <c r="CG15" s="21" t="s">
        <v>497</v>
      </c>
      <c r="CH15" s="21"/>
      <c r="CI15" s="21"/>
      <c r="CJ15" s="21"/>
      <c r="CK15" s="21"/>
      <c r="CL15" s="21"/>
      <c r="CM15" s="21" t="s">
        <v>498</v>
      </c>
      <c r="CN15" s="21" t="s">
        <v>498</v>
      </c>
      <c r="CO15" s="21"/>
      <c r="CP15" s="21"/>
      <c r="CQ15" s="21" t="s">
        <v>499</v>
      </c>
      <c r="CR15" s="22" t="s">
        <v>500</v>
      </c>
      <c r="CS15" s="22" t="s">
        <v>500</v>
      </c>
      <c r="CT15" s="21" t="s">
        <v>371</v>
      </c>
      <c r="CU15" s="21" t="s">
        <v>362</v>
      </c>
      <c r="CV15" s="21"/>
      <c r="CW15" s="21"/>
      <c r="CX15" s="21" t="s">
        <v>134</v>
      </c>
      <c r="CY15" s="21" t="s">
        <v>501</v>
      </c>
      <c r="CZ15" s="21"/>
      <c r="DA15" s="21"/>
      <c r="DB15" s="21"/>
      <c r="DC15"/>
      <c r="DD15"/>
      <c r="DE15"/>
      <c r="DF15" s="1" t="s">
        <v>525</v>
      </c>
      <c r="DG15" s="1" t="s">
        <v>525</v>
      </c>
    </row>
    <row r="16" spans="1:111" ht="12" customHeight="1" x14ac:dyDescent="0.75">
      <c r="A16" t="s">
        <v>102</v>
      </c>
      <c r="B16" t="s">
        <v>268</v>
      </c>
      <c r="C16" t="s">
        <v>92</v>
      </c>
      <c r="D16" t="s">
        <v>526</v>
      </c>
      <c r="E16" t="s">
        <v>92</v>
      </c>
      <c r="F16" t="s">
        <v>526</v>
      </c>
      <c r="G16" s="20" t="s">
        <v>56</v>
      </c>
      <c r="H16"/>
      <c r="I16"/>
      <c r="J16"/>
      <c r="K16"/>
      <c r="L16"/>
      <c r="M16"/>
      <c r="N16"/>
      <c r="O16"/>
      <c r="P16"/>
      <c r="Q16"/>
      <c r="R16"/>
      <c r="S16">
        <v>28</v>
      </c>
      <c r="T16" t="s">
        <v>2</v>
      </c>
      <c r="U16" t="s">
        <v>0</v>
      </c>
      <c r="V16" t="s">
        <v>88</v>
      </c>
      <c r="W16" t="s">
        <v>33</v>
      </c>
      <c r="X16" t="s">
        <v>178</v>
      </c>
      <c r="Y16" t="s">
        <v>108</v>
      </c>
      <c r="Z16" s="21" t="s">
        <v>88</v>
      </c>
      <c r="AA16" t="s">
        <v>33</v>
      </c>
      <c r="AB16" s="21" t="s">
        <v>289</v>
      </c>
      <c r="AC16" s="21" t="s">
        <v>301</v>
      </c>
      <c r="AD16" s="21" t="s">
        <v>289</v>
      </c>
      <c r="AE16" s="21">
        <v>3494907</v>
      </c>
      <c r="AF16" s="21" t="s">
        <v>312</v>
      </c>
      <c r="AG16" t="s">
        <v>70</v>
      </c>
      <c r="AH16" t="s">
        <v>207</v>
      </c>
      <c r="AI16" t="s">
        <v>203</v>
      </c>
      <c r="AJ16" t="s">
        <v>144</v>
      </c>
      <c r="AK16" t="s">
        <v>108</v>
      </c>
      <c r="AL16" t="s">
        <v>172</v>
      </c>
      <c r="AM16" t="s">
        <v>256</v>
      </c>
      <c r="AN16" t="s">
        <v>59</v>
      </c>
      <c r="AO16" t="s">
        <v>260</v>
      </c>
      <c r="AP16" t="s">
        <v>108</v>
      </c>
      <c r="AQ16" t="s">
        <v>255</v>
      </c>
      <c r="AR16" t="s">
        <v>108</v>
      </c>
      <c r="AS16" t="s">
        <v>255</v>
      </c>
      <c r="AT16" t="s">
        <v>66</v>
      </c>
      <c r="AU16" t="s">
        <v>108</v>
      </c>
      <c r="AV16" t="s">
        <v>108</v>
      </c>
      <c r="AW16" t="s">
        <v>108</v>
      </c>
      <c r="AX16" t="s">
        <v>108</v>
      </c>
      <c r="AY16" t="s">
        <v>108</v>
      </c>
      <c r="AZ16" t="s">
        <v>196</v>
      </c>
      <c r="BA16" t="s">
        <v>108</v>
      </c>
      <c r="BB16" t="s">
        <v>108</v>
      </c>
      <c r="BC16" t="s">
        <v>108</v>
      </c>
      <c r="BD16" t="s">
        <v>108</v>
      </c>
      <c r="BE16" t="s">
        <v>108</v>
      </c>
      <c r="BF16" t="s">
        <v>108</v>
      </c>
      <c r="BG16" t="s">
        <v>108</v>
      </c>
      <c r="BH16" t="s">
        <v>108</v>
      </c>
      <c r="BI16" t="s">
        <v>174</v>
      </c>
      <c r="BJ16" t="s">
        <v>158</v>
      </c>
      <c r="BK16" t="s">
        <v>216</v>
      </c>
      <c r="BL16" s="22" t="s">
        <v>320</v>
      </c>
      <c r="BM16" s="22" t="s">
        <v>158</v>
      </c>
      <c r="BN16" s="21"/>
      <c r="BO16" s="21" t="s">
        <v>338</v>
      </c>
      <c r="BP16"/>
      <c r="BQ16" s="22" t="s">
        <v>502</v>
      </c>
      <c r="BR16" s="22" t="s">
        <v>503</v>
      </c>
      <c r="BS16" t="s">
        <v>504</v>
      </c>
      <c r="BT16" t="s">
        <v>449</v>
      </c>
      <c r="BU16" s="21">
        <f t="shared" si="0"/>
        <v>29</v>
      </c>
      <c r="BV16" s="22" t="s">
        <v>433</v>
      </c>
      <c r="BW16" s="22" t="s">
        <v>433</v>
      </c>
      <c r="BX16" s="22" t="s">
        <v>434</v>
      </c>
      <c r="BY16" s="22" t="s">
        <v>434</v>
      </c>
      <c r="BZ16" s="22" t="s">
        <v>216</v>
      </c>
      <c r="CA16" s="22" t="s">
        <v>216</v>
      </c>
      <c r="CB16" s="21" t="s">
        <v>450</v>
      </c>
      <c r="CC16" s="21" t="s">
        <v>451</v>
      </c>
      <c r="CD16" s="21" t="s">
        <v>452</v>
      </c>
      <c r="CE16" s="21"/>
      <c r="CF16" s="21" t="s">
        <v>453</v>
      </c>
      <c r="CG16" s="21" t="s">
        <v>454</v>
      </c>
      <c r="CH16" s="21"/>
      <c r="CI16" s="21"/>
      <c r="CJ16" s="21"/>
      <c r="CK16" s="21"/>
      <c r="CL16" s="21"/>
      <c r="CM16" s="21" t="s">
        <v>455</v>
      </c>
      <c r="CN16" s="21" t="s">
        <v>455</v>
      </c>
      <c r="CO16" s="21"/>
      <c r="CP16" s="21"/>
      <c r="CQ16" s="21"/>
      <c r="CR16" s="21" t="s">
        <v>505</v>
      </c>
      <c r="CS16" s="21" t="s">
        <v>506</v>
      </c>
      <c r="CT16" s="21"/>
      <c r="CU16" s="21"/>
      <c r="CV16" s="21"/>
      <c r="CW16" s="21"/>
      <c r="CX16" s="21" t="s">
        <v>507</v>
      </c>
      <c r="CY16" s="21" t="s">
        <v>445</v>
      </c>
      <c r="CZ16" s="21"/>
      <c r="DA16" s="21"/>
      <c r="DB16" s="21"/>
      <c r="DC16"/>
      <c r="DD16"/>
      <c r="DE16"/>
      <c r="DF16" s="1" t="s">
        <v>525</v>
      </c>
      <c r="DG16" s="1" t="s">
        <v>525</v>
      </c>
    </row>
    <row r="17" spans="1:111" ht="12" customHeight="1" x14ac:dyDescent="0.75">
      <c r="A17" t="s">
        <v>102</v>
      </c>
      <c r="B17" t="s">
        <v>268</v>
      </c>
      <c r="C17" t="s">
        <v>92</v>
      </c>
      <c r="D17" t="s">
        <v>526</v>
      </c>
      <c r="E17" t="s">
        <v>92</v>
      </c>
      <c r="F17" t="s">
        <v>526</v>
      </c>
      <c r="G17" s="20" t="s">
        <v>56</v>
      </c>
      <c r="H17"/>
      <c r="I17"/>
      <c r="J17"/>
      <c r="K17"/>
      <c r="L17"/>
      <c r="M17"/>
      <c r="N17"/>
      <c r="O17"/>
      <c r="P17"/>
      <c r="Q17"/>
      <c r="R17"/>
      <c r="S17">
        <v>31</v>
      </c>
      <c r="T17" t="s">
        <v>274</v>
      </c>
      <c r="U17" t="s">
        <v>180</v>
      </c>
      <c r="V17" t="s">
        <v>7</v>
      </c>
      <c r="W17" t="s">
        <v>227</v>
      </c>
      <c r="X17" t="s">
        <v>152</v>
      </c>
      <c r="Y17" t="s">
        <v>108</v>
      </c>
      <c r="Z17" s="21" t="s">
        <v>283</v>
      </c>
      <c r="AA17" t="s">
        <v>227</v>
      </c>
      <c r="AB17" s="21" t="s">
        <v>227</v>
      </c>
      <c r="AC17" s="21" t="s">
        <v>305</v>
      </c>
      <c r="AD17" s="21" t="s">
        <v>227</v>
      </c>
      <c r="AE17" s="21" t="s">
        <v>227</v>
      </c>
      <c r="AF17" s="21" t="s">
        <v>313</v>
      </c>
      <c r="AG17" t="s">
        <v>153</v>
      </c>
      <c r="AH17" t="s">
        <v>189</v>
      </c>
      <c r="AI17" t="s">
        <v>203</v>
      </c>
      <c r="AJ17" t="s">
        <v>144</v>
      </c>
      <c r="AK17" t="s">
        <v>108</v>
      </c>
      <c r="AL17" t="s">
        <v>172</v>
      </c>
      <c r="AM17" t="s">
        <v>256</v>
      </c>
      <c r="AN17" t="s">
        <v>108</v>
      </c>
      <c r="AO17" t="s">
        <v>255</v>
      </c>
      <c r="AP17" t="s">
        <v>108</v>
      </c>
      <c r="AQ17" t="s">
        <v>255</v>
      </c>
      <c r="AR17" t="s">
        <v>108</v>
      </c>
      <c r="AS17" t="s">
        <v>255</v>
      </c>
      <c r="AT17" t="s">
        <v>186</v>
      </c>
      <c r="AU17" t="s">
        <v>108</v>
      </c>
      <c r="AV17" t="s">
        <v>108</v>
      </c>
      <c r="AW17" t="s">
        <v>108</v>
      </c>
      <c r="AX17" t="s">
        <v>108</v>
      </c>
      <c r="AY17" t="s">
        <v>108</v>
      </c>
      <c r="AZ17" t="s">
        <v>135</v>
      </c>
      <c r="BA17" t="s">
        <v>108</v>
      </c>
      <c r="BB17" t="s">
        <v>108</v>
      </c>
      <c r="BC17" t="s">
        <v>108</v>
      </c>
      <c r="BD17" t="s">
        <v>108</v>
      </c>
      <c r="BE17" t="s">
        <v>108</v>
      </c>
      <c r="BF17" t="s">
        <v>161</v>
      </c>
      <c r="BG17" t="s">
        <v>239</v>
      </c>
      <c r="BH17" t="s">
        <v>108</v>
      </c>
      <c r="BI17" t="s">
        <v>84</v>
      </c>
      <c r="BJ17" t="s">
        <v>18</v>
      </c>
      <c r="BK17" t="s">
        <v>220</v>
      </c>
      <c r="BL17" s="22" t="s">
        <v>321</v>
      </c>
      <c r="BM17" s="21"/>
      <c r="BN17" s="21"/>
      <c r="BO17" s="21" t="s">
        <v>339</v>
      </c>
      <c r="BP17"/>
      <c r="BQ17" s="21" t="s">
        <v>508</v>
      </c>
      <c r="BR17" s="21" t="s">
        <v>509</v>
      </c>
      <c r="BS17" t="s">
        <v>510</v>
      </c>
      <c r="BT17" t="s">
        <v>511</v>
      </c>
      <c r="BU17" s="21">
        <f t="shared" si="0"/>
        <v>28</v>
      </c>
      <c r="BV17" s="21" t="s">
        <v>462</v>
      </c>
      <c r="BW17" s="21" t="s">
        <v>462</v>
      </c>
      <c r="BX17" s="21" t="s">
        <v>463</v>
      </c>
      <c r="BY17" s="21" t="s">
        <v>463</v>
      </c>
      <c r="BZ17" s="21" t="s">
        <v>220</v>
      </c>
      <c r="CA17" s="21" t="s">
        <v>220</v>
      </c>
      <c r="CB17" s="21" t="s">
        <v>512</v>
      </c>
      <c r="CC17" s="21"/>
      <c r="CD17" s="21"/>
      <c r="CE17" s="21"/>
      <c r="CF17" s="21" t="s">
        <v>513</v>
      </c>
      <c r="CG17" s="21" t="s">
        <v>514</v>
      </c>
      <c r="CH17" s="21"/>
      <c r="CI17" s="21"/>
      <c r="CJ17" s="21"/>
      <c r="CK17" s="21"/>
      <c r="CL17" s="21"/>
      <c r="CM17" s="21" t="s">
        <v>515</v>
      </c>
      <c r="CN17" s="21" t="s">
        <v>515</v>
      </c>
      <c r="CO17" s="21"/>
      <c r="CP17" s="21"/>
      <c r="CQ17" s="21"/>
      <c r="CR17" s="21" t="s">
        <v>516</v>
      </c>
      <c r="CS17" s="21"/>
      <c r="CT17" s="21" t="s">
        <v>371</v>
      </c>
      <c r="CU17" s="21" t="s">
        <v>405</v>
      </c>
      <c r="CV17" s="21"/>
      <c r="CW17" s="21"/>
      <c r="CX17" s="21"/>
      <c r="CY17" s="25" t="s">
        <v>517</v>
      </c>
      <c r="CZ17" s="21"/>
      <c r="DA17" s="21"/>
      <c r="DB17" s="21"/>
      <c r="DC17"/>
      <c r="DD17"/>
      <c r="DE17"/>
      <c r="DF17" s="1" t="s">
        <v>525</v>
      </c>
      <c r="DG17" s="1" t="s">
        <v>525</v>
      </c>
    </row>
    <row r="18" spans="1:111" ht="12" customHeight="1" x14ac:dyDescent="0.75">
      <c r="A18" t="s">
        <v>102</v>
      </c>
      <c r="B18" t="s">
        <v>268</v>
      </c>
      <c r="C18" t="s">
        <v>92</v>
      </c>
      <c r="D18" t="s">
        <v>526</v>
      </c>
      <c r="E18" t="s">
        <v>92</v>
      </c>
      <c r="F18" t="s">
        <v>526</v>
      </c>
      <c r="G18" s="20" t="s">
        <v>56</v>
      </c>
      <c r="H18"/>
      <c r="I18"/>
      <c r="J18"/>
      <c r="K18"/>
      <c r="L18"/>
      <c r="M18"/>
      <c r="N18"/>
      <c r="O18"/>
      <c r="P18"/>
      <c r="Q18"/>
      <c r="R18"/>
      <c r="S18">
        <v>32</v>
      </c>
      <c r="T18" t="s">
        <v>63</v>
      </c>
      <c r="U18" t="s">
        <v>180</v>
      </c>
      <c r="V18" t="s">
        <v>7</v>
      </c>
      <c r="W18" t="s">
        <v>104</v>
      </c>
      <c r="X18" t="s">
        <v>270</v>
      </c>
      <c r="Y18" t="s">
        <v>108</v>
      </c>
      <c r="Z18" s="21" t="s">
        <v>7</v>
      </c>
      <c r="AA18" t="s">
        <v>104</v>
      </c>
      <c r="AB18" s="21" t="s">
        <v>104</v>
      </c>
      <c r="AC18" s="21" t="s">
        <v>188</v>
      </c>
      <c r="AD18" s="21" t="s">
        <v>104</v>
      </c>
      <c r="AE18" s="21" t="s">
        <v>104</v>
      </c>
      <c r="AF18" s="21" t="s">
        <v>314</v>
      </c>
      <c r="AG18" t="s">
        <v>1</v>
      </c>
      <c r="AH18" t="s">
        <v>112</v>
      </c>
      <c r="AI18" t="s">
        <v>203</v>
      </c>
      <c r="AJ18" t="s">
        <v>258</v>
      </c>
      <c r="AK18" t="s">
        <v>108</v>
      </c>
      <c r="AL18" t="s">
        <v>172</v>
      </c>
      <c r="AM18" t="s">
        <v>256</v>
      </c>
      <c r="AN18" t="s">
        <v>59</v>
      </c>
      <c r="AO18" t="s">
        <v>223</v>
      </c>
      <c r="AP18" t="s">
        <v>108</v>
      </c>
      <c r="AQ18" t="s">
        <v>255</v>
      </c>
      <c r="AR18" t="s">
        <v>108</v>
      </c>
      <c r="AS18" t="s">
        <v>255</v>
      </c>
      <c r="AT18" t="s">
        <v>128</v>
      </c>
      <c r="AU18" t="s">
        <v>73</v>
      </c>
      <c r="AV18" t="s">
        <v>116</v>
      </c>
      <c r="AW18" t="s">
        <v>108</v>
      </c>
      <c r="AX18" t="s">
        <v>108</v>
      </c>
      <c r="AY18" t="s">
        <v>73</v>
      </c>
      <c r="AZ18" t="s">
        <v>108</v>
      </c>
      <c r="BA18" t="s">
        <v>231</v>
      </c>
      <c r="BB18" t="s">
        <v>87</v>
      </c>
      <c r="BC18" t="s">
        <v>121</v>
      </c>
      <c r="BD18" t="s">
        <v>108</v>
      </c>
      <c r="BE18" t="s">
        <v>161</v>
      </c>
      <c r="BF18" t="s">
        <v>161</v>
      </c>
      <c r="BG18" t="s">
        <v>238</v>
      </c>
      <c r="BH18" t="s">
        <v>161</v>
      </c>
      <c r="BI18" t="s">
        <v>75</v>
      </c>
      <c r="BJ18" t="s">
        <v>108</v>
      </c>
      <c r="BK18" t="s">
        <v>188</v>
      </c>
      <c r="BL18" s="22" t="s">
        <v>316</v>
      </c>
      <c r="BM18" s="21"/>
      <c r="BN18" s="21"/>
      <c r="BO18" s="21" t="s">
        <v>340</v>
      </c>
      <c r="BP18"/>
      <c r="BQ18" s="21" t="s">
        <v>518</v>
      </c>
      <c r="BR18" s="21" t="s">
        <v>519</v>
      </c>
      <c r="BS18" t="s">
        <v>520</v>
      </c>
      <c r="BT18" t="s">
        <v>521</v>
      </c>
      <c r="BU18" s="21">
        <f t="shared" si="0"/>
        <v>29</v>
      </c>
      <c r="BV18" s="21" t="s">
        <v>354</v>
      </c>
      <c r="BW18" s="21" t="s">
        <v>354</v>
      </c>
      <c r="BX18" s="21" t="s">
        <v>355</v>
      </c>
      <c r="BY18" s="21" t="s">
        <v>355</v>
      </c>
      <c r="BZ18" s="21"/>
      <c r="CA18" s="21"/>
      <c r="CB18" s="21" t="s">
        <v>356</v>
      </c>
      <c r="CC18" s="21"/>
      <c r="CD18" s="21"/>
      <c r="CE18" s="21"/>
      <c r="CF18" s="21" t="s">
        <v>522</v>
      </c>
      <c r="CG18" s="21" t="s">
        <v>523</v>
      </c>
      <c r="CH18" s="21"/>
      <c r="CI18" s="21"/>
      <c r="CJ18" s="21"/>
      <c r="CK18" s="21"/>
      <c r="CL18" s="21"/>
      <c r="CM18" s="21" t="s">
        <v>359</v>
      </c>
      <c r="CN18" s="21" t="s">
        <v>359</v>
      </c>
      <c r="CO18" s="21"/>
      <c r="CP18" s="21"/>
      <c r="CQ18" s="21"/>
      <c r="CR18" s="21" t="s">
        <v>360</v>
      </c>
      <c r="CS18" s="21" t="s">
        <v>361</v>
      </c>
      <c r="CT18" s="21" t="s">
        <v>371</v>
      </c>
      <c r="CU18" s="21" t="s">
        <v>362</v>
      </c>
      <c r="CV18" s="21" t="s">
        <v>363</v>
      </c>
      <c r="CW18" s="21"/>
      <c r="CX18" s="21"/>
      <c r="CY18" s="21" t="s">
        <v>524</v>
      </c>
      <c r="CZ18" s="21"/>
      <c r="DA18" s="21"/>
      <c r="DB18" s="21"/>
      <c r="DC18"/>
      <c r="DD18"/>
      <c r="DE18"/>
      <c r="DF18" s="1" t="s">
        <v>525</v>
      </c>
      <c r="DG18" s="1" t="s">
        <v>525</v>
      </c>
    </row>
  </sheetData>
  <hyperlinks>
    <hyperlink ref="CY17" r:id="rId1" display="https://mms.mckesson.com/product/872893/Medtronic-MITG-SYM252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2023-09-11T17:22:20Z</dcterms:modified>
  <cp:category/>
</cp:coreProperties>
</file>