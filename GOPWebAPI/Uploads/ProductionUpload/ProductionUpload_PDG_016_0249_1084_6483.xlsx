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calcChain.xml><?xml version="1.0" encoding="utf-8"?>
<calcChain xmlns="http://schemas.openxmlformats.org/spreadsheetml/2006/main">
  <c r="AX18" i="1"/>
  <c r="AX17"/>
  <c r="AX16"/>
  <c r="AX15"/>
  <c r="AX14"/>
  <c r="AX13"/>
  <c r="AX12"/>
  <c r="AX11"/>
  <c r="AX10"/>
  <c r="AX9"/>
  <c r="AX8"/>
  <c r="AX7"/>
  <c r="AX6"/>
  <c r="AX5"/>
  <c r="AX4"/>
  <c r="AX3"/>
  <c r="AX2"/>
</calcChain>
</file>

<file path=xl/sharedStrings.xml><?xml version="1.0" encoding="utf-8"?>
<sst xmlns="http://schemas.openxmlformats.org/spreadsheetml/2006/main" count="701" uniqueCount="356">
  <si>
    <t>Item Description (Long Description 4000)1</t>
  </si>
  <si>
    <t>IAK02691</t>
  </si>
  <si>
    <t>RefCat</t>
  </si>
  <si>
    <t>UNSPC V24</t>
  </si>
  <si>
    <t>Packaging for drugs and solutions</t>
  </si>
  <si>
    <t>PDG</t>
  </si>
  <si>
    <t>Age</t>
  </si>
  <si>
    <t>EsoSure Espophageal Retractor</t>
  </si>
  <si>
    <t>CATHETER IABP BALLOON 8FR DIA 0.027IN ID 17MM 26INL 6IN SHEATH POLYURETHANE PEBAX 50ML CARDIOTHANE II ARROW 0.025IN GW</t>
  </si>
  <si>
    <t>KIT INSERTION INTRA-AORTIC CATHETER 8.0FR 50ML 0.25IN GUIDEWIRE 6IN INTRODUCER STOPCOCK PRESSURE TUBING SCALPEL INTRODUCER NEEDLE HEMOSTASIS SHEATH DILATORX2</t>
  </si>
  <si>
    <t>Production Comments</t>
  </si>
  <si>
    <t>Tab</t>
  </si>
  <si>
    <t>PRODIGO1073972</t>
  </si>
  <si>
    <t>PRODIGO1073982</t>
  </si>
  <si>
    <t>QA Code</t>
  </si>
  <si>
    <t>Material</t>
  </si>
  <si>
    <t>DE Code</t>
  </si>
  <si>
    <t>Noun</t>
  </si>
  <si>
    <t>Validated MFR Num</t>
  </si>
  <si>
    <t>Job No</t>
  </si>
  <si>
    <t>PRODIGO1073977</t>
  </si>
  <si>
    <t>PRODIGO1073987</t>
  </si>
  <si>
    <t>Short Description 60 Enriched1</t>
  </si>
  <si>
    <t>11kProdigoItemKey</t>
  </si>
  <si>
    <t>Sort Code</t>
  </si>
  <si>
    <t>TUBING IABP INTRA-AORTIC BALLOON F/30ML 35ML 40ML IAB CATHETER CONNECTED LATEX-FREE</t>
  </si>
  <si>
    <t>Brandname2</t>
  </si>
  <si>
    <t>Description Duplicate</t>
  </si>
  <si>
    <t>Adjective</t>
  </si>
  <si>
    <t>64kProdigoItemKey</t>
  </si>
  <si>
    <t>Classification Remarks</t>
  </si>
  <si>
    <t>Prodigo Standard Short Description - 254</t>
  </si>
  <si>
    <t>IAK02693</t>
  </si>
  <si>
    <t>016-249-2</t>
  </si>
  <si>
    <t>Latex</t>
  </si>
  <si>
    <t>AC3 OPTIMUS IABP</t>
  </si>
  <si>
    <t>Customer Code</t>
  </si>
  <si>
    <t>IAK02271</t>
  </si>
  <si>
    <t>URL</t>
  </si>
  <si>
    <t>ForGhria_Output_2023-10-05</t>
  </si>
  <si>
    <t>Data Enrichment | UNSPSC Classification</t>
  </si>
  <si>
    <t>Source1</t>
  </si>
  <si>
    <t>HCPCS code</t>
  </si>
  <si>
    <t>Item Name (Short Description)</t>
  </si>
  <si>
    <t>Quality A/R</t>
  </si>
  <si>
    <t>Accepted Date</t>
  </si>
  <si>
    <t>Mapped with 066</t>
  </si>
  <si>
    <t>MN100001</t>
  </si>
  <si>
    <t>Production User</t>
  </si>
  <si>
    <t>IAA09004</t>
  </si>
  <si>
    <t>Volume/Weight</t>
  </si>
  <si>
    <t>Remarks</t>
  </si>
  <si>
    <t>ASIS Item Description (Long Description 4000)</t>
  </si>
  <si>
    <t>Gender</t>
  </si>
  <si>
    <t>Project1</t>
  </si>
  <si>
    <t>KIT CATHETER IABP 8FR DIA 40ML 3-WAY LUER STOPCOCK W/60ML SYRINGE DILATOR SCALPEL INTRODUCER NEEDLE HEMOSTASIS SHEATH SIDEPORT ARROW LATEX-FREE 0.025IN GW</t>
  </si>
  <si>
    <t>ProdigoItemKey</t>
  </si>
  <si>
    <t>Start Date</t>
  </si>
  <si>
    <t>CHJ</t>
  </si>
  <si>
    <t>Ref#</t>
  </si>
  <si>
    <t>SlNo</t>
  </si>
  <si>
    <t>PRODIGO1073976</t>
  </si>
  <si>
    <t>PRODIGO1073986</t>
  </si>
  <si>
    <t>IAB : PUMP TUBING 50 CC</t>
  </si>
  <si>
    <t>QE Comments</t>
  </si>
  <si>
    <t>PDF</t>
  </si>
  <si>
    <t>Source</t>
  </si>
  <si>
    <t>IAK07848</t>
  </si>
  <si>
    <t>Mfg Name</t>
  </si>
  <si>
    <t>TELEFLEX</t>
  </si>
  <si>
    <t>Modifier</t>
  </si>
  <si>
    <t>IAK02263</t>
  </si>
  <si>
    <t>Corrected By</t>
  </si>
  <si>
    <t>TUBING IABP 86INL PRE-ATTACHED CONNECTOR F/40CC CATHETER ARROW LATEX-FREE</t>
  </si>
  <si>
    <t>8.5FR FINISHED KIT INSERTION</t>
  </si>
  <si>
    <t>Len</t>
  </si>
  <si>
    <t>Previous CE Code</t>
  </si>
  <si>
    <t>Potential Duplicates1</t>
  </si>
  <si>
    <t>SE Code</t>
  </si>
  <si>
    <t>Standardized Manufacturer Name</t>
  </si>
  <si>
    <t>PAPER RECORDING EKG MONITORING 50MMW X 275FTL ROLL BLANK F/ARROW ACAT 1/IAM-9001</t>
  </si>
  <si>
    <t>SLNo_Prod</t>
  </si>
  <si>
    <t>TUBING IABP 58INL F/50ML CATHETER DATASCOPE CONSOLE SYSTEM ARROW LATEX-FREE</t>
  </si>
  <si>
    <t>Long Description 254 Enriched1</t>
  </si>
  <si>
    <t>Disposable</t>
  </si>
  <si>
    <t>Sort Comment</t>
  </si>
  <si>
    <t>HCPCS Desc1</t>
  </si>
  <si>
    <t>Delivered Date</t>
  </si>
  <si>
    <t>TELEFLEX ARROW INTL INC</t>
  </si>
  <si>
    <t>IAB STATLOCK STABILIZATION DEVICE</t>
  </si>
  <si>
    <t>Mfg Item Number</t>
  </si>
  <si>
    <t>PRODIGO1073980</t>
  </si>
  <si>
    <t>Miscellaneous1</t>
  </si>
  <si>
    <t>Remarks1</t>
  </si>
  <si>
    <t>EPREWARD</t>
  </si>
  <si>
    <t>Activities</t>
  </si>
  <si>
    <t>QE Code</t>
  </si>
  <si>
    <t>PRODIGO1073955</t>
  </si>
  <si>
    <t>PRODIGO1073975</t>
  </si>
  <si>
    <t>PRODIGO1073985</t>
  </si>
  <si>
    <t>Conc</t>
  </si>
  <si>
    <t>Project</t>
  </si>
  <si>
    <t>Long Description</t>
  </si>
  <si>
    <t>Location</t>
  </si>
  <si>
    <t>Size</t>
  </si>
  <si>
    <t>HCPCS description</t>
  </si>
  <si>
    <t>Status</t>
  </si>
  <si>
    <t>Potential Duplicates</t>
  </si>
  <si>
    <t>HELIUM: HZL 105 LITER 22 16 PS</t>
  </si>
  <si>
    <t>File Name</t>
  </si>
  <si>
    <t>Ref</t>
  </si>
  <si>
    <t>UNSPSC</t>
  </si>
  <si>
    <t>IAK06845</t>
  </si>
  <si>
    <t>X</t>
  </si>
  <si>
    <t>UNSPSC1</t>
  </si>
  <si>
    <t>Sterile</t>
  </si>
  <si>
    <t>Batch</t>
  </si>
  <si>
    <t>Color</t>
  </si>
  <si>
    <t>Short Description 60 Enriched</t>
  </si>
  <si>
    <t>Validated MFR Name</t>
  </si>
  <si>
    <t>Classification Remarks1</t>
  </si>
  <si>
    <t>UNSPSC Description1</t>
  </si>
  <si>
    <t>Standardized UNSPSC</t>
  </si>
  <si>
    <t>QA Comments</t>
  </si>
  <si>
    <t>Short Description</t>
  </si>
  <si>
    <t>IAKS7IT</t>
  </si>
  <si>
    <t>ProdigoItemKey1</t>
  </si>
  <si>
    <t>PRODIGO1073981</t>
  </si>
  <si>
    <t>Project_Code</t>
  </si>
  <si>
    <t>PRODIGO1073979</t>
  </si>
  <si>
    <t>TUBING IABP 86INL PRE-ATTACHED CONNECTOR F/30CC CATHETER ARROW LATEX-FREE</t>
  </si>
  <si>
    <t>Long Description 254 Enriched</t>
  </si>
  <si>
    <t>CATHETER IABP INTRA-AORTIC BALLOON 7FR DIA 30ML FLEXIBLE WIRE REINFORCED HEMOSTASIS SHEATH W/0.25IN DIA GUIDEWIRE INTRODUCER NEEDLE REDIGUARD LATEX-FREE</t>
  </si>
  <si>
    <t>To Process</t>
  </si>
  <si>
    <t>BrandName</t>
  </si>
  <si>
    <t>UNSPSC Description</t>
  </si>
  <si>
    <t>IAB06850U</t>
  </si>
  <si>
    <t>IABS730C</t>
  </si>
  <si>
    <t>Standardized UNSPSC1</t>
  </si>
  <si>
    <t>PRODIGO1073984</t>
  </si>
  <si>
    <t>Item Description (Long Description)</t>
  </si>
  <si>
    <t>KIT CATHETER IABP 7FR DIA 30ML 3-WAY LUER STOPCOCK W/60ML SYRINGE DILATOR SCALPEL INTRODUCER NEEDLE HEMOSTASIS SHEATH SIDEPORT ARROW LATEX-FREE 0.025IN GW</t>
  </si>
  <si>
    <t>PRODIGO1073973</t>
  </si>
  <si>
    <t>PRODIGO1073983</t>
  </si>
  <si>
    <t>HCPCS1</t>
  </si>
  <si>
    <t>RefName</t>
  </si>
  <si>
    <t>Delivered</t>
  </si>
  <si>
    <t>Miscellaneous</t>
  </si>
  <si>
    <t>IAP0700</t>
  </si>
  <si>
    <t>Mfg Ref ID</t>
  </si>
  <si>
    <t>Property</t>
  </si>
  <si>
    <t>Standardized Manufacturer Item Number</t>
  </si>
  <si>
    <t>Project2</t>
  </si>
  <si>
    <t>CE Comments</t>
  </si>
  <si>
    <t>Descr Status</t>
  </si>
  <si>
    <t>Job No1</t>
  </si>
  <si>
    <t>To_Process</t>
  </si>
  <si>
    <t>IB0200</t>
  </si>
  <si>
    <t>KIT INSERTION INTRA-AORTIC CATHETER FIBER OPTIC 7.5FR 30/40ML 0.025IN GUIDEWIREX2 60ML SYRINGE/DILATOR ONE-WAY STOPCOCK SCALPEL INTRODUCER NEEDLE HEMOSTASIS SHEATH W/SIDEPORT ARROW AUTOCAT SERIES</t>
  </si>
  <si>
    <t>IAB05850LWS</t>
  </si>
  <si>
    <t>IAH09048</t>
  </si>
  <si>
    <t>SE Comments</t>
  </si>
  <si>
    <t>URL1</t>
  </si>
  <si>
    <t>IAK02692</t>
  </si>
  <si>
    <t>Count</t>
  </si>
  <si>
    <t>PrimaryDimension(IDXODXLXWXHXDXTHK)</t>
  </si>
  <si>
    <t>IAKS8IT</t>
  </si>
  <si>
    <t>Secondary Dimension(IDXODXLXWXHXDXTHK)</t>
  </si>
  <si>
    <t>PRODIGO1073978</t>
  </si>
  <si>
    <t>PRODIGO1073988</t>
  </si>
  <si>
    <t>Potential / Desc Duplicate across Consolidated</t>
  </si>
  <si>
    <t>TELEFLEX INC</t>
  </si>
  <si>
    <t>EPREWARD_MN100001</t>
  </si>
  <si>
    <t>IAA-09004</t>
  </si>
  <si>
    <t>TELEFLEX_IAA09004</t>
  </si>
  <si>
    <t>IAB-05850-LWS</t>
  </si>
  <si>
    <t>TELEFLEX_IAB05850LWS</t>
  </si>
  <si>
    <t>IAB-06850-U</t>
  </si>
  <si>
    <t>TELEFLEX_IAB06850U</t>
  </si>
  <si>
    <t>IAB-S730C</t>
  </si>
  <si>
    <t>TELEFLEX_IABS730C</t>
  </si>
  <si>
    <t>IAH-09048</t>
  </si>
  <si>
    <t>TELEFLEX_IAH09048</t>
  </si>
  <si>
    <t>IAK-02263</t>
  </si>
  <si>
    <t>TELEFLEX_IAK02263</t>
  </si>
  <si>
    <t>IAK-02271</t>
  </si>
  <si>
    <t>TELEFLEX_IAK02271</t>
  </si>
  <si>
    <t>IAK-02691</t>
  </si>
  <si>
    <t>TELEFLEX_IAK02691</t>
  </si>
  <si>
    <t>IAK-02692</t>
  </si>
  <si>
    <t>TELEFLEX_IAK02692</t>
  </si>
  <si>
    <t>IAK-02693</t>
  </si>
  <si>
    <t>TELEFLEX_IAK02693</t>
  </si>
  <si>
    <t>IAK-06845</t>
  </si>
  <si>
    <t>TELEFLEX_IAK06845</t>
  </si>
  <si>
    <t>IAK-07848</t>
  </si>
  <si>
    <t>TELEFLEX_IAK07848</t>
  </si>
  <si>
    <t>IAK-S7IT</t>
  </si>
  <si>
    <t>TELEFLEX_IAKS7IT</t>
  </si>
  <si>
    <t>IAK-S8IT</t>
  </si>
  <si>
    <t>TELEFLEX_IAKS8IT</t>
  </si>
  <si>
    <t>IAP-0700</t>
  </si>
  <si>
    <t>TELEFLEX_IAP0700</t>
  </si>
  <si>
    <t>TELEFLEX_IB0200</t>
  </si>
  <si>
    <t>42293107  Surgical retractors</t>
  </si>
  <si>
    <t>RETRACTOR, SURGICAL, ESOPHAGEAL, ESOSURE</t>
  </si>
  <si>
    <t>RETRACTOR, SURGICAL, ESOPHAGEAL, ESOSURE, MN100001</t>
  </si>
  <si>
    <t>RETRACTOR, SURG, ESOPH, ESOSURE</t>
  </si>
  <si>
    <t>RETRACTOR, SURG, ESOPH, ESOSURE, MN100001</t>
  </si>
  <si>
    <t>RETRACTOR</t>
  </si>
  <si>
    <t>SURGICAL</t>
  </si>
  <si>
    <t>ESOPHAGEAL</t>
  </si>
  <si>
    <t>ESOSURE</t>
  </si>
  <si>
    <t>URL NOT FOUND</t>
  </si>
  <si>
    <t>42181723  Electrocardiography EKG recording papers</t>
  </si>
  <si>
    <t>Chart Paper (Box of 10)</t>
  </si>
  <si>
    <t>PAPER, CHART, RECORDING, 275 FTX50 MM, EKG MONITORING, ROLL BLANK FOR ARROW ACAT 1/IAM-9001, STERILE, LATEX</t>
  </si>
  <si>
    <t>PAPER, CHART, RECORDING, 275 FTX50 MM, EKG MONITORING, RL BLNK FOR ARW ACAT 1/IAM-9001, STRL, LTX</t>
  </si>
  <si>
    <t>PAPER, CHART, RECORDING, 275 FTX50 MM, EKG MONITORING, RL BLNK</t>
  </si>
  <si>
    <t>PAPER</t>
  </si>
  <si>
    <t>CHART</t>
  </si>
  <si>
    <t>RECORDING</t>
  </si>
  <si>
    <t>275 FTX50 MM</t>
  </si>
  <si>
    <t>EKG MONITORING, ROLL BLANK FOR ARROW ACAT 1/IAM-9001</t>
  </si>
  <si>
    <t>STERILE</t>
  </si>
  <si>
    <t>LATEX</t>
  </si>
  <si>
    <t>ARROW</t>
  </si>
  <si>
    <t>42294732  Intraaortic balloon pump accessories</t>
  </si>
  <si>
    <t>50 cc FiberOptix IAB Catheters</t>
  </si>
  <si>
    <t>CATHETER, INTRA-AORTIC BALLOON, 0.025 IN, 0.027 INX8 FRX26 IN, 6 IN, 50 CC, SHEATH, PEBAX, POLYURETHANE, STERILE, FIBEROPTIX, CARDIOTHANE II, LATEX-FREE</t>
  </si>
  <si>
    <t>CATHETER, IAB, 0.025 IN, 0.027 INX8 FRX26 IN, 6 IN, 50 CC, SHTH, PEBAX, POLYURETHANE, STRL, FIBEROPTIX, CARDIOTHANE II, ARW, LF</t>
  </si>
  <si>
    <t>CATHETER, IAB, 0.025 IN, 0.027 INX8 FRX26 IN, 6 IN, 50 CC, SHTH</t>
  </si>
  <si>
    <t>CATHETER</t>
  </si>
  <si>
    <t>INTRA-AORTIC BALLOON</t>
  </si>
  <si>
    <t>0.025 IN</t>
  </si>
  <si>
    <t>0.027 INX8 FRX26 IN</t>
  </si>
  <si>
    <t>6 IN</t>
  </si>
  <si>
    <t>50 CC</t>
  </si>
  <si>
    <t>SHEATH, PEBAX</t>
  </si>
  <si>
    <t>POLYURETHANE</t>
  </si>
  <si>
    <t>FIBEROPTIX, CARDIOTHANE II</t>
  </si>
  <si>
    <t>LATEX-FREE</t>
  </si>
  <si>
    <t>50 cc UltraFlex IAB Catheters</t>
  </si>
  <si>
    <t>CATHETER, INTRA-AORTIC BALLOON, 0.025 IN, 8 FRX26 IN, 6 IN, 50 CC, INTRODUCER STOPCOCK, PRESSURE, TUBING, SCALPEL, NEEDLE HEMOSTASIS SHEATH, KIT, INSERTION, GUIDEWIRE, STERILE, ULTRAFLEX, LATEX-FREE</t>
  </si>
  <si>
    <t>CATHETER, IAB, 0.025 IN, 8 FRX26 IN, 6 IN, 50 CC, INTRO STOPCOCK, PRESSURE, TBNG, SCALPEL, NDL HEMSTAS SHTH, KT, INSRTN, GUIDEWIRE, STRL, UFLX, LF</t>
  </si>
  <si>
    <t>CATHETER, IAB, 0.025 IN, 8 FRX26 IN, 6 IN, 50 CC, INTRO STOPCOCK</t>
  </si>
  <si>
    <t>8 FRX26 IN</t>
  </si>
  <si>
    <t>INTRODUCER STOPCOCK, PRESSURE, TUBING, SCALPEL, NEEDLE HEMOSTASIS SHEATH, KIT, INSERTION, GUIDEWIRE</t>
  </si>
  <si>
    <t>ULTRAFLEX</t>
  </si>
  <si>
    <t>RediGuard IAB Catheter</t>
  </si>
  <si>
    <t>CATHETER, INTRA-AORTIC BALLOON, 0.025 IN, 7 FRX26.8 IN, FLEXIBLE WIRE, REINFORCED, HEMOSTASIS SHEATH, GUIDEWIRE, INTRODUCER NEEDLE, STERILE, REDIGUARD, LATEX-FREE</t>
  </si>
  <si>
    <t>CATHETER, IAB, 0.025 IN, 7 FRX26.8 IN, FLX WIRE, REINF, HEMSTAS SHTH, GUIDEWIRE, INTRO NDL, STRL, REDIGUARD, LF</t>
  </si>
  <si>
    <t>CATHETER, IAB, 0.025 IN, 7 FRX26.8 IN, FLX WIRE, REINF, REDIGUARD</t>
  </si>
  <si>
    <t>7 FRX26.8 IN</t>
  </si>
  <si>
    <t>FLEXIBLE WIRE, REINFORCED, HEMOSTASIS SHEATH, GUIDEWIRE, INTRODUCER NEEDLE</t>
  </si>
  <si>
    <t>REDIGUARD</t>
  </si>
  <si>
    <t>Helium Tank, 105 liter (each)</t>
  </si>
  <si>
    <t>TANK, HELIUM, 16 PSI, 105 CC, STERILE, LATEX</t>
  </si>
  <si>
    <t>TANK, HELIUM, 16 PSI, 105 CC, STRL, LTX</t>
  </si>
  <si>
    <t>TANK</t>
  </si>
  <si>
    <t>HELIUM</t>
  </si>
  <si>
    <t>16 PSI</t>
  </si>
  <si>
    <t>105 CC</t>
  </si>
  <si>
    <t>HZL, 22</t>
  </si>
  <si>
    <t>Driveline tubing for use with Datascope Balloon Pumps and Arrow 30 cc and 40 cc IAB catheters</t>
  </si>
  <si>
    <t>TUBING, CONNECTING, DRIVELINE, 30 CC, 35 CC, 40 CC, FOR USE WITH DATASCOPE, BALLOON PUMP, IAB CATHETER, STERILE, LATEX</t>
  </si>
  <si>
    <t>TUBING, CONN, DRIVELINE, 30 CC, 35 CC, 40 CC, FOR USE W/ DATASCP, BALLOON PMP, IAB CATH, STRL, LTX</t>
  </si>
  <si>
    <t>TUBING, CONN, DRIVELINE, 30 CC, 35 CC, 40 CC, FOR USE W/ DATASCP</t>
  </si>
  <si>
    <t>TUBING</t>
  </si>
  <si>
    <t>CONNECTING</t>
  </si>
  <si>
    <t>DRIVELINE</t>
  </si>
  <si>
    <t>30 CC, 35 CC, 40 CC</t>
  </si>
  <si>
    <t>FOR USE WITH DATASCOPE, BALLOON PUMP, IAB CATHETER</t>
  </si>
  <si>
    <t>Driveline tubing for use with Datascope Balloon Pumps and Arrow 50 cc IAB catheters</t>
  </si>
  <si>
    <t>TUBING, CONNECTING, DRIVELINE, 58 IN, 50 CC, FOR USE WITH DATASCOPE CONSOLE SYSTEM, BALLOON PUMP, IAB CATHETER, STERILE, LATEX</t>
  </si>
  <si>
    <t>TUBING, CONN, DRIVELINE, 58 IN, 50 CC, FOR USE W/ DATASCP CONSOLE SYS, BALLOON PMP, IAB CATH, STRL, LTX</t>
  </si>
  <si>
    <t>TUBING, CONN, DRIVELINE, 58 IN, 50 CC, FOR USE W/ DATASCP CONSOLE</t>
  </si>
  <si>
    <t>58 IN</t>
  </si>
  <si>
    <t>FOR USE WITH DATASCOPE CONSOLE SYSTEM, BALLOON PUMP, IAB CATHETER</t>
  </si>
  <si>
    <t>Driveline tubing with pre-attached Arrow 30 cc pump connector for use with Arrow pump consoles, fiber-optic, and fluid-filled 30 cc
IAB catheters</t>
  </si>
  <si>
    <t>TUBING, CONNECTING, DRIVELINE, 86 IN, 30 CC, WITH PRE-ATTACHED, FOR USE WITH PUMP CONSOLE, FIBER-OPTIC, FLUID-FILLED IAB CATHETER, STERILE, LATEX</t>
  </si>
  <si>
    <t>TUBING, CONN, DRIVELINE, 86 IN, 30 CC, W/ PRE-ATTACHED, PMP, FOR USE W/ PMP CONSOLE, FIBER-OPTIC, FLUID-FILLED IAB CATH, STRL, LTX</t>
  </si>
  <si>
    <t>TUBING, CONN, DRIVELINE, 86 IN, 30 CC, W/ PRE-ATTACHED, PMP</t>
  </si>
  <si>
    <t>86 IN</t>
  </si>
  <si>
    <t>30 CC</t>
  </si>
  <si>
    <t>WITH PRE-ATTACHED, FOR USE WITH PUMP CONSOLE, FIBER-OPTIC, FLUID-FILLED IAB CATHETER</t>
  </si>
  <si>
    <t>Driveline tubing with pre-attached Arrow 40 cc pump connector for use with Arrow pump consoles, fiber-optic, and fluid-filled 40 cc
IAB catheters</t>
  </si>
  <si>
    <t>TUBING, CONNECTING, DRIVELINE, 86 IN, 40 CC, WITH PRE-ATTACHED, FOR USE WITH PUMP CONSOLE, FIBER-OPTIC, AND FLUID-FILLED, IAB CATHETER, STERILE, LATEX</t>
  </si>
  <si>
    <t>TUBING, CONN, DRIVELINE, 86 IN, 40 CC, W/ PRE-ATTACHED, PMP, FOR USE W/ PMP CONSOLE, FIBER-OPTIC, &amp; FLUID-FILLED, IAB CATH, STRL, LTX</t>
  </si>
  <si>
    <t>TUBING, CONN, DRIVELINE, 86 IN, 40 CC, W/ PRE-ATTACHED, PMP</t>
  </si>
  <si>
    <t>40 CC</t>
  </si>
  <si>
    <t>WITH PRE-ATTACHED, FOR USE WITH PUMP CONSOLE, FIBER-OPTIC, AND FLUID-FILLED, IAB CATHETER</t>
  </si>
  <si>
    <t>Driveline tubing with pre-attached Arrow 50 cc pump connector for use with Arrow pump consoles and 50 cc RediGuard IAB catheters</t>
  </si>
  <si>
    <t>TUBING, CONNECTING, DRIVELINE, 50 CC, PRE-ATTACHED, FOR USE WITH PUMP CONSOLE, REDIGUARD IAB CATHETER, STERILE, LATEX</t>
  </si>
  <si>
    <t>TUBING, CONN, DRIVELINE, 50 CC, PRE-ATTACHED, PMP, FOR USE W/ PMP CONSOLE, REDIGUARD IAB CATH, STRL, LTX</t>
  </si>
  <si>
    <t>TUBING, CONN, DRIVELINE, 50 CC, PRE-ATTACHED, W/ PMP CONSOLE</t>
  </si>
  <si>
    <t>PRE-ATTACHED, FOR USE WITH PUMP CONSOLE, REDIGUARD IAB CATHETER</t>
  </si>
  <si>
    <t>Replacement insertion kit for use with UltraFlex 7.5, Ultra 8 fiber-optic and fluid-filled IAB catheters</t>
  </si>
  <si>
    <t>CATHETER KIT, 0.025 IN, 7.5 FR, 8.5 FR, 30/40 CC, 60 CC, REPLACEMENT INSERTION, FOR USE WITH ULTRAFLEX 7.5, ULTRA 8 FIBER-OPTIC, FLUID-FILLED IAB, GUIDEWIRE, SYRINGE/DILATOR, ONE-WAY STOPCOCK, SCALPEL INTRODUCER NEEDLE, STERILE, LATEX</t>
  </si>
  <si>
    <t>CATHETER KIT, 0.025 IN, 7.5 FR, 8.5 FR, 30/40 CC, 60 CC, REPL INSRTN, FOR USE W/ UFLX 7.5, ULTRA 8 FIBER-OPTIC, FLUID-FILLED IAB, GUIDEWIRE, SYRINGE/DILATOR, ONE-WAY STOPCOCK, SCALPEL INTRO NDL, STRL, LTX</t>
  </si>
  <si>
    <t>CATHETER KIT, 0.025 IN, 7.5 FR, 8.5 FR, 30/40 CC, 60 CC, REPL</t>
  </si>
  <si>
    <t>CATHETER KIT</t>
  </si>
  <si>
    <t>7.5 FR, 8.5 FR</t>
  </si>
  <si>
    <t>30/40 CC, 60 CC</t>
  </si>
  <si>
    <t>REPLACEMENT INSERTION, FOR USE WITH ULTRAFLEX 7.5, ULTRA 8 FIBER-OPTIC, FLUID-FILLED IAB, GUIDEWIRE, SYRINGE/DILATOR, ONE-WAY STOPCOCK, SCALPEL INTRODUCER NEEDLE</t>
  </si>
  <si>
    <t>Replacement insertion kit for use with all of Arrow 50 cc IAB catheters</t>
  </si>
  <si>
    <t>CATHETER KIT, 8.5 FR, 50 CC, REPLACEMENT INSERTION, FOR USE WITH ALL OF IAB, STERILE, LATEX</t>
  </si>
  <si>
    <t>CATHETER KIT, 8.5 FR, 50 CC, REPL INSRTN, FOR USE W/ ALL OF IAB, STRL, LTX</t>
  </si>
  <si>
    <t>CATHETER KIT, 8.5 FR, 50 CC, REPL INSRTN, FOR USE W/ ALL OF IAB</t>
  </si>
  <si>
    <t>8.5 FR</t>
  </si>
  <si>
    <t>REPLACEMENT INSERTION, FOR USE WITH ALL OF IAB</t>
  </si>
  <si>
    <t>Replacement insertion kit for use with RediGuard 30 cc IAB catheters</t>
  </si>
  <si>
    <t>CATHETER KIT, 3 WAY, 0.025 IN, 7 FR, 30 CC, REPLACEMENT INSERTION, LUER, STOPCOCK, WITH 60 CC SYRINGE, DILATOR, SCALPEL, INTRODUCER NEEDLE, HEMOSTASIS SHEATH, SIDEPORT, STERILE, LATEX-FREE</t>
  </si>
  <si>
    <t>CATHETER KIT, 3 W, 0.025 IN, 7 FR, 30 CC, REPL INSRTN, LUER, STOPCOCK, W/ 60 CC SYR, DIL, SCALPEL, INTRO NDL, HEMSTAS SHTH, SIDEPRT, STRL, LF</t>
  </si>
  <si>
    <t>CATHETER KIT, 3 W, 0.025 IN, 7 FR, 30 CC, REPL INSRTN, LUER</t>
  </si>
  <si>
    <t>3 WAY</t>
  </si>
  <si>
    <t>7 FR</t>
  </si>
  <si>
    <t>REPLACEMENT INSERTION, LUER, STOPCOCK, WITH 60 CC SYRINGE, DILATOR, SCALPEL, INTRODUCER NEEDLE, HEMOSTASIS SHEATH, SIDEPORT</t>
  </si>
  <si>
    <t>Replacement insertion kit for use with RediGuard 40 cc IAB catheters</t>
  </si>
  <si>
    <t>CATHETER KIT, 3 WAY, 0.025 IN, 8 FR, 40 CC, REPLACEMENT INSERTION, LUER, STOPCOCK, WITH 60 CC SYRINGE, DILATOR, SCALPEL, INTRODUCER NEEDLE, HEMOSTASIS SHEATH, SIDEPORT, STERILE, LATEX-FREE</t>
  </si>
  <si>
    <t>CATHETER KIT, 3 W, 0.025 IN, 8 FR, 40 CC, REPL INSRTN, LUER, STOPCOCK, W/ 60 CC SYR, DIL, SCALPEL, INTRO NDL, HEMSTAS SHTH, SIDEPRT, STRL, LF</t>
  </si>
  <si>
    <t>CATHETER KIT, 3 W, 0.025 IN, 8 FR, 40 CC, REPL INSRTN, LUER</t>
  </si>
  <si>
    <t>8 FR</t>
  </si>
  <si>
    <t>42294702  Intraaortic balloon pumps</t>
  </si>
  <si>
    <t>AC3 Optimus IABP System</t>
  </si>
  <si>
    <t>SYSTEM, INTRA-AORTIC BALLOON, STERILE, AC3 OPTIMUS, LATEX-FREE</t>
  </si>
  <si>
    <t>SYSTEM, IAB, STRL, AC3 OPTIMUS, LF</t>
  </si>
  <si>
    <t>SYSTEM</t>
  </si>
  <si>
    <t>AC3 OPTIMUS</t>
  </si>
  <si>
    <t>42221803  Intravenous or arterial catheter positioning tapes or dressings or straps or cuffs</t>
  </si>
  <si>
    <t>StatLock Stabilization Device</t>
  </si>
  <si>
    <t>DEVICE, STABILIZATION , STATLOCK</t>
  </si>
  <si>
    <t>DEVICE, STBL , STATLOK</t>
  </si>
  <si>
    <t>DEVICE, STBL, STATLOK</t>
  </si>
  <si>
    <t>DEVICE</t>
  </si>
  <si>
    <t xml:space="preserve">STABILIZATION </t>
  </si>
  <si>
    <t>STATLOCK</t>
  </si>
  <si>
    <t>https://www.teleflex.com/la/es/product-areas/interventional/cardiac-assist/intra-aortic-balloon-catheters/EN_CC_IAB_Statlock-Stabilization-Device.pdf</t>
  </si>
  <si>
    <t>https://www.teleflex.com/usa/en/product-areas/interventional/MC-005574_Interventional_2019_Product_Ordering_Catalog_Rev-1.pdf, https://accessgudid.nlm.nih.gov/devices/30801902084935</t>
  </si>
  <si>
    <t>https://www.teleflex.com/usa/en/product-areas/interventional/cardiac-assist/intra-aortic-balloon-catheters/MC-004833_IABP_50cc_Options_SS_3-25-21.pdf, https://accessgudid.nlm.nih.gov/devices/10801902167726</t>
  </si>
  <si>
    <t>https://www.teleflex.com/usa/en/product-areas/interventional/cardiac-assist/intra-aortic-balloon-catheters/MC-004833_IABP_50cc_Options_SS_3-25-21.pdf, https://accessgudid.nlm.nih.gov/devices/10801902144192</t>
  </si>
  <si>
    <t>https://www.teleflex.com/usa/en/product-areas/interventional/cardiac-assist/intra-aortic-balloon-catheters/Arrow-IAB-Catheters-Brochure-MC-000164-Rev-2.pdf, https://accessgudid.nlm.nih.gov/devices/00801902136749</t>
  </si>
  <si>
    <t>https://www.teleflex.com/usa/en/product-areas/interventional/MC-005574_Interventional_2019_Product_Ordering_Catalog_Rev-1.pdf, https://accessgudid.nlm.nih.gov/devices/00801902086761</t>
  </si>
  <si>
    <t>https://www.teleflex.com/usa/en/product-areas/interventional/cardiac-assist/intra-aortic-balloon-catheters/Arrow-IAB-Catheters-Brochure-MC-000164-Rev-2.pdf, https://accessgudid.nlm.nih.gov/devices/00801902010841</t>
  </si>
  <si>
    <t>https://www.teleflex.com/usa/en/product-areas/interventional/cardiac-assist/intra-aortic-balloon-catheters/Arrow-IAB-Catheters-Brochure-MC-000164-Rev-2.pdf, https://accessgudid.nlm.nih.gov/devices/10801902182842</t>
  </si>
  <si>
    <t>https://www.teleflex.com/usa/en/product-areas/interventional/cardiac-assist/intra-aortic-balloon-catheters/Arrow-IAB-Catheters-Brochure-MC-000164-Rev-2.pdf, https://accessgudid.nlm.nih.gov/devices/00801902010865</t>
  </si>
  <si>
    <t>https://www.teleflex.com/usa/en/product-areas/interventional/cardiac-assist/intra-aortic-balloon-catheters/Arrow-IAB-Catheters-Brochure-MC-000164-Rev-2.pdf, https://accessgudid.nlm.nih.gov/devices/00801902010872</t>
  </si>
  <si>
    <t>https://www.teleflex.com/usa/en/product-areas/interventional/cardiac-assist/intra-aortic-balloon-catheters/Arrow-IAB-Catheters-Brochure-MC-000164-Rev-2.pdf, https://accessgudid.nlm.nih.gov/devices/00801902010889</t>
  </si>
  <si>
    <t>https://www.teleflex.com/usa/en/product-areas/interventional/cardiac-assist/intra-aortic-balloon-catheters/Arrow-IAB-Catheters-Brochure-MC-000164-Rev-2.pdf, https://accessgudid.nlm.nih.gov/devices/10801902161984</t>
  </si>
  <si>
    <t>https://www.teleflex.com/usa/en/product-areas/interventional/cardiac-assist/intra-aortic-balloon-catheters/MC-004833_IABP_50cc_Options_SS_3-25-21.pdf, https://accessgudid.nlm.nih.gov/devices/10801902144215</t>
  </si>
  <si>
    <t>https://www.teleflex.com/usa/en/product-areas/interventional/cardiac-assist/intra-aortic-balloon-catheters/Arrow-IAB-Catheters-Brochure-MC-000164-Rev-2.pdf, https://accessgudid.nlm.nih.gov/devices/10801902161991</t>
  </si>
  <si>
    <t>https://www.teleflex.com/usa/en/product-areas/interventional/cardiac-assist/intra-aortic-balloon-catheters/Arrow-IAB-Catheters-Brochure-MC-000164-Rev-2.pdf, https://accessgudid.nlm.nih.gov/devices/20801902162001</t>
  </si>
  <si>
    <t>https://www.teleflexinterventionalcatalogue.com/heart-failure/intra-aortic-balloon-pumping/intra-aortic-balloon-pumps, https://accessgudid.nlm.nih.gov/devices/30801902084966</t>
  </si>
  <si>
    <t>Production Completed</t>
  </si>
  <si>
    <t>UNSOURCED</t>
  </si>
  <si>
    <t>SOURCED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</si>
</sst>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49" fontId="3" fillId="4" borderId="0" xfId="0" applyNumberFormat="1" applyFont="1" applyFill="1" applyBorder="1" applyAlignment="1">
      <alignment vertical="center"/>
    </xf>
    <xf numFmtId="0" fontId="3" fillId="4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vertical="center"/>
    </xf>
    <xf numFmtId="49" fontId="3" fillId="2" borderId="0" xfId="0" applyNumberFormat="1" applyFont="1" applyFill="1" applyBorder="1" applyAlignment="1">
      <alignment vertical="center"/>
    </xf>
    <xf numFmtId="0" fontId="4" fillId="6" borderId="0" xfId="0" applyFont="1" applyFill="1" applyBorder="1" applyAlignment="1">
      <alignment vertical="center"/>
    </xf>
    <xf numFmtId="0" fontId="3" fillId="7" borderId="0" xfId="0" applyFont="1" applyFill="1" applyBorder="1" applyAlignment="1">
      <alignment vertical="center"/>
    </xf>
    <xf numFmtId="0" fontId="3" fillId="5" borderId="0" xfId="0" applyFont="1" applyFill="1" applyBorder="1" applyAlignment="1">
      <alignment horizontal="left" vertical="center"/>
    </xf>
    <xf numFmtId="0" fontId="4" fillId="8" borderId="0" xfId="0" applyFont="1" applyFill="1" applyBorder="1" applyAlignment="1">
      <alignment vertical="center"/>
    </xf>
    <xf numFmtId="0" fontId="5" fillId="9" borderId="0" xfId="0" applyFont="1" applyFill="1" applyBorder="1" applyAlignment="1">
      <alignment vertical="center"/>
    </xf>
    <xf numFmtId="49" fontId="5" fillId="9" borderId="0" xfId="0" applyNumberFormat="1" applyFont="1" applyFill="1" applyBorder="1" applyAlignment="1">
      <alignment vertical="center"/>
    </xf>
    <xf numFmtId="0" fontId="3" fillId="0" borderId="0" xfId="0" applyFont="1" applyBorder="1" applyAlignment="1">
      <alignment vertical="center"/>
    </xf>
    <xf numFmtId="0" fontId="6" fillId="0" borderId="0" xfId="0" applyFont="1" applyBorder="1" applyAlignment="1">
      <alignment horizontal="left"/>
    </xf>
    <xf numFmtId="0" fontId="6" fillId="0" borderId="1" xfId="0" applyFont="1"/>
    <xf numFmtId="0" fontId="6" fillId="0" borderId="2" xfId="0" applyFont="1" applyBorder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6" fillId="0" borderId="1" xfId="0" quotePrefix="1" applyFont="1"/>
    <xf numFmtId="0" fontId="6" fillId="0" borderId="1" xfId="0" applyFont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H18"/>
  <sheetViews>
    <sheetView tabSelected="1" workbookViewId="0">
      <selection activeCell="E2" sqref="E2:E18"/>
    </sheetView>
  </sheetViews>
  <sheetFormatPr defaultColWidth="9.140625" defaultRowHeight="12"/>
  <cols>
    <col min="1" max="1" width="14.28515625" style="1" customWidth="1"/>
    <col min="2" max="2" width="10.5703125" style="1" customWidth="1"/>
    <col min="3" max="3" width="27.5703125" style="1" customWidth="1"/>
    <col min="4" max="4" width="8.28515625" style="1" customWidth="1"/>
    <col min="5" max="5" width="12.85546875" style="1" customWidth="1"/>
    <col min="6" max="6" width="14.85546875" style="1" customWidth="1"/>
    <col min="7" max="7" width="13" style="1" customWidth="1"/>
    <col min="8" max="8" width="34.140625" style="1" customWidth="1"/>
    <col min="9" max="9" width="9.85546875" style="1" customWidth="1"/>
    <col min="10" max="10" width="13.7109375" style="1" customWidth="1"/>
    <col min="11" max="11" width="8.7109375" style="1" customWidth="1"/>
    <col min="12" max="12" width="13.28515625" style="1" customWidth="1"/>
    <col min="13" max="13" width="9" style="1" customWidth="1"/>
    <col min="14" max="14" width="13.5703125" style="1" customWidth="1"/>
    <col min="15" max="15" width="8.5703125" style="1" customWidth="1"/>
    <col min="16" max="16" width="12.28515625" style="1" customWidth="1"/>
    <col min="17" max="17" width="10.140625" style="1" customWidth="1"/>
    <col min="18" max="18" width="13.5703125" style="1" customWidth="1"/>
    <col min="19" max="19" width="11.140625" style="1" customWidth="1"/>
    <col min="20" max="20" width="10.7109375" style="1" customWidth="1"/>
    <col min="21" max="21" width="6.140625" style="1" customWidth="1"/>
    <col min="22" max="22" width="5.7109375" style="1" customWidth="1"/>
    <col min="23" max="23" width="25.28515625" style="1" customWidth="1"/>
    <col min="24" max="24" width="28.7109375" style="1" customWidth="1"/>
    <col min="25" max="25" width="18.5703125" style="1" customWidth="1"/>
    <col min="26" max="26" width="16.42578125" style="1" customWidth="1"/>
    <col min="27" max="27" width="34.7109375" style="1" customWidth="1"/>
    <col min="28" max="28" width="17.7109375" style="1" customWidth="1"/>
    <col min="29" max="29" width="9.42578125" style="1" customWidth="1"/>
    <col min="30" max="30" width="7.28515625" style="1" customWidth="1"/>
    <col min="31" max="31" width="5.5703125" style="1" customWidth="1"/>
    <col min="32" max="32" width="5.85546875" style="1" customWidth="1"/>
    <col min="33" max="33" width="8.28515625" style="1" customWidth="1"/>
    <col min="34" max="34" width="19" style="1" customWidth="1"/>
    <col min="35" max="35" width="17.7109375" style="1" customWidth="1"/>
    <col min="36" max="36" width="202.140625" style="1" customWidth="1"/>
    <col min="37" max="37" width="29.85546875" style="1" customWidth="1"/>
    <col min="38" max="38" width="10.140625" style="1" customWidth="1"/>
    <col min="39" max="39" width="17.5703125" style="1" customWidth="1"/>
    <col min="40" max="40" width="7.42578125" style="1" customWidth="1"/>
    <col min="41" max="41" width="11" style="1" customWidth="1"/>
    <col min="42" max="42" width="11.28515625" style="1" customWidth="1"/>
    <col min="43" max="43" width="16.42578125" style="1" customWidth="1"/>
    <col min="44" max="44" width="3.140625" style="1" customWidth="1"/>
    <col min="45" max="45" width="38" style="1" customWidth="1"/>
    <col min="46" max="46" width="15.28515625" style="1" customWidth="1"/>
    <col min="47" max="47" width="25.85546875" style="1" customWidth="1"/>
    <col min="48" max="48" width="15.85546875" style="1" customWidth="1"/>
    <col min="49" max="49" width="25.42578125" style="1" customWidth="1"/>
    <col min="50" max="50" width="5" style="1" customWidth="1"/>
    <col min="51" max="51" width="6.42578125" style="1" customWidth="1"/>
    <col min="52" max="52" width="8.85546875" style="1" customWidth="1"/>
    <col min="53" max="53" width="9.42578125" style="1" customWidth="1"/>
    <col min="54" max="55" width="5.140625" style="1" customWidth="1"/>
    <col min="56" max="56" width="35.7109375" style="1" customWidth="1"/>
    <col min="57" max="57" width="38.140625" style="1" customWidth="1"/>
    <col min="58" max="58" width="14.85546875" style="1" customWidth="1"/>
    <col min="59" max="59" width="8" style="1" customWidth="1"/>
    <col min="60" max="60" width="8.7109375" style="1" customWidth="1"/>
    <col min="61" max="61" width="9.140625" style="1" customWidth="1"/>
    <col min="62" max="62" width="8.7109375" style="1" customWidth="1"/>
    <col min="63" max="63" width="27.85546875" style="1" customWidth="1"/>
    <col min="64" max="64" width="6.28515625" style="1" customWidth="1"/>
    <col min="65" max="65" width="7.28515625" style="1" customWidth="1"/>
    <col min="66" max="66" width="11.42578125" style="1" customWidth="1"/>
    <col min="67" max="67" width="6.42578125" style="1" customWidth="1"/>
    <col min="68" max="68" width="10.42578125" style="1" customWidth="1"/>
    <col min="69" max="69" width="13" style="1" customWidth="1"/>
    <col min="70" max="70" width="110.42578125" style="1" customWidth="1"/>
    <col min="71" max="71" width="5.140625" style="1" customWidth="1"/>
    <col min="72" max="72" width="17.85546875" style="1" customWidth="1"/>
    <col min="73" max="73" width="18.85546875" style="1" customWidth="1"/>
    <col min="74" max="74" width="8.85546875" style="1" customWidth="1"/>
    <col min="75" max="75" width="19.28515625" style="1" customWidth="1"/>
    <col min="76" max="76" width="38.140625" style="1" customWidth="1"/>
    <col min="77" max="77" width="15.7109375" style="1" customWidth="1"/>
    <col min="78" max="78" width="11.7109375" style="1" customWidth="1"/>
    <col min="79" max="79" width="16.140625" style="1" customWidth="1"/>
    <col min="80" max="80" width="9.28515625" style="1" customWidth="1"/>
    <col min="81" max="81" width="20" style="1" customWidth="1"/>
    <col min="82" max="82" width="18.7109375" style="1" customWidth="1"/>
    <col min="83" max="83" width="8.140625" style="1" customWidth="1"/>
    <col min="84" max="84" width="35.28515625" style="1" customWidth="1"/>
    <col min="85" max="85" width="26.42578125" style="1" customWidth="1"/>
    <col min="86" max="86" width="26.85546875" style="1" customWidth="1"/>
    <col min="87" max="87" width="34.140625" style="1" customWidth="1"/>
    <col min="88" max="88" width="12.140625" style="1" customWidth="1"/>
    <col min="89" max="89" width="14" style="1" customWidth="1"/>
    <col min="90" max="90" width="6.140625" style="1" customWidth="1"/>
    <col min="91" max="91" width="18.85546875" style="1" customWidth="1"/>
    <col min="92" max="92" width="20.28515625" style="1" customWidth="1"/>
    <col min="93" max="93" width="9.85546875" style="1" customWidth="1"/>
    <col min="94" max="94" width="12.140625" style="1" customWidth="1"/>
    <col min="95" max="95" width="4.7109375" style="1" customWidth="1"/>
    <col min="96" max="96" width="12.5703125" style="1" customWidth="1"/>
    <col min="97" max="97" width="10" style="1" customWidth="1"/>
    <col min="98" max="98" width="6.42578125" style="1" customWidth="1"/>
    <col min="99" max="99" width="15.85546875" style="1" customWidth="1"/>
    <col min="100" max="100" width="10.5703125" style="1" customWidth="1"/>
    <col min="101" max="102" width="17.7109375" style="1" customWidth="1"/>
    <col min="103" max="103" width="8.7109375" style="1" customWidth="1"/>
    <col min="104" max="104" width="8.42578125" style="1" customWidth="1"/>
    <col min="105" max="105" width="8.7109375" style="1" customWidth="1"/>
    <col min="106" max="106" width="10.140625" style="1" customWidth="1"/>
    <col min="107" max="107" width="9.7109375" style="1" customWidth="1"/>
    <col min="108" max="108" width="13.85546875" style="1" customWidth="1"/>
    <col min="109" max="109" width="6.85546875" style="1" customWidth="1"/>
    <col min="110" max="110" width="8.42578125" style="1" customWidth="1"/>
    <col min="111" max="111" width="19.85546875" style="1" customWidth="1"/>
    <col min="112" max="112" width="18.5703125" style="1" customWidth="1"/>
    <col min="113" max="113" width="9.140625" style="1" customWidth="1"/>
    <col min="114" max="16384" width="9.140625" style="1"/>
  </cols>
  <sheetData>
    <row r="1" spans="1:112" ht="12" customHeight="1">
      <c r="A1" s="2" t="s">
        <v>36</v>
      </c>
      <c r="B1" s="2" t="s">
        <v>19</v>
      </c>
      <c r="C1" s="2" t="s">
        <v>101</v>
      </c>
      <c r="D1" s="2" t="s">
        <v>78</v>
      </c>
      <c r="E1" s="2" t="s">
        <v>161</v>
      </c>
      <c r="F1" s="2" t="s">
        <v>48</v>
      </c>
      <c r="G1" s="2" t="s">
        <v>153</v>
      </c>
      <c r="H1" s="2" t="s">
        <v>95</v>
      </c>
      <c r="I1" s="2" t="s">
        <v>24</v>
      </c>
      <c r="J1" s="2" t="s">
        <v>85</v>
      </c>
      <c r="K1" s="2" t="s">
        <v>96</v>
      </c>
      <c r="L1" s="2" t="s">
        <v>64</v>
      </c>
      <c r="M1" s="2" t="s">
        <v>14</v>
      </c>
      <c r="N1" s="2" t="s">
        <v>123</v>
      </c>
      <c r="O1" s="2" t="s">
        <v>16</v>
      </c>
      <c r="P1" s="2" t="s">
        <v>72</v>
      </c>
      <c r="Q1" s="2" t="s">
        <v>57</v>
      </c>
      <c r="R1" s="2" t="s">
        <v>45</v>
      </c>
      <c r="S1" s="2" t="s">
        <v>44</v>
      </c>
      <c r="T1" s="2" t="s">
        <v>81</v>
      </c>
      <c r="U1" s="3" t="s">
        <v>110</v>
      </c>
      <c r="V1" s="3" t="s">
        <v>60</v>
      </c>
      <c r="W1" s="4" t="s">
        <v>68</v>
      </c>
      <c r="X1" s="5" t="s">
        <v>79</v>
      </c>
      <c r="Y1" s="6" t="s">
        <v>119</v>
      </c>
      <c r="Z1" s="4" t="s">
        <v>90</v>
      </c>
      <c r="AA1" s="5" t="s">
        <v>151</v>
      </c>
      <c r="AB1" s="6" t="s">
        <v>18</v>
      </c>
      <c r="AC1" s="2" t="s">
        <v>145</v>
      </c>
      <c r="AD1" s="2" t="s">
        <v>2</v>
      </c>
      <c r="AE1" s="7" t="s">
        <v>59</v>
      </c>
      <c r="AF1" s="2" t="s">
        <v>100</v>
      </c>
      <c r="AG1" s="5" t="s">
        <v>111</v>
      </c>
      <c r="AH1" s="5" t="s">
        <v>122</v>
      </c>
      <c r="AI1" s="5" t="s">
        <v>135</v>
      </c>
      <c r="AJ1" s="5" t="s">
        <v>43</v>
      </c>
      <c r="AK1" s="5" t="s">
        <v>140</v>
      </c>
      <c r="AL1" s="5" t="s">
        <v>149</v>
      </c>
      <c r="AM1" s="5" t="s">
        <v>56</v>
      </c>
      <c r="AN1" s="5" t="s">
        <v>66</v>
      </c>
      <c r="AO1" s="6" t="s">
        <v>3</v>
      </c>
      <c r="AP1" s="2" t="s">
        <v>42</v>
      </c>
      <c r="AQ1" s="2" t="s">
        <v>105</v>
      </c>
      <c r="AR1" s="2" t="s">
        <v>113</v>
      </c>
      <c r="AS1" s="8" t="s">
        <v>52</v>
      </c>
      <c r="AT1" s="6" t="s">
        <v>102</v>
      </c>
      <c r="AU1" s="6" t="s">
        <v>131</v>
      </c>
      <c r="AV1" s="9" t="s">
        <v>124</v>
      </c>
      <c r="AW1" s="9" t="s">
        <v>118</v>
      </c>
      <c r="AX1" s="10" t="s">
        <v>75</v>
      </c>
      <c r="AY1" s="8" t="s">
        <v>17</v>
      </c>
      <c r="AZ1" s="8" t="s">
        <v>70</v>
      </c>
      <c r="BA1" s="8" t="s">
        <v>28</v>
      </c>
      <c r="BB1" s="8" t="s">
        <v>104</v>
      </c>
      <c r="BC1" s="8" t="s">
        <v>6</v>
      </c>
      <c r="BD1" s="8" t="s">
        <v>165</v>
      </c>
      <c r="BE1" s="8" t="s">
        <v>167</v>
      </c>
      <c r="BF1" s="8" t="s">
        <v>50</v>
      </c>
      <c r="BG1" s="8" t="s">
        <v>53</v>
      </c>
      <c r="BH1" s="8" t="s">
        <v>103</v>
      </c>
      <c r="BI1" s="8" t="s">
        <v>150</v>
      </c>
      <c r="BJ1" s="8" t="s">
        <v>15</v>
      </c>
      <c r="BK1" s="8" t="s">
        <v>4</v>
      </c>
      <c r="BL1" s="8" t="s">
        <v>117</v>
      </c>
      <c r="BM1" s="8" t="s">
        <v>115</v>
      </c>
      <c r="BN1" s="8" t="s">
        <v>134</v>
      </c>
      <c r="BO1" s="8" t="s">
        <v>34</v>
      </c>
      <c r="BP1" s="8" t="s">
        <v>84</v>
      </c>
      <c r="BQ1" s="8" t="s">
        <v>147</v>
      </c>
      <c r="BR1" s="6" t="s">
        <v>38</v>
      </c>
      <c r="BS1" s="6" t="s">
        <v>65</v>
      </c>
      <c r="BT1" s="8" t="s">
        <v>107</v>
      </c>
      <c r="BU1" s="8" t="s">
        <v>27</v>
      </c>
      <c r="BV1" s="8" t="s">
        <v>51</v>
      </c>
      <c r="BW1" s="8" t="s">
        <v>30</v>
      </c>
      <c r="BX1" s="8" t="s">
        <v>170</v>
      </c>
      <c r="BY1" s="8" t="s">
        <v>76</v>
      </c>
      <c r="BZ1" s="8" t="s">
        <v>154</v>
      </c>
      <c r="CA1" s="8" t="s">
        <v>46</v>
      </c>
      <c r="CB1" s="11" t="s">
        <v>114</v>
      </c>
      <c r="CC1" s="11" t="s">
        <v>138</v>
      </c>
      <c r="CD1" s="11" t="s">
        <v>121</v>
      </c>
      <c r="CE1" s="11" t="s">
        <v>144</v>
      </c>
      <c r="CF1" s="11" t="s">
        <v>0</v>
      </c>
      <c r="CG1" s="11" t="s">
        <v>22</v>
      </c>
      <c r="CH1" s="11" t="s">
        <v>83</v>
      </c>
      <c r="CI1" s="11" t="s">
        <v>31</v>
      </c>
      <c r="CJ1" s="11" t="s">
        <v>26</v>
      </c>
      <c r="CK1" s="11" t="s">
        <v>92</v>
      </c>
      <c r="CL1" s="11" t="s">
        <v>162</v>
      </c>
      <c r="CM1" s="11" t="s">
        <v>77</v>
      </c>
      <c r="CN1" s="11" t="s">
        <v>120</v>
      </c>
      <c r="CO1" s="11" t="s">
        <v>93</v>
      </c>
      <c r="CP1" s="11" t="s">
        <v>86</v>
      </c>
      <c r="CQ1" s="11" t="s">
        <v>11</v>
      </c>
      <c r="CR1" s="11" t="s">
        <v>128</v>
      </c>
      <c r="CS1" s="11" t="s">
        <v>109</v>
      </c>
      <c r="CT1" s="11" t="s">
        <v>116</v>
      </c>
      <c r="CU1" s="5" t="s">
        <v>126</v>
      </c>
      <c r="CV1" s="5" t="s">
        <v>156</v>
      </c>
      <c r="CW1" s="5" t="s">
        <v>29</v>
      </c>
      <c r="CX1" s="5" t="s">
        <v>23</v>
      </c>
      <c r="CY1" s="12" t="s">
        <v>54</v>
      </c>
      <c r="CZ1" s="13" t="s">
        <v>155</v>
      </c>
      <c r="DA1" s="12" t="s">
        <v>152</v>
      </c>
      <c r="DB1" s="14" t="s">
        <v>133</v>
      </c>
      <c r="DC1" s="14" t="s">
        <v>146</v>
      </c>
      <c r="DD1" s="14" t="s">
        <v>87</v>
      </c>
      <c r="DE1" s="14" t="s">
        <v>164</v>
      </c>
      <c r="DF1" s="14" t="s">
        <v>41</v>
      </c>
      <c r="DG1" s="1" t="s">
        <v>106</v>
      </c>
      <c r="DH1" s="1" t="s">
        <v>10</v>
      </c>
    </row>
    <row r="2" spans="1:112" ht="12" customHeight="1">
      <c r="A2" s="15" t="s">
        <v>5</v>
      </c>
      <c r="B2" s="15" t="s">
        <v>33</v>
      </c>
      <c r="C2" t="s">
        <v>39</v>
      </c>
      <c r="D2" t="s">
        <v>58</v>
      </c>
      <c r="E2" s="16" t="s">
        <v>354</v>
      </c>
      <c r="F2" t="s">
        <v>58</v>
      </c>
      <c r="G2"/>
      <c r="H2" s="15" t="s">
        <v>40</v>
      </c>
      <c r="I2"/>
      <c r="J2"/>
      <c r="K2"/>
      <c r="L2"/>
      <c r="M2"/>
      <c r="N2"/>
      <c r="O2"/>
      <c r="P2"/>
      <c r="Q2"/>
      <c r="R2"/>
      <c r="S2"/>
      <c r="T2" s="16"/>
      <c r="U2">
        <v>1350</v>
      </c>
      <c r="V2">
        <v>1</v>
      </c>
      <c r="W2" t="s">
        <v>94</v>
      </c>
      <c r="X2" t="s">
        <v>94</v>
      </c>
      <c r="Y2" s="16" t="s">
        <v>94</v>
      </c>
      <c r="Z2" t="s">
        <v>47</v>
      </c>
      <c r="AA2" t="s">
        <v>47</v>
      </c>
      <c r="AB2" t="s">
        <v>47</v>
      </c>
      <c r="AC2" s="16" t="s">
        <v>94</v>
      </c>
      <c r="AD2" s="16" t="s">
        <v>47</v>
      </c>
      <c r="AE2" s="16" t="s">
        <v>47</v>
      </c>
      <c r="AF2" s="16" t="s">
        <v>172</v>
      </c>
      <c r="AG2"/>
      <c r="AH2"/>
      <c r="AI2"/>
      <c r="AJ2" t="s">
        <v>7</v>
      </c>
      <c r="AK2"/>
      <c r="AL2">
        <v>4931</v>
      </c>
      <c r="AM2" t="s">
        <v>97</v>
      </c>
      <c r="AN2"/>
      <c r="AO2" s="18" t="s">
        <v>204</v>
      </c>
      <c r="AP2" s="16"/>
      <c r="AQ2" s="16"/>
      <c r="AS2" s="16" t="s">
        <v>7</v>
      </c>
      <c r="AT2" s="16" t="s">
        <v>205</v>
      </c>
      <c r="AU2" s="16" t="s">
        <v>206</v>
      </c>
      <c r="AV2" s="16" t="s">
        <v>207</v>
      </c>
      <c r="AW2" s="16" t="s">
        <v>208</v>
      </c>
      <c r="AX2" s="16">
        <f>LEN(SUBSTITUTE(AW2, ", ",","))</f>
        <v>37</v>
      </c>
      <c r="AY2" s="16" t="s">
        <v>209</v>
      </c>
      <c r="AZ2" s="16" t="s">
        <v>210</v>
      </c>
      <c r="BA2" s="16" t="s">
        <v>211</v>
      </c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 t="s">
        <v>212</v>
      </c>
      <c r="BO2" s="16"/>
      <c r="BP2" s="16"/>
      <c r="BQ2" s="16"/>
      <c r="BR2" s="16" t="s">
        <v>213</v>
      </c>
      <c r="BS2" s="16"/>
      <c r="BT2" s="16"/>
      <c r="BU2" s="16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 s="1" t="s">
        <v>353</v>
      </c>
    </row>
    <row r="3" spans="1:112" ht="12" customHeight="1">
      <c r="A3" s="15" t="s">
        <v>5</v>
      </c>
      <c r="B3" t="s">
        <v>33</v>
      </c>
      <c r="C3" t="s">
        <v>39</v>
      </c>
      <c r="D3" t="s">
        <v>58</v>
      </c>
      <c r="E3" s="16" t="s">
        <v>355</v>
      </c>
      <c r="F3" t="s">
        <v>58</v>
      </c>
      <c r="G3"/>
      <c r="H3" s="15" t="s">
        <v>40</v>
      </c>
      <c r="I3"/>
      <c r="J3"/>
      <c r="K3"/>
      <c r="L3"/>
      <c r="M3"/>
      <c r="N3"/>
      <c r="O3"/>
      <c r="P3"/>
      <c r="Q3"/>
      <c r="R3"/>
      <c r="S3"/>
      <c r="T3" s="16"/>
      <c r="U3">
        <v>1351</v>
      </c>
      <c r="V3">
        <v>2</v>
      </c>
      <c r="W3" t="s">
        <v>88</v>
      </c>
      <c r="X3" t="s">
        <v>69</v>
      </c>
      <c r="Y3" s="16" t="s">
        <v>171</v>
      </c>
      <c r="Z3" t="s">
        <v>49</v>
      </c>
      <c r="AA3" t="s">
        <v>49</v>
      </c>
      <c r="AB3" t="s">
        <v>49</v>
      </c>
      <c r="AC3" s="17" t="s">
        <v>69</v>
      </c>
      <c r="AD3" s="16" t="s">
        <v>173</v>
      </c>
      <c r="AE3" s="16" t="s">
        <v>49</v>
      </c>
      <c r="AF3" s="17" t="s">
        <v>174</v>
      </c>
      <c r="AG3"/>
      <c r="AH3"/>
      <c r="AI3"/>
      <c r="AJ3" t="s">
        <v>80</v>
      </c>
      <c r="AK3"/>
      <c r="AL3">
        <v>3691</v>
      </c>
      <c r="AM3" t="s">
        <v>12</v>
      </c>
      <c r="AN3"/>
      <c r="AO3" s="18" t="s">
        <v>214</v>
      </c>
      <c r="AP3" s="16"/>
      <c r="AQ3" s="16"/>
      <c r="AS3" s="16" t="s">
        <v>215</v>
      </c>
      <c r="AT3" s="16" t="s">
        <v>216</v>
      </c>
      <c r="AU3" s="16" t="s">
        <v>216</v>
      </c>
      <c r="AV3" s="16" t="s">
        <v>217</v>
      </c>
      <c r="AW3" s="16" t="s">
        <v>218</v>
      </c>
      <c r="AX3" s="16">
        <f t="shared" ref="AX3:AX18" si="0">LEN(SUBSTITUTE(AW3, ", ",","))</f>
        <v>57</v>
      </c>
      <c r="AY3" s="16" t="s">
        <v>219</v>
      </c>
      <c r="AZ3" s="16" t="s">
        <v>220</v>
      </c>
      <c r="BA3" s="16" t="s">
        <v>221</v>
      </c>
      <c r="BB3" s="16"/>
      <c r="BC3" s="16"/>
      <c r="BD3" s="16" t="s">
        <v>222</v>
      </c>
      <c r="BE3" s="16"/>
      <c r="BF3" s="16"/>
      <c r="BG3" s="16"/>
      <c r="BH3" s="16"/>
      <c r="BI3" s="16" t="s">
        <v>223</v>
      </c>
      <c r="BJ3" s="16"/>
      <c r="BK3" s="16"/>
      <c r="BL3" s="16"/>
      <c r="BM3" s="16" t="s">
        <v>224</v>
      </c>
      <c r="BN3" s="16"/>
      <c r="BO3" s="16" t="s">
        <v>225</v>
      </c>
      <c r="BP3" s="16"/>
      <c r="BQ3" s="16" t="s">
        <v>226</v>
      </c>
      <c r="BR3" s="16" t="s">
        <v>338</v>
      </c>
      <c r="BS3" s="16"/>
      <c r="BT3" s="16"/>
      <c r="BU3" s="16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 s="1" t="s">
        <v>353</v>
      </c>
    </row>
    <row r="4" spans="1:112" ht="12" customHeight="1">
      <c r="A4" s="15" t="s">
        <v>5</v>
      </c>
      <c r="B4" t="s">
        <v>33</v>
      </c>
      <c r="C4" t="s">
        <v>39</v>
      </c>
      <c r="D4" t="s">
        <v>58</v>
      </c>
      <c r="E4" s="16" t="s">
        <v>355</v>
      </c>
      <c r="F4" t="s">
        <v>58</v>
      </c>
      <c r="G4"/>
      <c r="H4" s="15" t="s">
        <v>40</v>
      </c>
      <c r="I4"/>
      <c r="J4"/>
      <c r="K4"/>
      <c r="L4"/>
      <c r="M4"/>
      <c r="N4"/>
      <c r="O4"/>
      <c r="P4"/>
      <c r="Q4"/>
      <c r="R4"/>
      <c r="S4"/>
      <c r="T4" s="16"/>
      <c r="U4">
        <v>1352</v>
      </c>
      <c r="V4">
        <v>3</v>
      </c>
      <c r="W4" t="s">
        <v>88</v>
      </c>
      <c r="X4" t="s">
        <v>69</v>
      </c>
      <c r="Y4" s="16" t="s">
        <v>171</v>
      </c>
      <c r="Z4" t="s">
        <v>159</v>
      </c>
      <c r="AA4" t="s">
        <v>159</v>
      </c>
      <c r="AB4" t="s">
        <v>159</v>
      </c>
      <c r="AC4" s="17" t="s">
        <v>69</v>
      </c>
      <c r="AD4" s="16" t="s">
        <v>175</v>
      </c>
      <c r="AE4" s="16" t="s">
        <v>159</v>
      </c>
      <c r="AF4" s="17" t="s">
        <v>176</v>
      </c>
      <c r="AG4"/>
      <c r="AH4"/>
      <c r="AI4"/>
      <c r="AJ4" t="s">
        <v>8</v>
      </c>
      <c r="AK4"/>
      <c r="AL4">
        <v>3691</v>
      </c>
      <c r="AM4" t="s">
        <v>142</v>
      </c>
      <c r="AN4"/>
      <c r="AO4" s="16" t="s">
        <v>227</v>
      </c>
      <c r="AP4" s="16"/>
      <c r="AQ4" s="16"/>
      <c r="AS4" s="16" t="s">
        <v>228</v>
      </c>
      <c r="AT4" s="16" t="s">
        <v>229</v>
      </c>
      <c r="AU4" s="16" t="s">
        <v>229</v>
      </c>
      <c r="AV4" s="16" t="s">
        <v>230</v>
      </c>
      <c r="AW4" s="16" t="s">
        <v>231</v>
      </c>
      <c r="AX4" s="16">
        <f t="shared" si="0"/>
        <v>57</v>
      </c>
      <c r="AY4" s="16" t="s">
        <v>232</v>
      </c>
      <c r="AZ4" s="16" t="s">
        <v>233</v>
      </c>
      <c r="BA4" s="16"/>
      <c r="BB4" s="19" t="s">
        <v>234</v>
      </c>
      <c r="BC4" s="16"/>
      <c r="BD4" s="16" t="s">
        <v>235</v>
      </c>
      <c r="BE4" s="16" t="s">
        <v>236</v>
      </c>
      <c r="BF4" s="16" t="s">
        <v>237</v>
      </c>
      <c r="BG4" s="16"/>
      <c r="BH4" s="16"/>
      <c r="BI4" s="16" t="s">
        <v>238</v>
      </c>
      <c r="BJ4" s="16" t="s">
        <v>239</v>
      </c>
      <c r="BK4" s="16"/>
      <c r="BL4" s="16"/>
      <c r="BM4" s="16" t="s">
        <v>224</v>
      </c>
      <c r="BN4" s="16" t="s">
        <v>240</v>
      </c>
      <c r="BO4" s="16" t="s">
        <v>241</v>
      </c>
      <c r="BP4" s="16"/>
      <c r="BQ4" s="16" t="s">
        <v>226</v>
      </c>
      <c r="BR4" s="16" t="s">
        <v>339</v>
      </c>
      <c r="BS4" s="16"/>
      <c r="BT4" s="16"/>
      <c r="BU4" s="16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 s="1" t="s">
        <v>353</v>
      </c>
    </row>
    <row r="5" spans="1:112" ht="12" customHeight="1">
      <c r="A5" s="15" t="s">
        <v>5</v>
      </c>
      <c r="B5" t="s">
        <v>33</v>
      </c>
      <c r="C5" t="s">
        <v>39</v>
      </c>
      <c r="D5" t="s">
        <v>58</v>
      </c>
      <c r="E5" s="16" t="s">
        <v>355</v>
      </c>
      <c r="F5" t="s">
        <v>58</v>
      </c>
      <c r="G5"/>
      <c r="H5" s="15" t="s">
        <v>40</v>
      </c>
      <c r="I5"/>
      <c r="J5"/>
      <c r="K5"/>
      <c r="L5"/>
      <c r="M5"/>
      <c r="N5"/>
      <c r="O5"/>
      <c r="P5"/>
      <c r="Q5"/>
      <c r="R5"/>
      <c r="S5"/>
      <c r="T5" s="16"/>
      <c r="U5">
        <v>1353</v>
      </c>
      <c r="V5">
        <v>4</v>
      </c>
      <c r="W5" t="s">
        <v>88</v>
      </c>
      <c r="X5" t="s">
        <v>69</v>
      </c>
      <c r="Y5" s="16" t="s">
        <v>171</v>
      </c>
      <c r="Z5" t="s">
        <v>136</v>
      </c>
      <c r="AA5" t="s">
        <v>136</v>
      </c>
      <c r="AB5" t="s">
        <v>136</v>
      </c>
      <c r="AC5" s="17" t="s">
        <v>69</v>
      </c>
      <c r="AD5" s="16" t="s">
        <v>177</v>
      </c>
      <c r="AE5" s="16" t="s">
        <v>136</v>
      </c>
      <c r="AF5" s="17" t="s">
        <v>178</v>
      </c>
      <c r="AG5"/>
      <c r="AH5"/>
      <c r="AI5"/>
      <c r="AJ5" t="s">
        <v>9</v>
      </c>
      <c r="AK5"/>
      <c r="AL5">
        <v>3691</v>
      </c>
      <c r="AM5" t="s">
        <v>98</v>
      </c>
      <c r="AN5"/>
      <c r="AO5" s="16" t="s">
        <v>227</v>
      </c>
      <c r="AP5" s="16"/>
      <c r="AQ5" s="16"/>
      <c r="AS5" s="16" t="s">
        <v>242</v>
      </c>
      <c r="AT5" s="16" t="s">
        <v>243</v>
      </c>
      <c r="AU5" s="16" t="s">
        <v>243</v>
      </c>
      <c r="AV5" s="16" t="s">
        <v>244</v>
      </c>
      <c r="AW5" s="16" t="s">
        <v>245</v>
      </c>
      <c r="AX5" s="16">
        <f t="shared" si="0"/>
        <v>58</v>
      </c>
      <c r="AY5" s="16" t="s">
        <v>232</v>
      </c>
      <c r="AZ5" s="16" t="s">
        <v>233</v>
      </c>
      <c r="BA5" s="16"/>
      <c r="BB5" s="19" t="s">
        <v>234</v>
      </c>
      <c r="BC5" s="16"/>
      <c r="BD5" s="16" t="s">
        <v>246</v>
      </c>
      <c r="BE5" s="16" t="s">
        <v>236</v>
      </c>
      <c r="BF5" s="16" t="s">
        <v>237</v>
      </c>
      <c r="BG5" s="16"/>
      <c r="BH5" s="16"/>
      <c r="BI5" s="16" t="s">
        <v>247</v>
      </c>
      <c r="BJ5" s="16"/>
      <c r="BK5" s="16"/>
      <c r="BL5" s="16"/>
      <c r="BM5" s="16" t="s">
        <v>224</v>
      </c>
      <c r="BN5" s="16" t="s">
        <v>248</v>
      </c>
      <c r="BO5" s="16" t="s">
        <v>241</v>
      </c>
      <c r="BP5" s="16"/>
      <c r="BQ5" s="16"/>
      <c r="BR5" s="16" t="s">
        <v>340</v>
      </c>
      <c r="BS5" s="16"/>
      <c r="BT5" s="16"/>
      <c r="BU5" s="16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 s="1" t="s">
        <v>353</v>
      </c>
    </row>
    <row r="6" spans="1:112" ht="12" customHeight="1">
      <c r="A6" s="15" t="s">
        <v>5</v>
      </c>
      <c r="B6" t="s">
        <v>33</v>
      </c>
      <c r="C6" t="s">
        <v>39</v>
      </c>
      <c r="D6" t="s">
        <v>58</v>
      </c>
      <c r="E6" s="16" t="s">
        <v>355</v>
      </c>
      <c r="F6" t="s">
        <v>58</v>
      </c>
      <c r="G6"/>
      <c r="H6" s="15" t="s">
        <v>40</v>
      </c>
      <c r="I6"/>
      <c r="J6"/>
      <c r="K6"/>
      <c r="L6"/>
      <c r="M6"/>
      <c r="N6"/>
      <c r="O6"/>
      <c r="P6"/>
      <c r="Q6"/>
      <c r="R6"/>
      <c r="S6"/>
      <c r="T6" s="16"/>
      <c r="U6">
        <v>1354</v>
      </c>
      <c r="V6">
        <v>5</v>
      </c>
      <c r="W6" t="s">
        <v>88</v>
      </c>
      <c r="X6" t="s">
        <v>69</v>
      </c>
      <c r="Y6" s="16" t="s">
        <v>171</v>
      </c>
      <c r="Z6" t="s">
        <v>137</v>
      </c>
      <c r="AA6" t="s">
        <v>137</v>
      </c>
      <c r="AB6" t="s">
        <v>137</v>
      </c>
      <c r="AC6" s="17" t="s">
        <v>69</v>
      </c>
      <c r="AD6" s="16" t="s">
        <v>179</v>
      </c>
      <c r="AE6" s="16" t="s">
        <v>137</v>
      </c>
      <c r="AF6" s="17" t="s">
        <v>180</v>
      </c>
      <c r="AG6"/>
      <c r="AH6"/>
      <c r="AI6"/>
      <c r="AJ6" t="s">
        <v>132</v>
      </c>
      <c r="AK6"/>
      <c r="AL6">
        <v>3691</v>
      </c>
      <c r="AM6" t="s">
        <v>61</v>
      </c>
      <c r="AN6"/>
      <c r="AO6" s="16" t="s">
        <v>227</v>
      </c>
      <c r="AP6" s="16"/>
      <c r="AQ6" s="16"/>
      <c r="AS6" s="16" t="s">
        <v>249</v>
      </c>
      <c r="AT6" s="16" t="s">
        <v>250</v>
      </c>
      <c r="AU6" s="16" t="s">
        <v>250</v>
      </c>
      <c r="AV6" s="16" t="s">
        <v>251</v>
      </c>
      <c r="AW6" s="16" t="s">
        <v>252</v>
      </c>
      <c r="AX6" s="16">
        <f t="shared" si="0"/>
        <v>59</v>
      </c>
      <c r="AY6" s="16" t="s">
        <v>232</v>
      </c>
      <c r="AZ6" s="16" t="s">
        <v>233</v>
      </c>
      <c r="BA6" s="16"/>
      <c r="BB6" s="19" t="s">
        <v>234</v>
      </c>
      <c r="BC6" s="16"/>
      <c r="BD6" s="16" t="s">
        <v>253</v>
      </c>
      <c r="BE6" s="16"/>
      <c r="BF6" s="16"/>
      <c r="BG6" s="16"/>
      <c r="BH6" s="16"/>
      <c r="BI6" s="16" t="s">
        <v>254</v>
      </c>
      <c r="BJ6" s="16"/>
      <c r="BK6" s="16"/>
      <c r="BL6" s="16"/>
      <c r="BM6" s="16" t="s">
        <v>224</v>
      </c>
      <c r="BN6" s="16" t="s">
        <v>255</v>
      </c>
      <c r="BO6" s="16" t="s">
        <v>241</v>
      </c>
      <c r="BP6" s="16"/>
      <c r="BQ6" s="16"/>
      <c r="BR6" s="16" t="s">
        <v>341</v>
      </c>
      <c r="BS6" s="16"/>
      <c r="BT6" s="16"/>
      <c r="BU6" s="1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 s="1" t="s">
        <v>353</v>
      </c>
    </row>
    <row r="7" spans="1:112" ht="12" customHeight="1">
      <c r="A7" s="15" t="s">
        <v>5</v>
      </c>
      <c r="B7" t="s">
        <v>33</v>
      </c>
      <c r="C7" t="s">
        <v>39</v>
      </c>
      <c r="D7" t="s">
        <v>58</v>
      </c>
      <c r="E7" s="16" t="s">
        <v>355</v>
      </c>
      <c r="F7" t="s">
        <v>58</v>
      </c>
      <c r="G7"/>
      <c r="H7" s="15" t="s">
        <v>40</v>
      </c>
      <c r="I7"/>
      <c r="J7"/>
      <c r="K7"/>
      <c r="L7"/>
      <c r="M7"/>
      <c r="N7"/>
      <c r="O7"/>
      <c r="P7"/>
      <c r="Q7"/>
      <c r="R7"/>
      <c r="S7"/>
      <c r="T7" s="16"/>
      <c r="U7">
        <v>1355</v>
      </c>
      <c r="V7">
        <v>6</v>
      </c>
      <c r="W7" t="s">
        <v>88</v>
      </c>
      <c r="X7" t="s">
        <v>69</v>
      </c>
      <c r="Y7" s="16" t="s">
        <v>171</v>
      </c>
      <c r="Z7" t="s">
        <v>160</v>
      </c>
      <c r="AA7" t="s">
        <v>160</v>
      </c>
      <c r="AB7" t="s">
        <v>160</v>
      </c>
      <c r="AC7" s="17" t="s">
        <v>69</v>
      </c>
      <c r="AD7" s="16" t="s">
        <v>181</v>
      </c>
      <c r="AE7" s="16" t="s">
        <v>160</v>
      </c>
      <c r="AF7" s="17" t="s">
        <v>182</v>
      </c>
      <c r="AG7"/>
      <c r="AH7"/>
      <c r="AI7"/>
      <c r="AJ7" t="s">
        <v>108</v>
      </c>
      <c r="AK7"/>
      <c r="AL7">
        <v>3691</v>
      </c>
      <c r="AM7" t="s">
        <v>20</v>
      </c>
      <c r="AN7"/>
      <c r="AO7" s="16" t="s">
        <v>227</v>
      </c>
      <c r="AP7" s="16"/>
      <c r="AQ7" s="16"/>
      <c r="AS7" s="16" t="s">
        <v>256</v>
      </c>
      <c r="AT7" s="16" t="s">
        <v>257</v>
      </c>
      <c r="AU7" s="16" t="s">
        <v>257</v>
      </c>
      <c r="AV7" s="16" t="s">
        <v>258</v>
      </c>
      <c r="AW7" s="16" t="s">
        <v>258</v>
      </c>
      <c r="AX7" s="16">
        <f t="shared" si="0"/>
        <v>34</v>
      </c>
      <c r="AY7" s="16" t="s">
        <v>259</v>
      </c>
      <c r="AZ7" s="16" t="s">
        <v>260</v>
      </c>
      <c r="BA7" s="16"/>
      <c r="BB7" s="16" t="s">
        <v>261</v>
      </c>
      <c r="BC7" s="16"/>
      <c r="BD7" s="16"/>
      <c r="BE7" s="16"/>
      <c r="BF7" s="16" t="s">
        <v>262</v>
      </c>
      <c r="BG7" s="16"/>
      <c r="BH7" s="16"/>
      <c r="BI7" s="16"/>
      <c r="BJ7" s="16"/>
      <c r="BK7" s="16"/>
      <c r="BL7" s="16"/>
      <c r="BM7" s="16" t="s">
        <v>224</v>
      </c>
      <c r="BN7" s="16"/>
      <c r="BO7" s="16" t="s">
        <v>225</v>
      </c>
      <c r="BP7" s="16"/>
      <c r="BQ7" s="16" t="s">
        <v>263</v>
      </c>
      <c r="BR7" s="16" t="s">
        <v>342</v>
      </c>
      <c r="BS7" s="16"/>
      <c r="BT7" s="16"/>
      <c r="BU7" s="16"/>
      <c r="BV7"/>
      <c r="BW7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 s="1" t="s">
        <v>353</v>
      </c>
    </row>
    <row r="8" spans="1:112" ht="12" customHeight="1">
      <c r="A8" s="15" t="s">
        <v>5</v>
      </c>
      <c r="B8" t="s">
        <v>33</v>
      </c>
      <c r="C8" t="s">
        <v>39</v>
      </c>
      <c r="D8" t="s">
        <v>58</v>
      </c>
      <c r="E8" s="16" t="s">
        <v>355</v>
      </c>
      <c r="F8" t="s">
        <v>58</v>
      </c>
      <c r="G8"/>
      <c r="H8" s="15" t="s">
        <v>40</v>
      </c>
      <c r="I8"/>
      <c r="J8"/>
      <c r="K8"/>
      <c r="L8"/>
      <c r="M8"/>
      <c r="N8"/>
      <c r="O8"/>
      <c r="P8"/>
      <c r="Q8"/>
      <c r="R8"/>
      <c r="S8"/>
      <c r="T8" s="16"/>
      <c r="U8">
        <v>1356</v>
      </c>
      <c r="V8">
        <v>7</v>
      </c>
      <c r="W8" t="s">
        <v>88</v>
      </c>
      <c r="X8" t="s">
        <v>69</v>
      </c>
      <c r="Y8" s="16" t="s">
        <v>171</v>
      </c>
      <c r="Z8" t="s">
        <v>71</v>
      </c>
      <c r="AA8" t="s">
        <v>71</v>
      </c>
      <c r="AB8" t="s">
        <v>71</v>
      </c>
      <c r="AC8" s="17" t="s">
        <v>69</v>
      </c>
      <c r="AD8" s="16" t="s">
        <v>183</v>
      </c>
      <c r="AE8" s="16" t="s">
        <v>71</v>
      </c>
      <c r="AF8" s="17" t="s">
        <v>184</v>
      </c>
      <c r="AG8"/>
      <c r="AH8"/>
      <c r="AI8"/>
      <c r="AJ8" t="s">
        <v>25</v>
      </c>
      <c r="AK8"/>
      <c r="AL8">
        <v>3691</v>
      </c>
      <c r="AM8" t="s">
        <v>168</v>
      </c>
      <c r="AN8"/>
      <c r="AO8" s="16" t="s">
        <v>227</v>
      </c>
      <c r="AP8" s="16"/>
      <c r="AQ8" s="16"/>
      <c r="AS8" s="20" t="s">
        <v>264</v>
      </c>
      <c r="AT8" s="16" t="s">
        <v>265</v>
      </c>
      <c r="AU8" s="16" t="s">
        <v>265</v>
      </c>
      <c r="AV8" s="16" t="s">
        <v>266</v>
      </c>
      <c r="AW8" s="16" t="s">
        <v>267</v>
      </c>
      <c r="AX8" s="16">
        <f t="shared" si="0"/>
        <v>58</v>
      </c>
      <c r="AY8" s="16" t="s">
        <v>268</v>
      </c>
      <c r="AZ8" s="16" t="s">
        <v>269</v>
      </c>
      <c r="BA8" s="16" t="s">
        <v>270</v>
      </c>
      <c r="BB8" s="16"/>
      <c r="BC8" s="16"/>
      <c r="BD8" s="16"/>
      <c r="BE8" s="16"/>
      <c r="BF8" s="16" t="s">
        <v>271</v>
      </c>
      <c r="BG8" s="16"/>
      <c r="BH8" s="16"/>
      <c r="BI8" s="16" t="s">
        <v>272</v>
      </c>
      <c r="BJ8" s="16"/>
      <c r="BK8" s="16"/>
      <c r="BL8" s="16"/>
      <c r="BM8" s="16" t="s">
        <v>224</v>
      </c>
      <c r="BN8" s="16"/>
      <c r="BO8" s="16" t="s">
        <v>225</v>
      </c>
      <c r="BP8" s="16"/>
      <c r="BQ8" s="16"/>
      <c r="BR8" s="16" t="s">
        <v>343</v>
      </c>
      <c r="BS8" s="16"/>
      <c r="BT8" s="16"/>
      <c r="BU8" s="16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 s="1" t="s">
        <v>353</v>
      </c>
    </row>
    <row r="9" spans="1:112" ht="12" customHeight="1">
      <c r="A9" s="15" t="s">
        <v>5</v>
      </c>
      <c r="B9" t="s">
        <v>33</v>
      </c>
      <c r="C9" t="s">
        <v>39</v>
      </c>
      <c r="D9" t="s">
        <v>58</v>
      </c>
      <c r="E9" s="16" t="s">
        <v>355</v>
      </c>
      <c r="F9" t="s">
        <v>58</v>
      </c>
      <c r="G9"/>
      <c r="H9" s="15" t="s">
        <v>40</v>
      </c>
      <c r="I9"/>
      <c r="J9"/>
      <c r="K9"/>
      <c r="L9"/>
      <c r="M9"/>
      <c r="N9"/>
      <c r="O9"/>
      <c r="P9"/>
      <c r="Q9"/>
      <c r="R9"/>
      <c r="S9"/>
      <c r="T9" s="16"/>
      <c r="U9">
        <v>1357</v>
      </c>
      <c r="V9">
        <v>8</v>
      </c>
      <c r="W9" t="s">
        <v>88</v>
      </c>
      <c r="X9" t="s">
        <v>69</v>
      </c>
      <c r="Y9" s="16" t="s">
        <v>171</v>
      </c>
      <c r="Z9" t="s">
        <v>37</v>
      </c>
      <c r="AA9" t="s">
        <v>37</v>
      </c>
      <c r="AB9" t="s">
        <v>37</v>
      </c>
      <c r="AC9" s="17" t="s">
        <v>69</v>
      </c>
      <c r="AD9" s="16" t="s">
        <v>185</v>
      </c>
      <c r="AE9" s="16" t="s">
        <v>37</v>
      </c>
      <c r="AF9" s="17" t="s">
        <v>186</v>
      </c>
      <c r="AG9"/>
      <c r="AH9"/>
      <c r="AI9"/>
      <c r="AJ9" t="s">
        <v>82</v>
      </c>
      <c r="AK9"/>
      <c r="AL9">
        <v>3691</v>
      </c>
      <c r="AM9" t="s">
        <v>129</v>
      </c>
      <c r="AN9"/>
      <c r="AO9" s="16" t="s">
        <v>227</v>
      </c>
      <c r="AP9" s="16"/>
      <c r="AQ9" s="16"/>
      <c r="AS9" s="16" t="s">
        <v>273</v>
      </c>
      <c r="AT9" s="16" t="s">
        <v>274</v>
      </c>
      <c r="AU9" s="16" t="s">
        <v>274</v>
      </c>
      <c r="AV9" s="16" t="s">
        <v>275</v>
      </c>
      <c r="AW9" s="16" t="s">
        <v>276</v>
      </c>
      <c r="AX9" s="16">
        <f t="shared" si="0"/>
        <v>60</v>
      </c>
      <c r="AY9" s="16" t="s">
        <v>268</v>
      </c>
      <c r="AZ9" s="16" t="s">
        <v>269</v>
      </c>
      <c r="BA9" s="16" t="s">
        <v>270</v>
      </c>
      <c r="BB9" s="16"/>
      <c r="BC9" s="16"/>
      <c r="BD9" s="16" t="s">
        <v>277</v>
      </c>
      <c r="BE9" s="16"/>
      <c r="BF9" s="16" t="s">
        <v>237</v>
      </c>
      <c r="BG9" s="16"/>
      <c r="BH9" s="16"/>
      <c r="BI9" s="16" t="s">
        <v>278</v>
      </c>
      <c r="BJ9" s="16"/>
      <c r="BK9" s="16"/>
      <c r="BL9" s="16"/>
      <c r="BM9" s="16" t="s">
        <v>224</v>
      </c>
      <c r="BN9" s="16"/>
      <c r="BO9" s="16" t="s">
        <v>225</v>
      </c>
      <c r="BP9" s="16"/>
      <c r="BQ9" s="16" t="s">
        <v>226</v>
      </c>
      <c r="BR9" s="16" t="s">
        <v>344</v>
      </c>
      <c r="BS9" s="16"/>
      <c r="BT9" s="16"/>
      <c r="BU9" s="16"/>
      <c r="BV9"/>
      <c r="BW9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 s="1" t="s">
        <v>353</v>
      </c>
    </row>
    <row r="10" spans="1:112" ht="12" customHeight="1">
      <c r="A10" s="15" t="s">
        <v>5</v>
      </c>
      <c r="B10" t="s">
        <v>33</v>
      </c>
      <c r="C10" t="s">
        <v>39</v>
      </c>
      <c r="D10" t="s">
        <v>58</v>
      </c>
      <c r="E10" s="16" t="s">
        <v>355</v>
      </c>
      <c r="F10" t="s">
        <v>58</v>
      </c>
      <c r="G10"/>
      <c r="H10" s="15" t="s">
        <v>40</v>
      </c>
      <c r="I10"/>
      <c r="J10"/>
      <c r="K10"/>
      <c r="L10"/>
      <c r="M10"/>
      <c r="N10"/>
      <c r="O10"/>
      <c r="P10"/>
      <c r="Q10"/>
      <c r="R10"/>
      <c r="S10"/>
      <c r="T10" s="16"/>
      <c r="U10">
        <v>1358</v>
      </c>
      <c r="V10">
        <v>9</v>
      </c>
      <c r="W10" t="s">
        <v>88</v>
      </c>
      <c r="X10" t="s">
        <v>69</v>
      </c>
      <c r="Y10" s="16" t="s">
        <v>171</v>
      </c>
      <c r="Z10" t="s">
        <v>1</v>
      </c>
      <c r="AA10" t="s">
        <v>1</v>
      </c>
      <c r="AB10" t="s">
        <v>1</v>
      </c>
      <c r="AC10" s="17" t="s">
        <v>69</v>
      </c>
      <c r="AD10" s="16" t="s">
        <v>187</v>
      </c>
      <c r="AE10" s="16" t="s">
        <v>1</v>
      </c>
      <c r="AF10" s="17" t="s">
        <v>188</v>
      </c>
      <c r="AG10"/>
      <c r="AH10"/>
      <c r="AI10"/>
      <c r="AJ10" t="s">
        <v>130</v>
      </c>
      <c r="AK10"/>
      <c r="AL10">
        <v>3691</v>
      </c>
      <c r="AM10" t="s">
        <v>91</v>
      </c>
      <c r="AN10"/>
      <c r="AO10" s="16" t="s">
        <v>227</v>
      </c>
      <c r="AP10" s="16"/>
      <c r="AQ10" s="16"/>
      <c r="AS10" s="20" t="s">
        <v>279</v>
      </c>
      <c r="AT10" s="16" t="s">
        <v>280</v>
      </c>
      <c r="AU10" s="16" t="s">
        <v>280</v>
      </c>
      <c r="AV10" s="16" t="s">
        <v>281</v>
      </c>
      <c r="AW10" s="16" t="s">
        <v>282</v>
      </c>
      <c r="AX10" s="16">
        <f t="shared" si="0"/>
        <v>53</v>
      </c>
      <c r="AY10" s="16" t="s">
        <v>268</v>
      </c>
      <c r="AZ10" s="16" t="s">
        <v>269</v>
      </c>
      <c r="BA10" s="16" t="s">
        <v>270</v>
      </c>
      <c r="BB10" s="16"/>
      <c r="BC10" s="16"/>
      <c r="BD10" s="16" t="s">
        <v>283</v>
      </c>
      <c r="BE10" s="16"/>
      <c r="BF10" s="16" t="s">
        <v>284</v>
      </c>
      <c r="BG10" s="16"/>
      <c r="BH10" s="16"/>
      <c r="BI10" s="16" t="s">
        <v>285</v>
      </c>
      <c r="BJ10" s="16"/>
      <c r="BK10" s="16"/>
      <c r="BL10" s="16"/>
      <c r="BM10" s="16" t="s">
        <v>224</v>
      </c>
      <c r="BN10" s="16"/>
      <c r="BO10" s="16" t="s">
        <v>225</v>
      </c>
      <c r="BP10" s="16"/>
      <c r="BQ10" s="16" t="s">
        <v>226</v>
      </c>
      <c r="BR10" s="16" t="s">
        <v>345</v>
      </c>
      <c r="BS10" s="16"/>
      <c r="BT10" s="16"/>
      <c r="BU10" s="16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 s="1" t="s">
        <v>353</v>
      </c>
    </row>
    <row r="11" spans="1:112" ht="12" customHeight="1">
      <c r="A11" s="15" t="s">
        <v>5</v>
      </c>
      <c r="B11" t="s">
        <v>33</v>
      </c>
      <c r="C11" t="s">
        <v>39</v>
      </c>
      <c r="D11" t="s">
        <v>58</v>
      </c>
      <c r="E11" s="16" t="s">
        <v>355</v>
      </c>
      <c r="F11" t="s">
        <v>58</v>
      </c>
      <c r="G11"/>
      <c r="H11" s="15" t="s">
        <v>40</v>
      </c>
      <c r="I11"/>
      <c r="J11"/>
      <c r="K11"/>
      <c r="L11"/>
      <c r="M11"/>
      <c r="N11"/>
      <c r="O11"/>
      <c r="P11"/>
      <c r="Q11"/>
      <c r="R11"/>
      <c r="S11"/>
      <c r="T11" s="16"/>
      <c r="U11">
        <v>1359</v>
      </c>
      <c r="V11">
        <v>10</v>
      </c>
      <c r="W11" t="s">
        <v>88</v>
      </c>
      <c r="X11" t="s">
        <v>69</v>
      </c>
      <c r="Y11" s="16" t="s">
        <v>171</v>
      </c>
      <c r="Z11" t="s">
        <v>163</v>
      </c>
      <c r="AA11" t="s">
        <v>163</v>
      </c>
      <c r="AB11" t="s">
        <v>163</v>
      </c>
      <c r="AC11" s="17" t="s">
        <v>69</v>
      </c>
      <c r="AD11" s="16" t="s">
        <v>189</v>
      </c>
      <c r="AE11" s="16" t="s">
        <v>163</v>
      </c>
      <c r="AF11" s="17" t="s">
        <v>190</v>
      </c>
      <c r="AG11"/>
      <c r="AH11"/>
      <c r="AI11"/>
      <c r="AJ11" t="s">
        <v>73</v>
      </c>
      <c r="AK11"/>
      <c r="AL11">
        <v>3691</v>
      </c>
      <c r="AM11" t="s">
        <v>127</v>
      </c>
      <c r="AN11"/>
      <c r="AO11" s="16" t="s">
        <v>227</v>
      </c>
      <c r="AP11" s="16"/>
      <c r="AQ11" s="16"/>
      <c r="AS11" s="20" t="s">
        <v>286</v>
      </c>
      <c r="AT11" s="16" t="s">
        <v>287</v>
      </c>
      <c r="AU11" s="16" t="s">
        <v>287</v>
      </c>
      <c r="AV11" s="16" t="s">
        <v>288</v>
      </c>
      <c r="AW11" s="16" t="s">
        <v>289</v>
      </c>
      <c r="AX11" s="16">
        <f t="shared" si="0"/>
        <v>53</v>
      </c>
      <c r="AY11" s="16" t="s">
        <v>268</v>
      </c>
      <c r="AZ11" s="16" t="s">
        <v>269</v>
      </c>
      <c r="BA11" s="16" t="s">
        <v>270</v>
      </c>
      <c r="BB11" s="16"/>
      <c r="BC11" s="16"/>
      <c r="BD11" s="16" t="s">
        <v>283</v>
      </c>
      <c r="BE11" s="16"/>
      <c r="BF11" s="16" t="s">
        <v>290</v>
      </c>
      <c r="BG11" s="16"/>
      <c r="BH11" s="16"/>
      <c r="BI11" s="16" t="s">
        <v>291</v>
      </c>
      <c r="BJ11" s="16"/>
      <c r="BK11" s="16"/>
      <c r="BL11" s="16"/>
      <c r="BM11" s="16" t="s">
        <v>224</v>
      </c>
      <c r="BN11" s="16"/>
      <c r="BO11" s="16" t="s">
        <v>225</v>
      </c>
      <c r="BP11" s="16"/>
      <c r="BQ11" s="16" t="s">
        <v>226</v>
      </c>
      <c r="BR11" s="16" t="s">
        <v>346</v>
      </c>
      <c r="BS11" s="16"/>
      <c r="BT11" s="16"/>
      <c r="BU11" s="16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 s="1" t="s">
        <v>353</v>
      </c>
    </row>
    <row r="12" spans="1:112" ht="12" customHeight="1">
      <c r="A12" s="15" t="s">
        <v>5</v>
      </c>
      <c r="B12" t="s">
        <v>33</v>
      </c>
      <c r="C12" t="s">
        <v>39</v>
      </c>
      <c r="D12" t="s">
        <v>58</v>
      </c>
      <c r="E12" s="16" t="s">
        <v>355</v>
      </c>
      <c r="F12" t="s">
        <v>58</v>
      </c>
      <c r="G12"/>
      <c r="H12" s="15" t="s">
        <v>40</v>
      </c>
      <c r="I12"/>
      <c r="J12"/>
      <c r="K12"/>
      <c r="L12"/>
      <c r="M12"/>
      <c r="N12"/>
      <c r="O12"/>
      <c r="P12"/>
      <c r="Q12"/>
      <c r="R12"/>
      <c r="S12"/>
      <c r="T12" s="16"/>
      <c r="U12">
        <v>1360</v>
      </c>
      <c r="V12">
        <v>11</v>
      </c>
      <c r="W12" t="s">
        <v>88</v>
      </c>
      <c r="X12" t="s">
        <v>69</v>
      </c>
      <c r="Y12" s="16" t="s">
        <v>171</v>
      </c>
      <c r="Z12" t="s">
        <v>32</v>
      </c>
      <c r="AA12" t="s">
        <v>32</v>
      </c>
      <c r="AB12" t="s">
        <v>32</v>
      </c>
      <c r="AC12" s="17" t="s">
        <v>69</v>
      </c>
      <c r="AD12" s="16" t="s">
        <v>191</v>
      </c>
      <c r="AE12" s="16" t="s">
        <v>32</v>
      </c>
      <c r="AF12" s="17" t="s">
        <v>192</v>
      </c>
      <c r="AG12"/>
      <c r="AH12"/>
      <c r="AI12"/>
      <c r="AJ12" t="s">
        <v>63</v>
      </c>
      <c r="AK12"/>
      <c r="AL12">
        <v>3691</v>
      </c>
      <c r="AM12" t="s">
        <v>13</v>
      </c>
      <c r="AN12"/>
      <c r="AO12" s="16" t="s">
        <v>227</v>
      </c>
      <c r="AP12" s="16"/>
      <c r="AQ12" s="16"/>
      <c r="AS12" s="16" t="s">
        <v>292</v>
      </c>
      <c r="AT12" s="16" t="s">
        <v>293</v>
      </c>
      <c r="AU12" s="16" t="s">
        <v>293</v>
      </c>
      <c r="AV12" s="16" t="s">
        <v>294</v>
      </c>
      <c r="AW12" s="16" t="s">
        <v>295</v>
      </c>
      <c r="AX12" s="16">
        <f t="shared" si="0"/>
        <v>55</v>
      </c>
      <c r="AY12" s="16" t="s">
        <v>268</v>
      </c>
      <c r="AZ12" s="16" t="s">
        <v>269</v>
      </c>
      <c r="BA12" s="16" t="s">
        <v>270</v>
      </c>
      <c r="BB12" s="16"/>
      <c r="BC12" s="16"/>
      <c r="BD12" s="16"/>
      <c r="BE12" s="16"/>
      <c r="BF12" s="16" t="s">
        <v>237</v>
      </c>
      <c r="BG12" s="16"/>
      <c r="BH12" s="16"/>
      <c r="BI12" s="16" t="s">
        <v>296</v>
      </c>
      <c r="BJ12" s="16"/>
      <c r="BK12" s="16"/>
      <c r="BL12" s="16"/>
      <c r="BM12" s="16" t="s">
        <v>224</v>
      </c>
      <c r="BN12" s="16"/>
      <c r="BO12" s="16" t="s">
        <v>225</v>
      </c>
      <c r="BP12" s="16"/>
      <c r="BQ12" s="16"/>
      <c r="BR12" s="16" t="s">
        <v>347</v>
      </c>
      <c r="BS12" s="16"/>
      <c r="BT12" s="16"/>
      <c r="BU12" s="16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 s="1" t="s">
        <v>353</v>
      </c>
    </row>
    <row r="13" spans="1:112" ht="12" customHeight="1">
      <c r="A13" s="15" t="s">
        <v>5</v>
      </c>
      <c r="B13" t="s">
        <v>33</v>
      </c>
      <c r="C13" t="s">
        <v>39</v>
      </c>
      <c r="D13" t="s">
        <v>58</v>
      </c>
      <c r="E13" s="16" t="s">
        <v>355</v>
      </c>
      <c r="F13" t="s">
        <v>58</v>
      </c>
      <c r="G13"/>
      <c r="H13" s="15" t="s">
        <v>40</v>
      </c>
      <c r="I13"/>
      <c r="J13"/>
      <c r="K13"/>
      <c r="L13"/>
      <c r="M13"/>
      <c r="N13"/>
      <c r="O13"/>
      <c r="P13"/>
      <c r="Q13"/>
      <c r="R13"/>
      <c r="S13"/>
      <c r="T13" s="16"/>
      <c r="U13">
        <v>1361</v>
      </c>
      <c r="V13">
        <v>12</v>
      </c>
      <c r="W13" t="s">
        <v>88</v>
      </c>
      <c r="X13" t="s">
        <v>69</v>
      </c>
      <c r="Y13" s="16" t="s">
        <v>171</v>
      </c>
      <c r="Z13" t="s">
        <v>112</v>
      </c>
      <c r="AA13" t="s">
        <v>112</v>
      </c>
      <c r="AB13" t="s">
        <v>112</v>
      </c>
      <c r="AC13" s="17" t="s">
        <v>69</v>
      </c>
      <c r="AD13" s="16" t="s">
        <v>193</v>
      </c>
      <c r="AE13" s="16" t="s">
        <v>112</v>
      </c>
      <c r="AF13" s="17" t="s">
        <v>194</v>
      </c>
      <c r="AG13"/>
      <c r="AH13"/>
      <c r="AI13"/>
      <c r="AJ13" t="s">
        <v>158</v>
      </c>
      <c r="AK13"/>
      <c r="AL13">
        <v>3691</v>
      </c>
      <c r="AM13" t="s">
        <v>143</v>
      </c>
      <c r="AN13"/>
      <c r="AO13" s="16" t="s">
        <v>227</v>
      </c>
      <c r="AP13" s="16"/>
      <c r="AQ13" s="16"/>
      <c r="AS13" s="16" t="s">
        <v>297</v>
      </c>
      <c r="AT13" s="16" t="s">
        <v>298</v>
      </c>
      <c r="AU13" s="16" t="s">
        <v>298</v>
      </c>
      <c r="AV13" s="16" t="s">
        <v>299</v>
      </c>
      <c r="AW13" s="16" t="s">
        <v>300</v>
      </c>
      <c r="AX13" s="16">
        <f t="shared" si="0"/>
        <v>55</v>
      </c>
      <c r="AY13" s="16" t="s">
        <v>301</v>
      </c>
      <c r="AZ13" s="16"/>
      <c r="BA13" s="16"/>
      <c r="BB13" s="19" t="s">
        <v>234</v>
      </c>
      <c r="BC13" s="16"/>
      <c r="BD13" s="16" t="s">
        <v>302</v>
      </c>
      <c r="BE13" s="16"/>
      <c r="BF13" s="16" t="s">
        <v>303</v>
      </c>
      <c r="BG13" s="16"/>
      <c r="BH13" s="16"/>
      <c r="BI13" s="16" t="s">
        <v>304</v>
      </c>
      <c r="BJ13" s="16"/>
      <c r="BK13" s="16"/>
      <c r="BL13" s="16"/>
      <c r="BM13" s="16" t="s">
        <v>224</v>
      </c>
      <c r="BN13" s="16"/>
      <c r="BO13" s="16" t="s">
        <v>225</v>
      </c>
      <c r="BP13" s="16"/>
      <c r="BQ13" s="16" t="s">
        <v>226</v>
      </c>
      <c r="BR13" s="16" t="s">
        <v>348</v>
      </c>
      <c r="BS13" s="16"/>
      <c r="BT13" s="16"/>
      <c r="BU13" s="16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 s="1" t="s">
        <v>353</v>
      </c>
    </row>
    <row r="14" spans="1:112" ht="12" customHeight="1">
      <c r="A14" s="15" t="s">
        <v>5</v>
      </c>
      <c r="B14" t="s">
        <v>33</v>
      </c>
      <c r="C14" t="s">
        <v>39</v>
      </c>
      <c r="D14" t="s">
        <v>58</v>
      </c>
      <c r="E14" s="16" t="s">
        <v>355</v>
      </c>
      <c r="F14" t="s">
        <v>58</v>
      </c>
      <c r="G14"/>
      <c r="H14" s="15" t="s">
        <v>40</v>
      </c>
      <c r="I14"/>
      <c r="J14"/>
      <c r="K14"/>
      <c r="L14"/>
      <c r="M14"/>
      <c r="N14"/>
      <c r="O14"/>
      <c r="P14"/>
      <c r="Q14"/>
      <c r="R14"/>
      <c r="S14"/>
      <c r="T14" s="16"/>
      <c r="U14">
        <v>1362</v>
      </c>
      <c r="V14">
        <v>13</v>
      </c>
      <c r="W14" t="s">
        <v>88</v>
      </c>
      <c r="X14" t="s">
        <v>69</v>
      </c>
      <c r="Y14" s="16" t="s">
        <v>171</v>
      </c>
      <c r="Z14" t="s">
        <v>67</v>
      </c>
      <c r="AA14" t="s">
        <v>67</v>
      </c>
      <c r="AB14" t="s">
        <v>67</v>
      </c>
      <c r="AC14" s="17" t="s">
        <v>69</v>
      </c>
      <c r="AD14" s="16" t="s">
        <v>195</v>
      </c>
      <c r="AE14" s="16" t="s">
        <v>67</v>
      </c>
      <c r="AF14" s="17" t="s">
        <v>196</v>
      </c>
      <c r="AG14"/>
      <c r="AH14"/>
      <c r="AI14"/>
      <c r="AJ14" t="s">
        <v>74</v>
      </c>
      <c r="AK14"/>
      <c r="AL14">
        <v>3691</v>
      </c>
      <c r="AM14" t="s">
        <v>139</v>
      </c>
      <c r="AN14"/>
      <c r="AO14" s="16" t="s">
        <v>227</v>
      </c>
      <c r="AP14" s="16"/>
      <c r="AQ14" s="16"/>
      <c r="AS14" s="16" t="s">
        <v>305</v>
      </c>
      <c r="AT14" s="16" t="s">
        <v>306</v>
      </c>
      <c r="AU14" s="16" t="s">
        <v>306</v>
      </c>
      <c r="AV14" s="16" t="s">
        <v>307</v>
      </c>
      <c r="AW14" s="16" t="s">
        <v>308</v>
      </c>
      <c r="AX14" s="16">
        <f t="shared" si="0"/>
        <v>59</v>
      </c>
      <c r="AY14" s="16" t="s">
        <v>301</v>
      </c>
      <c r="AZ14" s="16"/>
      <c r="BA14" s="16"/>
      <c r="BB14" s="16"/>
      <c r="BC14" s="16"/>
      <c r="BD14" s="16" t="s">
        <v>309</v>
      </c>
      <c r="BE14" s="16"/>
      <c r="BF14" s="16" t="s">
        <v>237</v>
      </c>
      <c r="BG14" s="16"/>
      <c r="BH14" s="16"/>
      <c r="BI14" s="16" t="s">
        <v>310</v>
      </c>
      <c r="BJ14" s="16"/>
      <c r="BK14" s="16"/>
      <c r="BL14" s="16"/>
      <c r="BM14" s="16" t="s">
        <v>224</v>
      </c>
      <c r="BN14" s="16"/>
      <c r="BO14" s="16" t="s">
        <v>225</v>
      </c>
      <c r="BP14" s="16"/>
      <c r="BQ14" s="16"/>
      <c r="BR14" s="16" t="s">
        <v>349</v>
      </c>
      <c r="BS14" s="16"/>
      <c r="BT14" s="16"/>
      <c r="BU14" s="16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 s="1" t="s">
        <v>353</v>
      </c>
    </row>
    <row r="15" spans="1:112" ht="12" customHeight="1">
      <c r="A15" s="15" t="s">
        <v>5</v>
      </c>
      <c r="B15" t="s">
        <v>33</v>
      </c>
      <c r="C15" t="s">
        <v>39</v>
      </c>
      <c r="D15" t="s">
        <v>58</v>
      </c>
      <c r="E15" s="16" t="s">
        <v>355</v>
      </c>
      <c r="F15" t="s">
        <v>58</v>
      </c>
      <c r="G15"/>
      <c r="H15" s="15" t="s">
        <v>40</v>
      </c>
      <c r="I15"/>
      <c r="J15"/>
      <c r="K15"/>
      <c r="L15"/>
      <c r="M15"/>
      <c r="N15"/>
      <c r="O15"/>
      <c r="P15"/>
      <c r="Q15"/>
      <c r="R15"/>
      <c r="S15"/>
      <c r="T15" s="16"/>
      <c r="U15">
        <v>1363</v>
      </c>
      <c r="V15">
        <v>14</v>
      </c>
      <c r="W15" t="s">
        <v>88</v>
      </c>
      <c r="X15" t="s">
        <v>69</v>
      </c>
      <c r="Y15" s="16" t="s">
        <v>171</v>
      </c>
      <c r="Z15" t="s">
        <v>125</v>
      </c>
      <c r="AA15" t="s">
        <v>125</v>
      </c>
      <c r="AB15" t="s">
        <v>125</v>
      </c>
      <c r="AC15" s="17" t="s">
        <v>69</v>
      </c>
      <c r="AD15" s="16" t="s">
        <v>197</v>
      </c>
      <c r="AE15" s="16" t="s">
        <v>125</v>
      </c>
      <c r="AF15" s="17" t="s">
        <v>198</v>
      </c>
      <c r="AG15"/>
      <c r="AH15"/>
      <c r="AI15"/>
      <c r="AJ15" t="s">
        <v>141</v>
      </c>
      <c r="AK15"/>
      <c r="AL15">
        <v>3691</v>
      </c>
      <c r="AM15" t="s">
        <v>99</v>
      </c>
      <c r="AN15"/>
      <c r="AO15" s="16" t="s">
        <v>227</v>
      </c>
      <c r="AP15" s="16"/>
      <c r="AQ15" s="16"/>
      <c r="AS15" s="16" t="s">
        <v>311</v>
      </c>
      <c r="AT15" s="16" t="s">
        <v>312</v>
      </c>
      <c r="AU15" s="16" t="s">
        <v>312</v>
      </c>
      <c r="AV15" s="16" t="s">
        <v>313</v>
      </c>
      <c r="AW15" s="16" t="s">
        <v>314</v>
      </c>
      <c r="AX15" s="16">
        <f t="shared" si="0"/>
        <v>53</v>
      </c>
      <c r="AY15" s="16" t="s">
        <v>301</v>
      </c>
      <c r="AZ15" s="16"/>
      <c r="BA15" s="16" t="s">
        <v>315</v>
      </c>
      <c r="BB15" s="19" t="s">
        <v>234</v>
      </c>
      <c r="BC15" s="16"/>
      <c r="BD15" s="16" t="s">
        <v>316</v>
      </c>
      <c r="BE15" s="16"/>
      <c r="BF15" s="16" t="s">
        <v>284</v>
      </c>
      <c r="BG15" s="16"/>
      <c r="BH15" s="16"/>
      <c r="BI15" s="16" t="s">
        <v>317</v>
      </c>
      <c r="BJ15" s="16"/>
      <c r="BK15" s="16"/>
      <c r="BL15" s="16"/>
      <c r="BM15" s="16" t="s">
        <v>224</v>
      </c>
      <c r="BN15" s="16"/>
      <c r="BO15" s="16" t="s">
        <v>241</v>
      </c>
      <c r="BP15" s="16"/>
      <c r="BQ15" s="16" t="s">
        <v>226</v>
      </c>
      <c r="BR15" s="16" t="s">
        <v>350</v>
      </c>
      <c r="BS15" s="16"/>
      <c r="BT15" s="16"/>
      <c r="BU15" s="16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 s="1" t="s">
        <v>353</v>
      </c>
    </row>
    <row r="16" spans="1:112" ht="12" customHeight="1">
      <c r="A16" s="15" t="s">
        <v>5</v>
      </c>
      <c r="B16" t="s">
        <v>33</v>
      </c>
      <c r="C16" t="s">
        <v>39</v>
      </c>
      <c r="D16" t="s">
        <v>58</v>
      </c>
      <c r="E16" s="16" t="s">
        <v>355</v>
      </c>
      <c r="F16" t="s">
        <v>58</v>
      </c>
      <c r="G16"/>
      <c r="H16" s="15" t="s">
        <v>40</v>
      </c>
      <c r="I16"/>
      <c r="J16"/>
      <c r="K16"/>
      <c r="L16"/>
      <c r="M16"/>
      <c r="N16"/>
      <c r="O16"/>
      <c r="P16"/>
      <c r="Q16"/>
      <c r="R16"/>
      <c r="S16"/>
      <c r="T16" s="16"/>
      <c r="U16">
        <v>1364</v>
      </c>
      <c r="V16">
        <v>15</v>
      </c>
      <c r="W16" t="s">
        <v>88</v>
      </c>
      <c r="X16" t="s">
        <v>69</v>
      </c>
      <c r="Y16" s="16" t="s">
        <v>171</v>
      </c>
      <c r="Z16" t="s">
        <v>166</v>
      </c>
      <c r="AA16" t="s">
        <v>166</v>
      </c>
      <c r="AB16" t="s">
        <v>166</v>
      </c>
      <c r="AC16" s="17" t="s">
        <v>69</v>
      </c>
      <c r="AD16" s="16" t="s">
        <v>199</v>
      </c>
      <c r="AE16" s="16" t="s">
        <v>166</v>
      </c>
      <c r="AF16" s="17" t="s">
        <v>200</v>
      </c>
      <c r="AG16"/>
      <c r="AH16"/>
      <c r="AI16"/>
      <c r="AJ16" t="s">
        <v>55</v>
      </c>
      <c r="AK16"/>
      <c r="AL16">
        <v>3691</v>
      </c>
      <c r="AM16" t="s">
        <v>62</v>
      </c>
      <c r="AN16"/>
      <c r="AO16" s="16" t="s">
        <v>227</v>
      </c>
      <c r="AP16" s="16"/>
      <c r="AQ16" s="16"/>
      <c r="AS16" s="16" t="s">
        <v>318</v>
      </c>
      <c r="AT16" s="16" t="s">
        <v>319</v>
      </c>
      <c r="AU16" s="16" t="s">
        <v>319</v>
      </c>
      <c r="AV16" s="16" t="s">
        <v>320</v>
      </c>
      <c r="AW16" s="16" t="s">
        <v>321</v>
      </c>
      <c r="AX16" s="16">
        <f t="shared" si="0"/>
        <v>53</v>
      </c>
      <c r="AY16" s="16" t="s">
        <v>301</v>
      </c>
      <c r="AZ16" s="16"/>
      <c r="BA16" s="16" t="s">
        <v>315</v>
      </c>
      <c r="BB16" s="19" t="s">
        <v>234</v>
      </c>
      <c r="BC16" s="16"/>
      <c r="BD16" s="16" t="s">
        <v>322</v>
      </c>
      <c r="BE16" s="16"/>
      <c r="BF16" s="16" t="s">
        <v>290</v>
      </c>
      <c r="BG16" s="16"/>
      <c r="BH16" s="16"/>
      <c r="BI16" s="16" t="s">
        <v>317</v>
      </c>
      <c r="BJ16" s="16"/>
      <c r="BK16" s="16"/>
      <c r="BL16" s="16"/>
      <c r="BM16" s="16" t="s">
        <v>224</v>
      </c>
      <c r="BN16" s="16"/>
      <c r="BO16" s="16" t="s">
        <v>241</v>
      </c>
      <c r="BP16" s="16"/>
      <c r="BQ16" s="16" t="s">
        <v>226</v>
      </c>
      <c r="BR16" s="16" t="s">
        <v>351</v>
      </c>
      <c r="BS16" s="16"/>
      <c r="BT16" s="16"/>
      <c r="BU16" s="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 s="1" t="s">
        <v>353</v>
      </c>
    </row>
    <row r="17" spans="1:111" ht="12" customHeight="1">
      <c r="A17" s="15" t="s">
        <v>5</v>
      </c>
      <c r="B17" t="s">
        <v>33</v>
      </c>
      <c r="C17" t="s">
        <v>39</v>
      </c>
      <c r="D17" t="s">
        <v>58</v>
      </c>
      <c r="E17" s="16" t="s">
        <v>355</v>
      </c>
      <c r="F17" t="s">
        <v>58</v>
      </c>
      <c r="G17"/>
      <c r="H17" s="15" t="s">
        <v>40</v>
      </c>
      <c r="I17"/>
      <c r="J17"/>
      <c r="K17"/>
      <c r="L17"/>
      <c r="M17"/>
      <c r="N17"/>
      <c r="O17"/>
      <c r="P17"/>
      <c r="Q17"/>
      <c r="R17"/>
      <c r="S17"/>
      <c r="T17" s="16"/>
      <c r="U17">
        <v>1365</v>
      </c>
      <c r="V17">
        <v>16</v>
      </c>
      <c r="W17" t="s">
        <v>88</v>
      </c>
      <c r="X17" t="s">
        <v>69</v>
      </c>
      <c r="Y17" s="16" t="s">
        <v>171</v>
      </c>
      <c r="Z17" t="s">
        <v>148</v>
      </c>
      <c r="AA17" t="s">
        <v>148</v>
      </c>
      <c r="AB17" t="s">
        <v>148</v>
      </c>
      <c r="AC17" s="17" t="s">
        <v>69</v>
      </c>
      <c r="AD17" s="16" t="s">
        <v>201</v>
      </c>
      <c r="AE17" s="16" t="s">
        <v>148</v>
      </c>
      <c r="AF17" s="17" t="s">
        <v>202</v>
      </c>
      <c r="AG17"/>
      <c r="AH17"/>
      <c r="AI17"/>
      <c r="AJ17" t="s">
        <v>35</v>
      </c>
      <c r="AK17"/>
      <c r="AL17">
        <v>3691</v>
      </c>
      <c r="AM17" t="s">
        <v>21</v>
      </c>
      <c r="AN17"/>
      <c r="AO17" s="18" t="s">
        <v>323</v>
      </c>
      <c r="AP17" s="16"/>
      <c r="AQ17" s="16"/>
      <c r="AS17" s="16" t="s">
        <v>324</v>
      </c>
      <c r="AT17" s="16" t="s">
        <v>325</v>
      </c>
      <c r="AU17" s="16" t="s">
        <v>325</v>
      </c>
      <c r="AV17" s="16" t="s">
        <v>326</v>
      </c>
      <c r="AW17" s="16" t="s">
        <v>326</v>
      </c>
      <c r="AX17" s="16">
        <f t="shared" si="0"/>
        <v>30</v>
      </c>
      <c r="AY17" s="16" t="s">
        <v>327</v>
      </c>
      <c r="AZ17" s="16" t="s">
        <v>233</v>
      </c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 t="s">
        <v>224</v>
      </c>
      <c r="BN17" s="16" t="s">
        <v>328</v>
      </c>
      <c r="BO17" s="16" t="s">
        <v>241</v>
      </c>
      <c r="BP17" s="16"/>
      <c r="BQ17" s="16"/>
      <c r="BR17" s="16" t="s">
        <v>352</v>
      </c>
      <c r="BS17" s="16"/>
      <c r="BT17" s="16"/>
      <c r="BU17" s="16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 s="1" t="s">
        <v>353</v>
      </c>
    </row>
    <row r="18" spans="1:111" ht="12" customHeight="1">
      <c r="A18" s="15" t="s">
        <v>5</v>
      </c>
      <c r="B18" t="s">
        <v>33</v>
      </c>
      <c r="C18" t="s">
        <v>39</v>
      </c>
      <c r="D18" t="s">
        <v>58</v>
      </c>
      <c r="E18" s="16" t="s">
        <v>355</v>
      </c>
      <c r="F18" t="s">
        <v>58</v>
      </c>
      <c r="G18"/>
      <c r="H18" s="15" t="s">
        <v>40</v>
      </c>
      <c r="I18"/>
      <c r="J18"/>
      <c r="K18"/>
      <c r="L18"/>
      <c r="M18"/>
      <c r="N18"/>
      <c r="O18"/>
      <c r="P18"/>
      <c r="Q18"/>
      <c r="R18"/>
      <c r="S18"/>
      <c r="T18" s="16"/>
      <c r="U18">
        <v>1366</v>
      </c>
      <c r="V18">
        <v>17</v>
      </c>
      <c r="W18" t="s">
        <v>88</v>
      </c>
      <c r="X18" t="s">
        <v>69</v>
      </c>
      <c r="Y18" s="16" t="s">
        <v>171</v>
      </c>
      <c r="Z18" t="s">
        <v>157</v>
      </c>
      <c r="AA18" t="s">
        <v>157</v>
      </c>
      <c r="AB18" t="s">
        <v>157</v>
      </c>
      <c r="AC18" s="17" t="s">
        <v>69</v>
      </c>
      <c r="AD18" s="16" t="s">
        <v>157</v>
      </c>
      <c r="AE18" s="16" t="s">
        <v>157</v>
      </c>
      <c r="AF18" s="17" t="s">
        <v>203</v>
      </c>
      <c r="AG18"/>
      <c r="AH18"/>
      <c r="AI18"/>
      <c r="AJ18" t="s">
        <v>89</v>
      </c>
      <c r="AK18"/>
      <c r="AL18">
        <v>3691</v>
      </c>
      <c r="AM18" t="s">
        <v>169</v>
      </c>
      <c r="AN18"/>
      <c r="AO18" s="16" t="s">
        <v>329</v>
      </c>
      <c r="AP18" s="16"/>
      <c r="AQ18" s="16"/>
      <c r="AS18" s="16" t="s">
        <v>330</v>
      </c>
      <c r="AT18" s="16" t="s">
        <v>331</v>
      </c>
      <c r="AU18" s="16" t="s">
        <v>331</v>
      </c>
      <c r="AV18" s="16" t="s">
        <v>332</v>
      </c>
      <c r="AW18" s="16" t="s">
        <v>333</v>
      </c>
      <c r="AX18" s="16">
        <f t="shared" si="0"/>
        <v>19</v>
      </c>
      <c r="AY18" s="16" t="s">
        <v>334</v>
      </c>
      <c r="AZ18" s="16" t="s">
        <v>335</v>
      </c>
      <c r="BA18" s="16"/>
      <c r="BB18" s="16"/>
      <c r="BC18" s="16"/>
      <c r="BD18" s="16"/>
      <c r="BE18" s="16"/>
      <c r="BF18" s="16"/>
      <c r="BG18" s="16"/>
      <c r="BH18" s="16"/>
      <c r="BI18" s="16"/>
      <c r="BJ18" s="16"/>
      <c r="BK18" s="16"/>
      <c r="BL18" s="16"/>
      <c r="BM18" s="16"/>
      <c r="BN18" s="16" t="s">
        <v>336</v>
      </c>
      <c r="BO18" s="16"/>
      <c r="BP18" s="16"/>
      <c r="BQ18" s="16"/>
      <c r="BR18" s="16" t="s">
        <v>337</v>
      </c>
      <c r="BS18" s="16"/>
      <c r="BT18" s="16"/>
      <c r="BU18" s="16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 s="1" t="s">
        <v>353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2023-10-07T12:13:34Z</dcterms:modified>
  <cp:category/>
</cp:coreProperties>
</file>